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 firstSheet="1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_テンプレート" sheetId="16" r:id="rId8"/>
    <sheet name="別紙_印刷レイアウト" sheetId="21" r:id="rId9"/>
    <sheet name="参照" sheetId="12" state="hidden" r:id="rId10"/>
  </sheets>
  <definedNames>
    <definedName name="CoreCells">別紙_テンプレート!$A$4:$G$4</definedName>
    <definedName name="_xlnm.Print_Area" localSheetId="1">概要!$A$1:$BN$31</definedName>
    <definedName name="_xlnm.Print_Area" localSheetId="3">項目一覧!$A$1:$BX$52</definedName>
    <definedName name="_xlnm.Print_Area" localSheetId="4">処理詳細!$A$1:$BR$19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別紙_テンプレート!$1:$3</definedName>
    <definedName name="_xlnm.Print_Titles" localSheetId="0">変更履歴!$1:$5</definedName>
    <definedName name="作成日">別紙_テンプレート!$G$2</definedName>
    <definedName name="集計範囲">別紙_テンプレート!$B$2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0" l="1"/>
  <c r="BF3" i="20"/>
  <c r="BB3" i="20"/>
  <c r="AX3" i="20"/>
  <c r="L3" i="20"/>
  <c r="B3" i="20"/>
  <c r="BJ3" i="19"/>
  <c r="BF3" i="19"/>
  <c r="BB3" i="19"/>
  <c r="AX3" i="19"/>
  <c r="L3" i="19"/>
  <c r="B3" i="19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<sst xmlns="http://schemas.openxmlformats.org/spreadsheetml/2006/main" count="236" uniqueCount="152">
  <si>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</si>
  <si>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</si>
  <si>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</si>
  <si>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</si>
  <si>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</si>
  <si>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</si>
  <si>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</si>
  <si>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</si>
  <si>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</si>
  <si>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</si>
  <si>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</si>
  <si>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</si>
  <si>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</si>
  <si>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</si>
  <si>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</si>
  <si>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</si>
  <si>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</si>
  <si>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</si>
  <si>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</si>
  <si>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</si>
  <si>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</si>
  <si>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</si>
  <si>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</si>
  <si>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</si>
  <si>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</si>
  <si>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</si>
  <si>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</si>
  <si>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</si>
  <si>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</si>
  <si>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</si>
  <si>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</si>
  <si>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</si>
  <si>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</si>
  <si>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</si>
  <si>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</si>
  <si>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</si>
  <si>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</si>
  <si>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</si>
  <si>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</si>
  <si>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</si>
  <si>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</si>
  <si>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</si>
  <si>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</si>
  <si>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</si>
  <si>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</si>
  <si>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</si>
  <si>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</si>
  <si>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</si>
  <si>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</si>
  <si>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</si>
  <si>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</si>
  <si>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</si>
  <si>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</si>
  <si>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入金予定表</t>
    <rPh sb="0" eb="2">
      <t>ニュウキン</t>
    </rPh>
    <rPh sb="2" eb="4">
      <t>ヨテイ</t>
    </rPh>
    <rPh sb="4" eb="5">
      <t>ヒョウ</t>
    </rPh>
    <phoneticPr fontId="10"/>
  </si>
  <si>
    <t>期間：</t>
    <rPh sb="0" eb="2">
      <t>キカン</t>
    </rPh>
    <phoneticPr fontId="10"/>
  </si>
  <si>
    <t>コード</t>
    <phoneticPr fontId="10"/>
  </si>
  <si>
    <t>得　　意　　先　　名</t>
    <rPh sb="0" eb="1">
      <t>トク</t>
    </rPh>
    <rPh sb="3" eb="4">
      <t>イ</t>
    </rPh>
    <rPh sb="6" eb="7">
      <t>サキ</t>
    </rPh>
    <rPh sb="9" eb="10">
      <t>メイ</t>
    </rPh>
    <phoneticPr fontId="10"/>
  </si>
  <si>
    <t>入金予定日付</t>
    <rPh sb="0" eb="2">
      <t>ニュウキン</t>
    </rPh>
    <rPh sb="2" eb="4">
      <t>ヨテイ</t>
    </rPh>
    <rPh sb="4" eb="6">
      <t>ヒヅケ</t>
    </rPh>
    <phoneticPr fontId="10"/>
  </si>
  <si>
    <t>入金予定金額</t>
    <rPh sb="0" eb="2">
      <t>ニュウキン</t>
    </rPh>
    <rPh sb="2" eb="4">
      <t>ヨテイ</t>
    </rPh>
    <rPh sb="4" eb="6">
      <t>キンガク</t>
    </rPh>
    <phoneticPr fontId="10"/>
  </si>
  <si>
    <t>請求日付</t>
    <rPh sb="0" eb="2">
      <t>セイキュウ</t>
    </rPh>
    <rPh sb="2" eb="4">
      <t>ヒヅケ</t>
    </rPh>
    <phoneticPr fontId="10"/>
  </si>
  <si>
    <t>備　　　　考</t>
    <rPh sb="0" eb="1">
      <t>ソナエ</t>
    </rPh>
    <rPh sb="5" eb="6">
      <t>コウ</t>
    </rPh>
    <phoneticPr fontId="10"/>
  </si>
  <si>
    <t>期間from</t>
    <rPh sb="0" eb="2">
      <t>キカン</t>
    </rPh>
    <phoneticPr fontId="1"/>
  </si>
  <si>
    <t>期間to</t>
    <rPh sb="0" eb="2">
      <t>キカン</t>
    </rPh>
    <phoneticPr fontId="1"/>
  </si>
  <si>
    <t>作成日</t>
    <rPh sb="0" eb="3">
      <t>サクセイビ</t>
    </rPh>
    <phoneticPr fontId="1"/>
  </si>
  <si>
    <t>コード</t>
    <phoneticPr fontId="1"/>
  </si>
  <si>
    <t>得意先名2</t>
    <rPh sb="0" eb="3">
      <t>トクイサキ</t>
    </rPh>
    <rPh sb="3" eb="4">
      <t>メイ</t>
    </rPh>
    <phoneticPr fontId="1"/>
  </si>
  <si>
    <t>得意先名1</t>
    <rPh sb="0" eb="3">
      <t>トクイサキ</t>
    </rPh>
    <rPh sb="3" eb="4">
      <t>メイ</t>
    </rPh>
    <phoneticPr fontId="1"/>
  </si>
  <si>
    <t>入金予定日付</t>
    <rPh sb="0" eb="6">
      <t>ニュウキンヨテイヒヅケ</t>
    </rPh>
    <phoneticPr fontId="1"/>
  </si>
  <si>
    <t>入金予定金額</t>
    <rPh sb="0" eb="6">
      <t>ニュウキンヨテイキンガク</t>
    </rPh>
    <phoneticPr fontId="1"/>
  </si>
  <si>
    <t>請求日付</t>
    <rPh sb="0" eb="4">
      <t>セイキュウヒヅケ</t>
    </rPh>
    <phoneticPr fontId="1"/>
  </si>
  <si>
    <t>備考</t>
    <rPh sb="0" eb="2">
      <t>ビコウ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</si>
  <si>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</si>
  <si>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</si>
  <si>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画面.入金予定開始日</t>
    <rPh sb="0" eb="2">
      <t>ガメン</t>
    </rPh>
    <rPh sb="3" eb="10">
      <t>ニュウキンヨテイカイシビ</t>
    </rPh>
    <phoneticPr fontId="1"/>
  </si>
  <si>
    <t>画面.入金予定終了日</t>
    <rPh sb="0" eb="2">
      <t>ガメン</t>
    </rPh>
    <rPh sb="3" eb="10">
      <t>ニュウキンヨテイシュウリョウビ</t>
    </rPh>
    <phoneticPr fontId="1"/>
  </si>
  <si>
    <t>現在日付</t>
    <rPh sb="0" eb="4">
      <t>ゲンザイヒヅケ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</si>
  <si>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</si>
  <si>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from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</si>
  <si>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</si>
  <si>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</si>
  <si>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</si>
  <si>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</si>
  <si>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</si>
  <si>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</si>
  <si>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</si>
  <si>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</si>
  <si>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</si>
  <si>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</si>
  <si>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</si>
  <si>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</si>
  <si>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</si>
  <si>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</si>
  <si>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</si>
  <si>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</si>
  <si>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</si>
  <si>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</si>
  <si>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</si>
  <si>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</si>
  <si>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</si>
  <si>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</si>
  <si>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</si>
  <si>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</si>
  <si>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</si>
  <si>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</si>
  <si>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</si>
  <si>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</si>
  <si>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</si>
  <si>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</si>
  <si>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</si>
  <si>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</si>
  <si>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</si>
  <si>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</si>
  <si>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</si>
  <si>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SQL1</t>
    <phoneticPr fontId="2"/>
  </si>
  <si>
    <t>VM入金予定情報.得意先CD</t>
  </si>
  <si>
    <t>VM入金予定情報.得意先名1</t>
  </si>
  <si>
    <t>VM入金予定情報.得意先名2</t>
  </si>
  <si>
    <t>VM入金予定情報.入金予定日付</t>
  </si>
  <si>
    <t xml:space="preserve">VM入金予定情報.回収方法 </t>
  </si>
  <si>
    <t>VM入金予定情報.入金予定金額</t>
  </si>
  <si>
    <t>得意先CD</t>
  </si>
  <si>
    <t>得意先名1</t>
  </si>
  <si>
    <t>得意先名2</t>
  </si>
  <si>
    <t>入金予定日付</t>
  </si>
  <si>
    <t xml:space="preserve">回収方法 </t>
  </si>
  <si>
    <t>入金予定金額</t>
  </si>
  <si>
    <t>請求日付</t>
  </si>
  <si>
    <t>VM入金予定情報.請求日付</t>
    <phoneticPr fontId="2"/>
  </si>
  <si>
    <t>order by</t>
    <phoneticPr fontId="2"/>
  </si>
  <si>
    <t>VM入金予定情報</t>
    <phoneticPr fontId="2"/>
  </si>
  <si>
    <t>[VM入金予定情報.得意先CD]の昇順</t>
    <rPh sb="17" eb="19">
      <t>ショウジュン</t>
    </rPh>
    <phoneticPr fontId="2"/>
  </si>
  <si>
    <t>AND</t>
    <phoneticPr fontId="2"/>
  </si>
  <si>
    <t>VM入金予定情報.入金予定日付 &gt;= [画面.入金予定日付開始日]</t>
    <rPh sb="20" eb="22">
      <t>ガメン</t>
    </rPh>
    <rPh sb="29" eb="32">
      <t>カイシビ</t>
    </rPh>
    <phoneticPr fontId="2"/>
  </si>
  <si>
    <t>VM入金予定情報.入金予定日付 &lt;= [画面.入金予定日付終了日]</t>
    <rPh sb="29" eb="31">
      <t>シュウリョウ</t>
    </rPh>
    <phoneticPr fontId="2"/>
  </si>
  <si>
    <t>VM入金予定情報.得意先CD  &gt;= COALESCE(CONVERT(VARCHAR(4),[画面.開始得意先CD]),VM入金予定情報.得意先CD)</t>
    <rPh sb="51" eb="53">
      <t>カイシ</t>
    </rPh>
    <rPh sb="53" eb="56">
      <t>トクイサキ</t>
    </rPh>
    <phoneticPr fontId="2"/>
  </si>
  <si>
    <t>VM入金予定情報.得意先CD  &lt;= COALESCE(CONVERT(VARCHAR(4),[画面.終了得意先CD]),VM入金予定情報.得意先CD)</t>
    <rPh sb="51" eb="53">
      <t>シュウリョウ</t>
    </rPh>
    <phoneticPr fontId="2"/>
  </si>
  <si>
    <t>-</t>
    <phoneticPr fontId="2"/>
  </si>
  <si>
    <t>Template入金予定表.xlsx</t>
    <phoneticPr fontId="2"/>
  </si>
  <si>
    <t>Excel</t>
    <phoneticPr fontId="2"/>
  </si>
  <si>
    <t>xlsx</t>
    <phoneticPr fontId="2"/>
  </si>
  <si>
    <t>-</t>
    <phoneticPr fontId="2"/>
  </si>
  <si>
    <t>SQL1.得意先CD</t>
    <rPh sb="5" eb="8">
      <t>トクイサキ</t>
    </rPh>
    <phoneticPr fontId="1"/>
  </si>
  <si>
    <t>SQL1.得意先名1</t>
    <rPh sb="5" eb="9">
      <t>トクイサキメイ</t>
    </rPh>
    <phoneticPr fontId="1"/>
  </si>
  <si>
    <t>SQL1.得意先名2</t>
    <rPh sb="5" eb="9">
      <t>トクイサキメイ</t>
    </rPh>
    <phoneticPr fontId="1"/>
  </si>
  <si>
    <t>SQL1.入金予定日付</t>
    <rPh sb="5" eb="11">
      <t>ニュウキンヨテイヒヅケ</t>
    </rPh>
    <phoneticPr fontId="1"/>
  </si>
  <si>
    <t>SQL1.入金予定金額</t>
    <rPh sb="5" eb="11">
      <t>ニュウキンヨテイキンガク</t>
    </rPh>
    <phoneticPr fontId="1"/>
  </si>
  <si>
    <t>SQL1.請求日付</t>
    <rPh sb="5" eb="9">
      <t>セイキュウヒヅケ</t>
    </rPh>
    <phoneticPr fontId="1"/>
  </si>
  <si>
    <t>A4縦</t>
    <rPh sb="2" eb="3">
      <t>タテ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</si>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</sst>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 "/>
    <numFmt numFmtId="177" formatCode="yyyy&quot;年&quot;m&quot;月&quot;d&quot;日&quot;;@"/>
    <numFmt numFmtId="178" formatCode="yyyy/m/d;@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22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9" fillId="0" borderId="0" xfId="2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4" fillId="0" borderId="0" xfId="2">
      <alignment vertical="center"/>
    </xf>
    <xf numFmtId="0" fontId="4" fillId="0" borderId="41" xfId="2" applyFont="1" applyBorder="1" applyAlignment="1">
      <alignment horizontal="left" vertical="center"/>
    </xf>
    <xf numFmtId="177" fontId="4" fillId="0" borderId="41" xfId="2" applyNumberFormat="1" applyFont="1" applyBorder="1" applyAlignment="1">
      <alignment horizontal="right" vertical="center"/>
    </xf>
    <xf numFmtId="0" fontId="11" fillId="0" borderId="1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11" fillId="0" borderId="1" xfId="2" applyFont="1" applyBorder="1" applyAlignment="1">
      <alignment horizontal="center" vertical="center"/>
    </xf>
    <xf numFmtId="0" fontId="11" fillId="0" borderId="5" xfId="2" applyFont="1" applyBorder="1" applyAlignment="1">
      <alignment vertical="center" shrinkToFit="1"/>
    </xf>
    <xf numFmtId="0" fontId="11" fillId="0" borderId="7" xfId="2" applyFont="1" applyBorder="1" applyAlignment="1">
      <alignment vertical="center" shrinkToFit="1"/>
    </xf>
    <xf numFmtId="178" fontId="4" fillId="0" borderId="1" xfId="2" applyNumberFormat="1" applyBorder="1" applyAlignment="1">
      <alignment horizontal="center" vertical="center"/>
    </xf>
    <xf numFmtId="38" fontId="0" fillId="0" borderId="1" xfId="3" applyFont="1" applyBorder="1" applyAlignment="1">
      <alignment horizontal="right" vertical="center"/>
    </xf>
    <xf numFmtId="178" fontId="4" fillId="0" borderId="5" xfId="2" applyNumberFormat="1" applyBorder="1" applyAlignment="1">
      <alignment horizontal="center" vertical="center"/>
    </xf>
    <xf numFmtId="0" fontId="4" fillId="0" borderId="1" xfId="2" applyBorder="1">
      <alignment vertical="center"/>
    </xf>
    <xf numFmtId="178" fontId="4" fillId="0" borderId="5" xfId="2" applyNumberForma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vertical="center" shrinkToFit="1"/>
    </xf>
    <xf numFmtId="0" fontId="3" fillId="2" borderId="56" xfId="0" applyFont="1" applyFill="1" applyBorder="1" applyAlignment="1">
      <alignment horizontal="left"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59" xfId="0" quotePrefix="1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3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3" fillId="2" borderId="2" xfId="0" applyFont="1" applyFill="1" applyBorder="1">
      <alignment vertical="center"/>
    </xf>
    <xf numFmtId="0" fontId="13" fillId="2" borderId="63" xfId="0" applyFont="1" applyFill="1" applyBorder="1">
      <alignment vertical="center"/>
    </xf>
    <xf numFmtId="0" fontId="12" fillId="2" borderId="0" xfId="0" applyFont="1" applyFill="1" applyBorder="1">
      <alignment vertical="center"/>
    </xf>
    <xf numFmtId="0" fontId="12" fillId="2" borderId="0" xfId="0" applyFont="1" applyFill="1" applyBorder="1" applyAlignment="1">
      <alignment horizontal="center" vertical="center"/>
    </xf>
    <xf numFmtId="0" fontId="12" fillId="2" borderId="63" xfId="0" applyFont="1" applyFill="1" applyBorder="1">
      <alignment vertical="center"/>
    </xf>
    <xf numFmtId="0" fontId="12" fillId="2" borderId="63" xfId="0" quotePrefix="1" applyFont="1" applyFill="1" applyBorder="1">
      <alignment vertical="center"/>
    </xf>
    <xf numFmtId="0" fontId="3" fillId="2" borderId="63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12" fillId="2" borderId="0" xfId="0" applyFont="1" applyFill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46" xfId="0" applyFont="1" applyFill="1" applyBorder="1">
      <alignment vertical="center"/>
    </xf>
    <xf numFmtId="0" fontId="3" fillId="2" borderId="61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2" fillId="2" borderId="44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14" fontId="3" fillId="2" borderId="51" xfId="0" applyNumberFormat="1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3" borderId="43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</cellXfs>
  <cellStyles count="4">
    <cellStyle name="桁区切り 2" xfId="3"/>
    <cellStyle name="標準" xfId="0" builtinId="0"/>
    <cellStyle name="標準 2" xfId="2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98612</xdr:colOff>
      <xdr:row>8</xdr:row>
      <xdr:rowOff>44824</xdr:rowOff>
    </xdr:from>
    <xdr:to>
      <xdr:col>59</xdr:col>
      <xdr:colOff>130483</xdr:colOff>
      <xdr:row>26</xdr:row>
      <xdr:rowOff>165934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106" y="1676400"/>
          <a:ext cx="15594601" cy="4639322"/>
        </a:xfrm>
        <a:prstGeom prst="rect">
          <a:avLst/>
        </a:prstGeom>
      </xdr:spPr>
    </xdr:pic>
    <xdr:clientData/>
  </xdr:twoCellAnchor>
  <xdr:twoCellAnchor>
    <xdr:from>
      <xdr:col>49</xdr:col>
      <xdr:colOff>8965</xdr:colOff>
      <xdr:row>15</xdr:row>
      <xdr:rowOff>215153</xdr:rowOff>
    </xdr:from>
    <xdr:to>
      <xdr:col>50</xdr:col>
      <xdr:colOff>71717</xdr:colOff>
      <xdr:row>17</xdr:row>
      <xdr:rowOff>35860</xdr:rowOff>
    </xdr:to>
    <xdr:sp macro="" textlink="">
      <xdr:nvSpPr>
        <xdr:cNvPr id="3" name="正方形/長方形 2"/>
        <xdr:cNvSpPr/>
      </xdr:nvSpPr>
      <xdr:spPr>
        <a:xfrm>
          <a:off x="13429130" y="360381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268941</xdr:colOff>
      <xdr:row>15</xdr:row>
      <xdr:rowOff>224117</xdr:rowOff>
    </xdr:from>
    <xdr:to>
      <xdr:col>43</xdr:col>
      <xdr:colOff>53788</xdr:colOff>
      <xdr:row>17</xdr:row>
      <xdr:rowOff>44824</xdr:rowOff>
    </xdr:to>
    <xdr:sp macro="" textlink="">
      <xdr:nvSpPr>
        <xdr:cNvPr id="5" name="正方形/長方形 4"/>
        <xdr:cNvSpPr/>
      </xdr:nvSpPr>
      <xdr:spPr>
        <a:xfrm>
          <a:off x="11465859" y="361277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233083</xdr:colOff>
      <xdr:row>15</xdr:row>
      <xdr:rowOff>215153</xdr:rowOff>
    </xdr:from>
    <xdr:to>
      <xdr:col>36</xdr:col>
      <xdr:colOff>17929</xdr:colOff>
      <xdr:row>17</xdr:row>
      <xdr:rowOff>35860</xdr:rowOff>
    </xdr:to>
    <xdr:sp macro="" textlink="">
      <xdr:nvSpPr>
        <xdr:cNvPr id="6" name="正方形/長方形 5"/>
        <xdr:cNvSpPr/>
      </xdr:nvSpPr>
      <xdr:spPr>
        <a:xfrm>
          <a:off x="9484659" y="360381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26894</xdr:colOff>
      <xdr:row>15</xdr:row>
      <xdr:rowOff>224118</xdr:rowOff>
    </xdr:from>
    <xdr:to>
      <xdr:col>21</xdr:col>
      <xdr:colOff>89646</xdr:colOff>
      <xdr:row>17</xdr:row>
      <xdr:rowOff>44825</xdr:rowOff>
    </xdr:to>
    <xdr:sp macro="" textlink="">
      <xdr:nvSpPr>
        <xdr:cNvPr id="7" name="正方形/長方形 6"/>
        <xdr:cNvSpPr/>
      </xdr:nvSpPr>
      <xdr:spPr>
        <a:xfrm>
          <a:off x="5387788" y="361277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224118</xdr:colOff>
      <xdr:row>15</xdr:row>
      <xdr:rowOff>215153</xdr:rowOff>
    </xdr:from>
    <xdr:to>
      <xdr:col>29</xdr:col>
      <xdr:colOff>8964</xdr:colOff>
      <xdr:row>17</xdr:row>
      <xdr:rowOff>35860</xdr:rowOff>
    </xdr:to>
    <xdr:sp macro="" textlink="">
      <xdr:nvSpPr>
        <xdr:cNvPr id="8" name="正方形/長方形 7"/>
        <xdr:cNvSpPr/>
      </xdr:nvSpPr>
      <xdr:spPr>
        <a:xfrm>
          <a:off x="7530353" y="360381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17929</xdr:colOff>
      <xdr:row>15</xdr:row>
      <xdr:rowOff>215153</xdr:rowOff>
    </xdr:from>
    <xdr:to>
      <xdr:col>9</xdr:col>
      <xdr:colOff>80682</xdr:colOff>
      <xdr:row>17</xdr:row>
      <xdr:rowOff>35860</xdr:rowOff>
    </xdr:to>
    <xdr:sp macro="" textlink="">
      <xdr:nvSpPr>
        <xdr:cNvPr id="9" name="正方形/長方形 8"/>
        <xdr:cNvSpPr/>
      </xdr:nvSpPr>
      <xdr:spPr>
        <a:xfrm>
          <a:off x="2043953" y="360381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80683</xdr:colOff>
      <xdr:row>15</xdr:row>
      <xdr:rowOff>206188</xdr:rowOff>
    </xdr:from>
    <xdr:to>
      <xdr:col>6</xdr:col>
      <xdr:colOff>143435</xdr:colOff>
      <xdr:row>17</xdr:row>
      <xdr:rowOff>26895</xdr:rowOff>
    </xdr:to>
    <xdr:sp macro="" textlink="">
      <xdr:nvSpPr>
        <xdr:cNvPr id="10" name="正方形/長方形 9"/>
        <xdr:cNvSpPr/>
      </xdr:nvSpPr>
      <xdr:spPr>
        <a:xfrm>
          <a:off x="1272989" y="359484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80683</xdr:colOff>
      <xdr:row>10</xdr:row>
      <xdr:rowOff>188259</xdr:rowOff>
    </xdr:from>
    <xdr:to>
      <xdr:col>52</xdr:col>
      <xdr:colOff>143435</xdr:colOff>
      <xdr:row>12</xdr:row>
      <xdr:rowOff>8965</xdr:rowOff>
    </xdr:to>
    <xdr:sp macro="" textlink="">
      <xdr:nvSpPr>
        <xdr:cNvPr id="11" name="正方形/長方形 10"/>
        <xdr:cNvSpPr/>
      </xdr:nvSpPr>
      <xdr:spPr>
        <a:xfrm>
          <a:off x="14056659" y="232185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242047</xdr:colOff>
      <xdr:row>11</xdr:row>
      <xdr:rowOff>179294</xdr:rowOff>
    </xdr:from>
    <xdr:to>
      <xdr:col>13</xdr:col>
      <xdr:colOff>26893</xdr:colOff>
      <xdr:row>13</xdr:row>
      <xdr:rowOff>1</xdr:rowOff>
    </xdr:to>
    <xdr:sp macro="" textlink="">
      <xdr:nvSpPr>
        <xdr:cNvPr id="12" name="正方形/長方形 11"/>
        <xdr:cNvSpPr/>
      </xdr:nvSpPr>
      <xdr:spPr>
        <a:xfrm>
          <a:off x="3101788" y="25639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98611</xdr:colOff>
      <xdr:row>11</xdr:row>
      <xdr:rowOff>197223</xdr:rowOff>
    </xdr:from>
    <xdr:to>
      <xdr:col>9</xdr:col>
      <xdr:colOff>161364</xdr:colOff>
      <xdr:row>13</xdr:row>
      <xdr:rowOff>17930</xdr:rowOff>
    </xdr:to>
    <xdr:sp macro="" textlink="">
      <xdr:nvSpPr>
        <xdr:cNvPr id="13" name="正方形/長方形 12"/>
        <xdr:cNvSpPr/>
      </xdr:nvSpPr>
      <xdr:spPr>
        <a:xfrm>
          <a:off x="2124635" y="258183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477252</xdr:colOff>
      <xdr:row>45</xdr:row>
      <xdr:rowOff>77615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7182852" cy="10136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48" t="s">
        <v>0</v>
      </c>
      <c r="C2" s="149"/>
      <c r="D2" s="149"/>
      <c r="E2" s="149"/>
      <c r="F2" s="149"/>
      <c r="G2" s="149"/>
      <c r="H2" s="149" t="s">
        <v>17</v>
      </c>
      <c r="I2" s="149"/>
      <c r="J2" s="149"/>
      <c r="K2" s="149"/>
      <c r="L2" s="149" t="s">
        <v>150</v>
      </c>
      <c r="M2" s="149"/>
      <c r="N2" s="149"/>
      <c r="O2" s="149"/>
      <c r="P2" s="149"/>
      <c r="Q2" s="149"/>
      <c r="R2" s="149" t="s">
        <v>2</v>
      </c>
      <c r="S2" s="149"/>
      <c r="T2" s="149"/>
      <c r="U2" s="149"/>
      <c r="V2" s="149"/>
      <c r="W2" s="149"/>
      <c r="X2" s="150" t="s">
        <v>3</v>
      </c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2"/>
      <c r="AK2" s="150" t="s">
        <v>31</v>
      </c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2"/>
      <c r="AX2" s="149" t="s">
        <v>5</v>
      </c>
      <c r="AY2" s="149"/>
      <c r="AZ2" s="149"/>
      <c r="BA2" s="149"/>
      <c r="BB2" s="149" t="s">
        <v>4</v>
      </c>
      <c r="BC2" s="149"/>
      <c r="BD2" s="149"/>
      <c r="BE2" s="149"/>
      <c r="BF2" s="149" t="s">
        <v>6</v>
      </c>
      <c r="BG2" s="149"/>
      <c r="BH2" s="149"/>
      <c r="BI2" s="149"/>
      <c r="BJ2" s="149" t="s">
        <v>7</v>
      </c>
      <c r="BK2" s="149"/>
      <c r="BL2" s="149"/>
      <c r="BM2" s="163"/>
      <c r="BN2" s="14"/>
    </row>
    <row r="3" spans="1:66" ht="20.100000000000001" customHeight="1" x14ac:dyDescent="0.45">
      <c r="A3" s="8"/>
      <c r="B3" s="153" t="s">
        <v>148</v>
      </c>
      <c r="C3" s="154"/>
      <c r="D3" s="154"/>
      <c r="E3" s="154"/>
      <c r="F3" s="154"/>
      <c r="G3" s="154"/>
      <c r="H3" s="154" t="str">
        <f ca="1">LEFT($X$3,FIND("_",$X$3)-1)</f>
        <v>UN0800</v>
      </c>
      <c r="I3" s="154"/>
      <c r="J3" s="154"/>
      <c r="K3" s="154"/>
      <c r="L3" s="154" t="s">
        <v>149</v>
      </c>
      <c r="M3" s="154"/>
      <c r="N3" s="154"/>
      <c r="O3" s="154"/>
      <c r="P3" s="154"/>
      <c r="Q3" s="154"/>
      <c r="R3" s="157" t="str">
        <f ca="1">MID($X$3,FIND("_",$X$3,FIND("_",$X$3)+1)+1,LEN($X$3)-FIND("_",$X$3,FIND("_",$X$3)+1))</f>
        <v>帳票設計書</v>
      </c>
      <c r="S3" s="154"/>
      <c r="T3" s="154"/>
      <c r="U3" s="154"/>
      <c r="V3" s="154"/>
      <c r="W3" s="154"/>
      <c r="X3" s="158" t="str">
        <f ca="1">REPLACE(LEFT(CELL("filename",$B$2),FIND(".x",CELL("filename",$B$2))-1),1,FIND("[",CELL("filename",$B$2)),)</f>
        <v>UN0800_入金予定表_帳票設計書</v>
      </c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5"/>
      <c r="AK3" s="158" t="str">
        <f ca="1">MID($X$3,FIND("_",$X$3)+1,FIND("_",$X$3,FIND("_",$X$3)+1)-FIND("_",$X$3)-1)</f>
        <v>入金予定表</v>
      </c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5"/>
      <c r="AX3" s="165">
        <v>45608</v>
      </c>
      <c r="AY3" s="154"/>
      <c r="AZ3" s="154"/>
      <c r="BA3" s="154"/>
      <c r="BB3" s="154" t="s">
        <v>151</v>
      </c>
      <c r="BC3" s="154"/>
      <c r="BD3" s="154"/>
      <c r="BE3" s="154"/>
      <c r="BF3" s="165">
        <v>45608</v>
      </c>
      <c r="BG3" s="154"/>
      <c r="BH3" s="154"/>
      <c r="BI3" s="154"/>
      <c r="BJ3" s="154" t="s">
        <v>151</v>
      </c>
      <c r="BK3" s="154"/>
      <c r="BL3" s="154"/>
      <c r="BM3" s="166"/>
      <c r="BN3" s="14"/>
    </row>
    <row r="4" spans="1:66" ht="20.100000000000001" customHeight="1" thickBot="1" x14ac:dyDescent="0.5">
      <c r="A4" s="8"/>
      <c r="B4" s="155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60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2"/>
      <c r="AK4" s="160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2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8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64" t="s">
        <v>8</v>
      </c>
      <c r="D8" s="164"/>
      <c r="E8" s="164"/>
      <c r="F8" s="164"/>
      <c r="G8" s="164" t="s">
        <v>9</v>
      </c>
      <c r="H8" s="164"/>
      <c r="I8" s="164"/>
      <c r="J8" s="164"/>
      <c r="K8" s="164" t="s">
        <v>10</v>
      </c>
      <c r="L8" s="164"/>
      <c r="M8" s="164"/>
      <c r="N8" s="164"/>
      <c r="O8" s="164" t="s">
        <v>11</v>
      </c>
      <c r="P8" s="164"/>
      <c r="Q8" s="164"/>
      <c r="R8" s="164"/>
      <c r="S8" s="164"/>
      <c r="T8" s="164"/>
      <c r="U8" s="164"/>
      <c r="V8" s="164"/>
      <c r="W8" s="164"/>
      <c r="X8" s="164"/>
      <c r="Y8" s="164" t="s">
        <v>12</v>
      </c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64"/>
      <c r="AX8" s="164"/>
      <c r="AY8" s="164"/>
      <c r="AZ8" s="164"/>
      <c r="BA8" s="164"/>
      <c r="BB8" s="164"/>
      <c r="BC8" s="164"/>
      <c r="BD8" s="164"/>
      <c r="BE8" s="164"/>
      <c r="BF8" s="164"/>
      <c r="BG8" s="164"/>
      <c r="BH8" s="164"/>
      <c r="BI8" s="164"/>
      <c r="BJ8" s="164"/>
      <c r="BK8" s="164"/>
      <c r="BL8" s="164"/>
      <c r="BM8" s="7"/>
      <c r="BN8" s="14"/>
    </row>
    <row r="9" spans="1:66" ht="20.100000000000001" customHeight="1" x14ac:dyDescent="0.45">
      <c r="A9" s="8"/>
      <c r="B9" s="7"/>
      <c r="C9" s="167">
        <v>45608</v>
      </c>
      <c r="D9" s="168"/>
      <c r="E9" s="168"/>
      <c r="F9" s="169"/>
      <c r="G9" s="170" t="s">
        <v>16</v>
      </c>
      <c r="H9" s="171"/>
      <c r="I9" s="171"/>
      <c r="J9" s="172"/>
      <c r="K9" s="173" t="s">
        <v>151</v>
      </c>
      <c r="L9" s="168"/>
      <c r="M9" s="168"/>
      <c r="N9" s="169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67"/>
      <c r="D10" s="168"/>
      <c r="E10" s="168"/>
      <c r="F10" s="169"/>
      <c r="G10" s="170"/>
      <c r="H10" s="171"/>
      <c r="I10" s="171"/>
      <c r="J10" s="172"/>
      <c r="K10" s="173"/>
      <c r="L10" s="168"/>
      <c r="M10" s="168"/>
      <c r="N10" s="169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67"/>
      <c r="D11" s="168"/>
      <c r="E11" s="168"/>
      <c r="F11" s="169"/>
      <c r="G11" s="170"/>
      <c r="H11" s="171"/>
      <c r="I11" s="171"/>
      <c r="J11" s="172"/>
      <c r="K11" s="173"/>
      <c r="L11" s="168"/>
      <c r="M11" s="168"/>
      <c r="N11" s="169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67"/>
      <c r="D36" s="168"/>
      <c r="E36" s="168"/>
      <c r="F36" s="169"/>
      <c r="G36" s="170"/>
      <c r="H36" s="171"/>
      <c r="I36" s="171"/>
      <c r="J36" s="172"/>
      <c r="K36" s="173"/>
      <c r="L36" s="168"/>
      <c r="M36" s="168"/>
      <c r="N36" s="169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67"/>
      <c r="D37" s="168"/>
      <c r="E37" s="168"/>
      <c r="F37" s="169"/>
      <c r="G37" s="170"/>
      <c r="H37" s="171"/>
      <c r="I37" s="171"/>
      <c r="J37" s="172"/>
      <c r="K37" s="173"/>
      <c r="L37" s="168"/>
      <c r="M37" s="168"/>
      <c r="N37" s="169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67"/>
      <c r="D38" s="168"/>
      <c r="E38" s="168"/>
      <c r="F38" s="169"/>
      <c r="G38" s="170"/>
      <c r="H38" s="171"/>
      <c r="I38" s="171"/>
      <c r="J38" s="172"/>
      <c r="K38" s="173"/>
      <c r="L38" s="168"/>
      <c r="M38" s="168"/>
      <c r="N38" s="169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67"/>
      <c r="D39" s="168"/>
      <c r="E39" s="168"/>
      <c r="F39" s="169"/>
      <c r="G39" s="170"/>
      <c r="H39" s="171"/>
      <c r="I39" s="171"/>
      <c r="J39" s="172"/>
      <c r="K39" s="173"/>
      <c r="L39" s="168"/>
      <c r="M39" s="168"/>
      <c r="N39" s="169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67"/>
      <c r="D40" s="168"/>
      <c r="E40" s="168"/>
      <c r="F40" s="169"/>
      <c r="G40" s="170"/>
      <c r="H40" s="171"/>
      <c r="I40" s="171"/>
      <c r="J40" s="172"/>
      <c r="K40" s="173"/>
      <c r="L40" s="168"/>
      <c r="M40" s="168"/>
      <c r="N40" s="169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67"/>
      <c r="D41" s="168"/>
      <c r="E41" s="168"/>
      <c r="F41" s="169"/>
      <c r="G41" s="170"/>
      <c r="H41" s="171"/>
      <c r="I41" s="171"/>
      <c r="J41" s="172"/>
      <c r="K41" s="173"/>
      <c r="L41" s="168"/>
      <c r="M41" s="168"/>
      <c r="N41" s="169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67"/>
      <c r="D42" s="168"/>
      <c r="E42" s="168"/>
      <c r="F42" s="169"/>
      <c r="G42" s="170"/>
      <c r="H42" s="171"/>
      <c r="I42" s="171"/>
      <c r="J42" s="172"/>
      <c r="K42" s="173"/>
      <c r="L42" s="168"/>
      <c r="M42" s="168"/>
      <c r="N42" s="169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67"/>
      <c r="D43" s="168"/>
      <c r="E43" s="168"/>
      <c r="F43" s="169"/>
      <c r="G43" s="170"/>
      <c r="H43" s="171"/>
      <c r="I43" s="171"/>
      <c r="J43" s="172"/>
      <c r="K43" s="173"/>
      <c r="L43" s="168"/>
      <c r="M43" s="168"/>
      <c r="N43" s="169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67"/>
      <c r="D44" s="168"/>
      <c r="E44" s="168"/>
      <c r="F44" s="169"/>
      <c r="G44" s="170"/>
      <c r="H44" s="171"/>
      <c r="I44" s="171"/>
      <c r="J44" s="172"/>
      <c r="K44" s="173"/>
      <c r="L44" s="168"/>
      <c r="M44" s="168"/>
      <c r="N44" s="169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67"/>
      <c r="D45" s="168"/>
      <c r="E45" s="168"/>
      <c r="F45" s="169"/>
      <c r="G45" s="170"/>
      <c r="H45" s="171"/>
      <c r="I45" s="171"/>
      <c r="J45" s="172"/>
      <c r="K45" s="173"/>
      <c r="L45" s="168"/>
      <c r="M45" s="168"/>
      <c r="N45" s="169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67"/>
      <c r="D46" s="168"/>
      <c r="E46" s="168"/>
      <c r="F46" s="169"/>
      <c r="G46" s="170"/>
      <c r="H46" s="171"/>
      <c r="I46" s="171"/>
      <c r="J46" s="172"/>
      <c r="K46" s="173"/>
      <c r="L46" s="168"/>
      <c r="M46" s="168"/>
      <c r="N46" s="169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67"/>
      <c r="D47" s="168"/>
      <c r="E47" s="168"/>
      <c r="F47" s="169"/>
      <c r="G47" s="170"/>
      <c r="H47" s="171"/>
      <c r="I47" s="171"/>
      <c r="J47" s="172"/>
      <c r="K47" s="173"/>
      <c r="L47" s="168"/>
      <c r="M47" s="168"/>
      <c r="N47" s="169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>
      <selection activeCell="U24" sqref="U24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48" t="s">
        <v>0</v>
      </c>
      <c r="C2" s="149"/>
      <c r="D2" s="149"/>
      <c r="E2" s="149"/>
      <c r="F2" s="149"/>
      <c r="G2" s="149"/>
      <c r="H2" s="149" t="s">
        <v>17</v>
      </c>
      <c r="I2" s="149"/>
      <c r="J2" s="149"/>
      <c r="K2" s="149"/>
      <c r="L2" s="149" t="s">
        <v>150</v>
      </c>
      <c r="M2" s="149"/>
      <c r="N2" s="149"/>
      <c r="O2" s="149"/>
      <c r="P2" s="149"/>
      <c r="Q2" s="149"/>
      <c r="R2" s="149" t="s">
        <v>2</v>
      </c>
      <c r="S2" s="149"/>
      <c r="T2" s="149"/>
      <c r="U2" s="149"/>
      <c r="V2" s="149"/>
      <c r="W2" s="149"/>
      <c r="X2" s="150" t="s">
        <v>3</v>
      </c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2"/>
      <c r="AK2" s="150" t="s">
        <v>32</v>
      </c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2"/>
      <c r="AX2" s="149" t="s">
        <v>5</v>
      </c>
      <c r="AY2" s="149"/>
      <c r="AZ2" s="149"/>
      <c r="BA2" s="149"/>
      <c r="BB2" s="149" t="s">
        <v>4</v>
      </c>
      <c r="BC2" s="149"/>
      <c r="BD2" s="149"/>
      <c r="BE2" s="149"/>
      <c r="BF2" s="149" t="s">
        <v>6</v>
      </c>
      <c r="BG2" s="149"/>
      <c r="BH2" s="149"/>
      <c r="BI2" s="149"/>
      <c r="BJ2" s="149" t="s">
        <v>7</v>
      </c>
      <c r="BK2" s="149"/>
      <c r="BL2" s="149"/>
      <c r="BM2" s="163"/>
      <c r="BN2" s="35"/>
    </row>
    <row r="3" spans="1:66" ht="20.100000000000001" customHeight="1" x14ac:dyDescent="0.45">
      <c r="A3" s="32"/>
      <c r="B3" s="153" t="str">
        <f>変更履歴!B3</f>
        <v>受発注システム</v>
      </c>
      <c r="C3" s="154"/>
      <c r="D3" s="154"/>
      <c r="E3" s="154"/>
      <c r="F3" s="154"/>
      <c r="G3" s="154"/>
      <c r="H3" s="154" t="str">
        <f ca="1">変更履歴!H3</f>
        <v>UN0800</v>
      </c>
      <c r="I3" s="154"/>
      <c r="J3" s="154"/>
      <c r="K3" s="154"/>
      <c r="L3" s="154" t="str">
        <f>変更履歴!L3</f>
        <v>受発注</v>
      </c>
      <c r="M3" s="154"/>
      <c r="N3" s="154"/>
      <c r="O3" s="154"/>
      <c r="P3" s="154"/>
      <c r="Q3" s="154"/>
      <c r="R3" s="154" t="str">
        <f ca="1">変更履歴!R3</f>
        <v>帳票設計書</v>
      </c>
      <c r="S3" s="154"/>
      <c r="T3" s="154"/>
      <c r="U3" s="154"/>
      <c r="V3" s="154"/>
      <c r="W3" s="154"/>
      <c r="X3" s="158" t="str">
        <f ca="1">変更履歴!X3</f>
        <v>UN0800_入金予定表_帳票設計書</v>
      </c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5"/>
      <c r="AK3" s="158" t="str">
        <f ca="1">変更履歴!AK3</f>
        <v>入金予定表</v>
      </c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5"/>
      <c r="AX3" s="165">
        <f>変更履歴!AX3</f>
        <v>45608</v>
      </c>
      <c r="AY3" s="165"/>
      <c r="AZ3" s="165"/>
      <c r="BA3" s="165"/>
      <c r="BB3" s="154" t="str">
        <f>変更履歴!BB3</f>
        <v>大谷</v>
      </c>
      <c r="BC3" s="154"/>
      <c r="BD3" s="154"/>
      <c r="BE3" s="154"/>
      <c r="BF3" s="165">
        <f>変更履歴!BF3</f>
        <v>45608</v>
      </c>
      <c r="BG3" s="165"/>
      <c r="BH3" s="165"/>
      <c r="BI3" s="165"/>
      <c r="BJ3" s="154" t="str">
        <f>変更履歴!BJ3</f>
        <v>大谷</v>
      </c>
      <c r="BK3" s="154"/>
      <c r="BL3" s="154"/>
      <c r="BM3" s="166"/>
      <c r="BN3" s="35"/>
    </row>
    <row r="4" spans="1:66" ht="20.100000000000001" customHeight="1" thickBot="1" x14ac:dyDescent="0.5">
      <c r="A4" s="32"/>
      <c r="B4" s="155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60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2"/>
      <c r="AK4" s="160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2"/>
      <c r="AX4" s="174"/>
      <c r="AY4" s="174"/>
      <c r="AZ4" s="174"/>
      <c r="BA4" s="174"/>
      <c r="BB4" s="156"/>
      <c r="BC4" s="156"/>
      <c r="BD4" s="156"/>
      <c r="BE4" s="156"/>
      <c r="BF4" s="174"/>
      <c r="BG4" s="174"/>
      <c r="BH4" s="174"/>
      <c r="BI4" s="174"/>
      <c r="BJ4" s="156"/>
      <c r="BK4" s="156"/>
      <c r="BL4" s="156"/>
      <c r="BM4" s="158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入金予定表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137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138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139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136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136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140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136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147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85" zoomScaleNormal="100" zoomScaleSheetLayoutView="85" workbookViewId="0">
      <selection activeCell="N36" sqref="N36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48" t="s">
        <v>0</v>
      </c>
      <c r="C2" s="149"/>
      <c r="D2" s="149"/>
      <c r="E2" s="149"/>
      <c r="F2" s="149"/>
      <c r="G2" s="149"/>
      <c r="H2" s="149" t="s">
        <v>17</v>
      </c>
      <c r="I2" s="149"/>
      <c r="J2" s="149"/>
      <c r="K2" s="149"/>
      <c r="L2" s="149" t="s">
        <v>150</v>
      </c>
      <c r="M2" s="149"/>
      <c r="N2" s="149"/>
      <c r="O2" s="149"/>
      <c r="P2" s="149"/>
      <c r="Q2" s="149"/>
      <c r="R2" s="149" t="s">
        <v>2</v>
      </c>
      <c r="S2" s="149"/>
      <c r="T2" s="149"/>
      <c r="U2" s="149"/>
      <c r="V2" s="149"/>
      <c r="W2" s="149"/>
      <c r="X2" s="150" t="s">
        <v>3</v>
      </c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2"/>
      <c r="AK2" s="150" t="s">
        <v>32</v>
      </c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2"/>
      <c r="AX2" s="149" t="s">
        <v>5</v>
      </c>
      <c r="AY2" s="149"/>
      <c r="AZ2" s="149"/>
      <c r="BA2" s="149"/>
      <c r="BB2" s="149" t="s">
        <v>4</v>
      </c>
      <c r="BC2" s="149"/>
      <c r="BD2" s="149"/>
      <c r="BE2" s="149"/>
      <c r="BF2" s="149" t="s">
        <v>6</v>
      </c>
      <c r="BG2" s="149"/>
      <c r="BH2" s="149"/>
      <c r="BI2" s="149"/>
      <c r="BJ2" s="149" t="s">
        <v>7</v>
      </c>
      <c r="BK2" s="149"/>
      <c r="BL2" s="149"/>
      <c r="BM2" s="163"/>
      <c r="BN2" s="15"/>
    </row>
    <row r="3" spans="1:66" ht="20.100000000000001" customHeight="1" x14ac:dyDescent="0.45">
      <c r="A3" s="9"/>
      <c r="B3" s="153" t="str">
        <f>変更履歴!B3</f>
        <v>受発注システム</v>
      </c>
      <c r="C3" s="154"/>
      <c r="D3" s="154"/>
      <c r="E3" s="154"/>
      <c r="F3" s="154"/>
      <c r="G3" s="154"/>
      <c r="H3" s="154" t="str">
        <f ca="1">変更履歴!H3</f>
        <v>UN0800</v>
      </c>
      <c r="I3" s="154"/>
      <c r="J3" s="154"/>
      <c r="K3" s="154"/>
      <c r="L3" s="154" t="str">
        <f>変更履歴!L3</f>
        <v>受発注</v>
      </c>
      <c r="M3" s="154"/>
      <c r="N3" s="154"/>
      <c r="O3" s="154"/>
      <c r="P3" s="154"/>
      <c r="Q3" s="154"/>
      <c r="R3" s="154" t="str">
        <f ca="1">変更履歴!R3</f>
        <v>帳票設計書</v>
      </c>
      <c r="S3" s="154"/>
      <c r="T3" s="154"/>
      <c r="U3" s="154"/>
      <c r="V3" s="154"/>
      <c r="W3" s="154"/>
      <c r="X3" s="158" t="str">
        <f ca="1">変更履歴!X3</f>
        <v>UN0800_入金予定表_帳票設計書</v>
      </c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5"/>
      <c r="AK3" s="158" t="str">
        <f ca="1">変更履歴!AK3</f>
        <v>入金予定表</v>
      </c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5"/>
      <c r="AX3" s="165">
        <f>変更履歴!AX3</f>
        <v>45608</v>
      </c>
      <c r="AY3" s="165"/>
      <c r="AZ3" s="165"/>
      <c r="BA3" s="165"/>
      <c r="BB3" s="154" t="str">
        <f>変更履歴!BB3</f>
        <v>大谷</v>
      </c>
      <c r="BC3" s="154"/>
      <c r="BD3" s="154"/>
      <c r="BE3" s="154"/>
      <c r="BF3" s="165">
        <f>変更履歴!BF3</f>
        <v>45608</v>
      </c>
      <c r="BG3" s="165"/>
      <c r="BH3" s="165"/>
      <c r="BI3" s="165"/>
      <c r="BJ3" s="154" t="str">
        <f>変更履歴!BJ3</f>
        <v>大谷</v>
      </c>
      <c r="BK3" s="154"/>
      <c r="BL3" s="154"/>
      <c r="BM3" s="166"/>
      <c r="BN3" s="15"/>
    </row>
    <row r="4" spans="1:66" ht="20.100000000000001" customHeight="1" thickBot="1" x14ac:dyDescent="0.5">
      <c r="A4" s="9"/>
      <c r="B4" s="155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60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2"/>
      <c r="AK4" s="160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2"/>
      <c r="AX4" s="174"/>
      <c r="AY4" s="174"/>
      <c r="AZ4" s="174"/>
      <c r="BA4" s="174"/>
      <c r="BB4" s="156"/>
      <c r="BC4" s="156"/>
      <c r="BD4" s="156"/>
      <c r="BE4" s="156"/>
      <c r="BF4" s="174"/>
      <c r="BG4" s="174"/>
      <c r="BH4" s="174"/>
      <c r="BI4" s="174"/>
      <c r="BJ4" s="156"/>
      <c r="BK4" s="156"/>
      <c r="BL4" s="156"/>
      <c r="BM4" s="158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48" t="s">
        <v>0</v>
      </c>
      <c r="C2" s="149"/>
      <c r="D2" s="149"/>
      <c r="E2" s="149"/>
      <c r="F2" s="149"/>
      <c r="G2" s="149"/>
      <c r="H2" s="149" t="s">
        <v>17</v>
      </c>
      <c r="I2" s="149"/>
      <c r="J2" s="149"/>
      <c r="K2" s="149"/>
      <c r="L2" s="149" t="s">
        <v>150</v>
      </c>
      <c r="M2" s="149"/>
      <c r="N2" s="149"/>
      <c r="O2" s="149"/>
      <c r="P2" s="149"/>
      <c r="Q2" s="149"/>
      <c r="R2" s="149" t="s">
        <v>2</v>
      </c>
      <c r="S2" s="149"/>
      <c r="T2" s="149"/>
      <c r="U2" s="149"/>
      <c r="V2" s="149"/>
      <c r="W2" s="149"/>
      <c r="X2" s="150" t="s">
        <v>3</v>
      </c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2"/>
      <c r="AK2" s="150" t="s">
        <v>32</v>
      </c>
      <c r="AL2" s="151"/>
      <c r="AM2" s="151"/>
      <c r="AN2" s="151"/>
      <c r="AO2" s="151"/>
      <c r="AP2" s="151"/>
      <c r="AQ2" s="151"/>
      <c r="AR2" s="151"/>
      <c r="AS2" s="151"/>
      <c r="AT2" s="151"/>
      <c r="AU2" s="151"/>
      <c r="AV2" s="151"/>
      <c r="AW2" s="152"/>
      <c r="AX2" s="149" t="s">
        <v>5</v>
      </c>
      <c r="AY2" s="149"/>
      <c r="AZ2" s="149"/>
      <c r="BA2" s="149"/>
      <c r="BB2" s="149" t="s">
        <v>4</v>
      </c>
      <c r="BC2" s="149"/>
      <c r="BD2" s="149"/>
      <c r="BE2" s="149"/>
      <c r="BF2" s="149" t="s">
        <v>6</v>
      </c>
      <c r="BG2" s="149"/>
      <c r="BH2" s="149"/>
      <c r="BI2" s="149"/>
      <c r="BJ2" s="149" t="s">
        <v>7</v>
      </c>
      <c r="BK2" s="149"/>
      <c r="BL2" s="149"/>
      <c r="BM2" s="163"/>
      <c r="BN2" s="15"/>
    </row>
    <row r="3" spans="1:85" ht="20.100000000000001" customHeight="1" x14ac:dyDescent="0.45">
      <c r="A3" s="9"/>
      <c r="B3" s="153" t="str">
        <f>変更履歴!B3</f>
        <v>受発注システム</v>
      </c>
      <c r="C3" s="154"/>
      <c r="D3" s="154"/>
      <c r="E3" s="154"/>
      <c r="F3" s="154"/>
      <c r="G3" s="154"/>
      <c r="H3" s="154" t="str">
        <f ca="1">変更履歴!H3</f>
        <v>UN0800</v>
      </c>
      <c r="I3" s="154"/>
      <c r="J3" s="154"/>
      <c r="K3" s="154"/>
      <c r="L3" s="154" t="str">
        <f>変更履歴!L3</f>
        <v>受発注</v>
      </c>
      <c r="M3" s="154"/>
      <c r="N3" s="154"/>
      <c r="O3" s="154"/>
      <c r="P3" s="154"/>
      <c r="Q3" s="154"/>
      <c r="R3" s="154" t="str">
        <f ca="1">変更履歴!R3</f>
        <v>帳票設計書</v>
      </c>
      <c r="S3" s="154"/>
      <c r="T3" s="154"/>
      <c r="U3" s="154"/>
      <c r="V3" s="154"/>
      <c r="W3" s="154"/>
      <c r="X3" s="158" t="str">
        <f ca="1">変更履歴!X3</f>
        <v>UN0800_入金予定表_帳票設計書</v>
      </c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5"/>
      <c r="AK3" s="158" t="str">
        <f ca="1">変更履歴!AK3</f>
        <v>入金予定表</v>
      </c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5"/>
      <c r="AX3" s="165">
        <f>変更履歴!AX3</f>
        <v>45608</v>
      </c>
      <c r="AY3" s="165"/>
      <c r="AZ3" s="165"/>
      <c r="BA3" s="165"/>
      <c r="BB3" s="154" t="str">
        <f>変更履歴!BB3</f>
        <v>大谷</v>
      </c>
      <c r="BC3" s="154"/>
      <c r="BD3" s="154"/>
      <c r="BE3" s="154"/>
      <c r="BF3" s="165">
        <f>変更履歴!BF3</f>
        <v>45608</v>
      </c>
      <c r="BG3" s="165"/>
      <c r="BH3" s="165"/>
      <c r="BI3" s="165"/>
      <c r="BJ3" s="154" t="str">
        <f>変更履歴!BJ3</f>
        <v>大谷</v>
      </c>
      <c r="BK3" s="154"/>
      <c r="BL3" s="154"/>
      <c r="BM3" s="166"/>
      <c r="BN3" s="15"/>
    </row>
    <row r="4" spans="1:85" ht="20.100000000000001" customHeight="1" thickBot="1" x14ac:dyDescent="0.5">
      <c r="A4" s="9"/>
      <c r="B4" s="155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60"/>
      <c r="Y4" s="161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2"/>
      <c r="AK4" s="160"/>
      <c r="AL4" s="161"/>
      <c r="AM4" s="161"/>
      <c r="AN4" s="161"/>
      <c r="AO4" s="161"/>
      <c r="AP4" s="161"/>
      <c r="AQ4" s="161"/>
      <c r="AR4" s="161"/>
      <c r="AS4" s="161"/>
      <c r="AT4" s="161"/>
      <c r="AU4" s="161"/>
      <c r="AV4" s="161"/>
      <c r="AW4" s="162"/>
      <c r="AX4" s="174"/>
      <c r="AY4" s="174"/>
      <c r="AZ4" s="174"/>
      <c r="BA4" s="174"/>
      <c r="BB4" s="156"/>
      <c r="BC4" s="156"/>
      <c r="BD4" s="156"/>
      <c r="BE4" s="156"/>
      <c r="BF4" s="174"/>
      <c r="BG4" s="174"/>
      <c r="BH4" s="174"/>
      <c r="BI4" s="174"/>
      <c r="BJ4" s="156"/>
      <c r="BK4" s="156"/>
      <c r="BL4" s="156"/>
      <c r="BM4" s="158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00" t="s">
        <v>20</v>
      </c>
      <c r="F10" s="201"/>
      <c r="G10" s="201"/>
      <c r="H10" s="201"/>
      <c r="I10" s="201"/>
      <c r="J10" s="201"/>
      <c r="K10" s="201"/>
      <c r="L10" s="202"/>
      <c r="M10" s="178" t="s">
        <v>24</v>
      </c>
      <c r="N10" s="179"/>
      <c r="O10" s="179"/>
      <c r="P10" s="178" t="s">
        <v>33</v>
      </c>
      <c r="Q10" s="179"/>
      <c r="R10" s="179"/>
      <c r="S10" s="178" t="s">
        <v>34</v>
      </c>
      <c r="T10" s="179"/>
      <c r="U10" s="179"/>
      <c r="V10" s="178" t="s">
        <v>36</v>
      </c>
      <c r="W10" s="179"/>
      <c r="X10" s="179"/>
      <c r="Y10" s="179"/>
      <c r="Z10" s="179"/>
      <c r="AA10" s="180"/>
      <c r="AB10" s="178" t="s">
        <v>35</v>
      </c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80"/>
      <c r="AR10" s="178" t="s">
        <v>42</v>
      </c>
      <c r="AS10" s="179"/>
      <c r="AT10" s="179"/>
      <c r="AU10" s="179"/>
      <c r="AV10" s="179"/>
      <c r="AW10" s="180"/>
      <c r="AX10" s="178" t="s">
        <v>43</v>
      </c>
      <c r="AY10" s="179"/>
      <c r="AZ10" s="179"/>
      <c r="BA10" s="179"/>
      <c r="BB10" s="179"/>
      <c r="BC10" s="179"/>
      <c r="BD10" s="179"/>
      <c r="BE10" s="179"/>
      <c r="BF10" s="179"/>
      <c r="BG10" s="179"/>
      <c r="BH10" s="179"/>
      <c r="BI10" s="179"/>
      <c r="BJ10" s="179"/>
      <c r="BK10" s="179"/>
      <c r="BL10" s="179"/>
      <c r="BM10" s="179"/>
      <c r="BN10" s="179"/>
      <c r="BO10" s="179"/>
      <c r="BP10" s="179"/>
      <c r="BQ10" s="179"/>
      <c r="BR10" s="179"/>
      <c r="BS10" s="179"/>
      <c r="BT10" s="193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97" t="s">
        <v>61</v>
      </c>
      <c r="F11" s="198"/>
      <c r="G11" s="198"/>
      <c r="H11" s="198"/>
      <c r="I11" s="198"/>
      <c r="J11" s="198"/>
      <c r="K11" s="198"/>
      <c r="L11" s="199"/>
      <c r="M11" s="173" t="s">
        <v>8</v>
      </c>
      <c r="N11" s="168"/>
      <c r="O11" s="168"/>
      <c r="P11" s="173" t="s">
        <v>71</v>
      </c>
      <c r="Q11" s="168"/>
      <c r="R11" s="168"/>
      <c r="S11" s="173">
        <v>8</v>
      </c>
      <c r="T11" s="168"/>
      <c r="U11" s="168"/>
      <c r="V11" s="190" t="s">
        <v>73</v>
      </c>
      <c r="W11" s="191"/>
      <c r="X11" s="191"/>
      <c r="Y11" s="191"/>
      <c r="Z11" s="191"/>
      <c r="AA11" s="194"/>
      <c r="AB11" s="181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3"/>
      <c r="AR11" s="173"/>
      <c r="AS11" s="168"/>
      <c r="AT11" s="168"/>
      <c r="AU11" s="168"/>
      <c r="AV11" s="168"/>
      <c r="AW11" s="169"/>
      <c r="AX11" s="190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2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97" t="s">
        <v>62</v>
      </c>
      <c r="F12" s="198"/>
      <c r="G12" s="198"/>
      <c r="H12" s="198"/>
      <c r="I12" s="198"/>
      <c r="J12" s="198"/>
      <c r="K12" s="198"/>
      <c r="L12" s="199"/>
      <c r="M12" s="173" t="s">
        <v>8</v>
      </c>
      <c r="N12" s="168"/>
      <c r="O12" s="168"/>
      <c r="P12" s="173" t="s">
        <v>71</v>
      </c>
      <c r="Q12" s="168"/>
      <c r="R12" s="168"/>
      <c r="S12" s="173">
        <v>8</v>
      </c>
      <c r="T12" s="168"/>
      <c r="U12" s="168"/>
      <c r="V12" s="190" t="s">
        <v>74</v>
      </c>
      <c r="W12" s="191"/>
      <c r="X12" s="191"/>
      <c r="Y12" s="191"/>
      <c r="Z12" s="191"/>
      <c r="AA12" s="194"/>
      <c r="AB12" s="181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182"/>
      <c r="AO12" s="182"/>
      <c r="AP12" s="182"/>
      <c r="AQ12" s="183"/>
      <c r="AR12" s="173"/>
      <c r="AS12" s="168"/>
      <c r="AT12" s="168"/>
      <c r="AU12" s="168"/>
      <c r="AV12" s="168"/>
      <c r="AW12" s="169"/>
      <c r="AX12" s="190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2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97" t="s">
        <v>63</v>
      </c>
      <c r="F13" s="198"/>
      <c r="G13" s="198"/>
      <c r="H13" s="198"/>
      <c r="I13" s="198"/>
      <c r="J13" s="198"/>
      <c r="K13" s="198"/>
      <c r="L13" s="199"/>
      <c r="M13" s="173" t="s">
        <v>8</v>
      </c>
      <c r="N13" s="168"/>
      <c r="O13" s="168"/>
      <c r="P13" s="173" t="s">
        <v>71</v>
      </c>
      <c r="Q13" s="168"/>
      <c r="R13" s="168"/>
      <c r="S13" s="173">
        <v>8</v>
      </c>
      <c r="T13" s="168"/>
      <c r="U13" s="168"/>
      <c r="V13" s="190" t="s">
        <v>75</v>
      </c>
      <c r="W13" s="191"/>
      <c r="X13" s="191"/>
      <c r="Y13" s="191"/>
      <c r="Z13" s="191"/>
      <c r="AA13" s="194"/>
      <c r="AB13" s="181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3"/>
      <c r="AR13" s="173"/>
      <c r="AS13" s="168"/>
      <c r="AT13" s="168"/>
      <c r="AU13" s="168"/>
      <c r="AV13" s="168"/>
      <c r="AW13" s="169"/>
      <c r="AX13" s="190"/>
      <c r="AY13" s="191"/>
      <c r="AZ13" s="191"/>
      <c r="BA13" s="191"/>
      <c r="BB13" s="191"/>
      <c r="BC13" s="191"/>
      <c r="BD13" s="191"/>
      <c r="BE13" s="191"/>
      <c r="BF13" s="191"/>
      <c r="BG13" s="191"/>
      <c r="BH13" s="191"/>
      <c r="BI13" s="191"/>
      <c r="BJ13" s="191"/>
      <c r="BK13" s="191"/>
      <c r="BL13" s="191"/>
      <c r="BM13" s="191"/>
      <c r="BN13" s="191"/>
      <c r="BO13" s="191"/>
      <c r="BP13" s="191"/>
      <c r="BQ13" s="191"/>
      <c r="BR13" s="191"/>
      <c r="BS13" s="191"/>
      <c r="BT13" s="192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97" t="s">
        <v>64</v>
      </c>
      <c r="F14" s="198"/>
      <c r="G14" s="198"/>
      <c r="H14" s="198"/>
      <c r="I14" s="198"/>
      <c r="J14" s="198"/>
      <c r="K14" s="198"/>
      <c r="L14" s="199"/>
      <c r="M14" s="173" t="s">
        <v>38</v>
      </c>
      <c r="N14" s="168"/>
      <c r="O14" s="168"/>
      <c r="P14" s="173" t="s">
        <v>71</v>
      </c>
      <c r="Q14" s="168"/>
      <c r="R14" s="168"/>
      <c r="S14" s="173">
        <v>4</v>
      </c>
      <c r="T14" s="168"/>
      <c r="U14" s="168"/>
      <c r="V14" s="190" t="s">
        <v>141</v>
      </c>
      <c r="W14" s="191"/>
      <c r="X14" s="191"/>
      <c r="Y14" s="191"/>
      <c r="Z14" s="191"/>
      <c r="AA14" s="194"/>
      <c r="AB14" s="181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3"/>
      <c r="AR14" s="173"/>
      <c r="AS14" s="168"/>
      <c r="AT14" s="168"/>
      <c r="AU14" s="168"/>
      <c r="AV14" s="168"/>
      <c r="AW14" s="169"/>
      <c r="AX14" s="190"/>
      <c r="AY14" s="191"/>
      <c r="AZ14" s="191"/>
      <c r="BA14" s="191"/>
      <c r="BB14" s="191"/>
      <c r="BC14" s="191"/>
      <c r="BD14" s="191"/>
      <c r="BE14" s="191"/>
      <c r="BF14" s="191"/>
      <c r="BG14" s="191"/>
      <c r="BH14" s="191"/>
      <c r="BI14" s="191"/>
      <c r="BJ14" s="191"/>
      <c r="BK14" s="191"/>
      <c r="BL14" s="191"/>
      <c r="BM14" s="191"/>
      <c r="BN14" s="191"/>
      <c r="BO14" s="191"/>
      <c r="BP14" s="191"/>
      <c r="BQ14" s="191"/>
      <c r="BR14" s="191"/>
      <c r="BS14" s="191"/>
      <c r="BT14" s="192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97" t="s">
        <v>66</v>
      </c>
      <c r="F15" s="198"/>
      <c r="G15" s="198"/>
      <c r="H15" s="198"/>
      <c r="I15" s="198"/>
      <c r="J15" s="198"/>
      <c r="K15" s="198"/>
      <c r="L15" s="199"/>
      <c r="M15" s="173" t="s">
        <v>38</v>
      </c>
      <c r="N15" s="168"/>
      <c r="O15" s="168"/>
      <c r="P15" s="173" t="s">
        <v>72</v>
      </c>
      <c r="Q15" s="168"/>
      <c r="R15" s="168"/>
      <c r="S15" s="166" t="s">
        <v>76</v>
      </c>
      <c r="T15" s="196"/>
      <c r="U15" s="196"/>
      <c r="V15" s="190" t="s">
        <v>142</v>
      </c>
      <c r="W15" s="191"/>
      <c r="X15" s="191"/>
      <c r="Y15" s="191"/>
      <c r="Z15" s="191"/>
      <c r="AA15" s="194"/>
      <c r="AB15" s="181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3"/>
      <c r="AR15" s="173"/>
      <c r="AS15" s="168"/>
      <c r="AT15" s="168"/>
      <c r="AU15" s="168"/>
      <c r="AV15" s="168"/>
      <c r="AW15" s="169"/>
      <c r="AX15" s="190"/>
      <c r="AY15" s="191"/>
      <c r="AZ15" s="191"/>
      <c r="BA15" s="191"/>
      <c r="BB15" s="191"/>
      <c r="BC15" s="191"/>
      <c r="BD15" s="191"/>
      <c r="BE15" s="191"/>
      <c r="BF15" s="191"/>
      <c r="BG15" s="191"/>
      <c r="BH15" s="191"/>
      <c r="BI15" s="191"/>
      <c r="BJ15" s="191"/>
      <c r="BK15" s="191"/>
      <c r="BL15" s="191"/>
      <c r="BM15" s="191"/>
      <c r="BN15" s="191"/>
      <c r="BO15" s="191"/>
      <c r="BP15" s="191"/>
      <c r="BQ15" s="191"/>
      <c r="BR15" s="191"/>
      <c r="BS15" s="191"/>
      <c r="BT15" s="192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97" t="s">
        <v>65</v>
      </c>
      <c r="F16" s="198"/>
      <c r="G16" s="198"/>
      <c r="H16" s="198"/>
      <c r="I16" s="198"/>
      <c r="J16" s="198"/>
      <c r="K16" s="198"/>
      <c r="L16" s="199"/>
      <c r="M16" s="173" t="s">
        <v>38</v>
      </c>
      <c r="N16" s="168"/>
      <c r="O16" s="168"/>
      <c r="P16" s="173" t="s">
        <v>72</v>
      </c>
      <c r="Q16" s="168"/>
      <c r="R16" s="168"/>
      <c r="S16" s="166" t="s">
        <v>76</v>
      </c>
      <c r="T16" s="196"/>
      <c r="U16" s="196"/>
      <c r="V16" s="190" t="s">
        <v>143</v>
      </c>
      <c r="W16" s="191"/>
      <c r="X16" s="191"/>
      <c r="Y16" s="191"/>
      <c r="Z16" s="191"/>
      <c r="AA16" s="194"/>
      <c r="AB16" s="181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3"/>
      <c r="AR16" s="173"/>
      <c r="AS16" s="168"/>
      <c r="AT16" s="168"/>
      <c r="AU16" s="168"/>
      <c r="AV16" s="168"/>
      <c r="AW16" s="169"/>
      <c r="AX16" s="190"/>
      <c r="AY16" s="191"/>
      <c r="AZ16" s="191"/>
      <c r="BA16" s="191"/>
      <c r="BB16" s="191"/>
      <c r="BC16" s="191"/>
      <c r="BD16" s="191"/>
      <c r="BE16" s="191"/>
      <c r="BF16" s="191"/>
      <c r="BG16" s="191"/>
      <c r="BH16" s="191"/>
      <c r="BI16" s="191"/>
      <c r="BJ16" s="191"/>
      <c r="BK16" s="191"/>
      <c r="BL16" s="191"/>
      <c r="BM16" s="191"/>
      <c r="BN16" s="191"/>
      <c r="BO16" s="191"/>
      <c r="BP16" s="191"/>
      <c r="BQ16" s="191"/>
      <c r="BR16" s="191"/>
      <c r="BS16" s="191"/>
      <c r="BT16" s="192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97" t="s">
        <v>67</v>
      </c>
      <c r="F17" s="198"/>
      <c r="G17" s="198"/>
      <c r="H17" s="198"/>
      <c r="I17" s="198"/>
      <c r="J17" s="198"/>
      <c r="K17" s="198"/>
      <c r="L17" s="199"/>
      <c r="M17" s="173" t="s">
        <v>8</v>
      </c>
      <c r="N17" s="168"/>
      <c r="O17" s="168"/>
      <c r="P17" s="173" t="s">
        <v>71</v>
      </c>
      <c r="Q17" s="168"/>
      <c r="R17" s="168"/>
      <c r="S17" s="173">
        <v>8</v>
      </c>
      <c r="T17" s="168"/>
      <c r="U17" s="168"/>
      <c r="V17" s="190" t="s">
        <v>144</v>
      </c>
      <c r="W17" s="191"/>
      <c r="X17" s="191"/>
      <c r="Y17" s="191"/>
      <c r="Z17" s="191"/>
      <c r="AA17" s="194"/>
      <c r="AB17" s="181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3"/>
      <c r="AR17" s="173"/>
      <c r="AS17" s="168"/>
      <c r="AT17" s="168"/>
      <c r="AU17" s="168"/>
      <c r="AV17" s="168"/>
      <c r="AW17" s="169"/>
      <c r="AX17" s="190"/>
      <c r="AY17" s="191"/>
      <c r="AZ17" s="191"/>
      <c r="BA17" s="191"/>
      <c r="BB17" s="191"/>
      <c r="BC17" s="191"/>
      <c r="BD17" s="191"/>
      <c r="BE17" s="191"/>
      <c r="BF17" s="191"/>
      <c r="BG17" s="191"/>
      <c r="BH17" s="191"/>
      <c r="BI17" s="191"/>
      <c r="BJ17" s="191"/>
      <c r="BK17" s="191"/>
      <c r="BL17" s="191"/>
      <c r="BM17" s="191"/>
      <c r="BN17" s="191"/>
      <c r="BO17" s="191"/>
      <c r="BP17" s="191"/>
      <c r="BQ17" s="191"/>
      <c r="BR17" s="191"/>
      <c r="BS17" s="191"/>
      <c r="BT17" s="192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97" t="s">
        <v>68</v>
      </c>
      <c r="F18" s="198"/>
      <c r="G18" s="198"/>
      <c r="H18" s="198"/>
      <c r="I18" s="198"/>
      <c r="J18" s="198"/>
      <c r="K18" s="198"/>
      <c r="L18" s="199"/>
      <c r="M18" s="173" t="s">
        <v>47</v>
      </c>
      <c r="N18" s="168"/>
      <c r="O18" s="168"/>
      <c r="P18" s="173" t="s">
        <v>71</v>
      </c>
      <c r="Q18" s="168"/>
      <c r="R18" s="168"/>
      <c r="S18" s="173">
        <v>9</v>
      </c>
      <c r="T18" s="168"/>
      <c r="U18" s="168"/>
      <c r="V18" s="190" t="s">
        <v>145</v>
      </c>
      <c r="W18" s="191"/>
      <c r="X18" s="191"/>
      <c r="Y18" s="191"/>
      <c r="Z18" s="191"/>
      <c r="AA18" s="194"/>
      <c r="AB18" s="181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3"/>
      <c r="AR18" s="173"/>
      <c r="AS18" s="168"/>
      <c r="AT18" s="168"/>
      <c r="AU18" s="168"/>
      <c r="AV18" s="168"/>
      <c r="AW18" s="169"/>
      <c r="AX18" s="190"/>
      <c r="AY18" s="191"/>
      <c r="AZ18" s="191"/>
      <c r="BA18" s="191"/>
      <c r="BB18" s="191"/>
      <c r="BC18" s="191"/>
      <c r="BD18" s="191"/>
      <c r="BE18" s="191"/>
      <c r="BF18" s="191"/>
      <c r="BG18" s="191"/>
      <c r="BH18" s="191"/>
      <c r="BI18" s="191"/>
      <c r="BJ18" s="191"/>
      <c r="BK18" s="191"/>
      <c r="BL18" s="191"/>
      <c r="BM18" s="191"/>
      <c r="BN18" s="191"/>
      <c r="BO18" s="191"/>
      <c r="BP18" s="191"/>
      <c r="BQ18" s="191"/>
      <c r="BR18" s="191"/>
      <c r="BS18" s="191"/>
      <c r="BT18" s="192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97" t="s">
        <v>69</v>
      </c>
      <c r="F19" s="198"/>
      <c r="G19" s="198"/>
      <c r="H19" s="198"/>
      <c r="I19" s="198"/>
      <c r="J19" s="198"/>
      <c r="K19" s="198"/>
      <c r="L19" s="199"/>
      <c r="M19" s="173" t="s">
        <v>8</v>
      </c>
      <c r="N19" s="168"/>
      <c r="O19" s="168"/>
      <c r="P19" s="173" t="s">
        <v>71</v>
      </c>
      <c r="Q19" s="168"/>
      <c r="R19" s="168"/>
      <c r="S19" s="173">
        <v>8</v>
      </c>
      <c r="T19" s="168"/>
      <c r="U19" s="168"/>
      <c r="V19" s="190" t="s">
        <v>146</v>
      </c>
      <c r="W19" s="191"/>
      <c r="X19" s="191"/>
      <c r="Y19" s="191"/>
      <c r="Z19" s="191"/>
      <c r="AA19" s="194"/>
      <c r="AB19" s="181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3"/>
      <c r="AR19" s="173"/>
      <c r="AS19" s="168"/>
      <c r="AT19" s="168"/>
      <c r="AU19" s="168"/>
      <c r="AV19" s="168"/>
      <c r="AW19" s="169"/>
      <c r="AX19" s="190"/>
      <c r="AY19" s="191"/>
      <c r="AZ19" s="191"/>
      <c r="BA19" s="191"/>
      <c r="BB19" s="191"/>
      <c r="BC19" s="191"/>
      <c r="BD19" s="191"/>
      <c r="BE19" s="191"/>
      <c r="BF19" s="191"/>
      <c r="BG19" s="191"/>
      <c r="BH19" s="191"/>
      <c r="BI19" s="191"/>
      <c r="BJ19" s="191"/>
      <c r="BK19" s="191"/>
      <c r="BL19" s="191"/>
      <c r="BM19" s="191"/>
      <c r="BN19" s="191"/>
      <c r="BO19" s="191"/>
      <c r="BP19" s="191"/>
      <c r="BQ19" s="191"/>
      <c r="BR19" s="191"/>
      <c r="BS19" s="191"/>
      <c r="BT19" s="192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97" t="s">
        <v>70</v>
      </c>
      <c r="F20" s="198"/>
      <c r="G20" s="198"/>
      <c r="H20" s="198"/>
      <c r="I20" s="198"/>
      <c r="J20" s="198"/>
      <c r="K20" s="198"/>
      <c r="L20" s="199"/>
      <c r="M20" s="173" t="s">
        <v>38</v>
      </c>
      <c r="N20" s="168"/>
      <c r="O20" s="168"/>
      <c r="P20" s="173" t="s">
        <v>72</v>
      </c>
      <c r="Q20" s="168"/>
      <c r="R20" s="168"/>
      <c r="S20" s="173">
        <v>8</v>
      </c>
      <c r="T20" s="168"/>
      <c r="U20" s="168"/>
      <c r="V20" s="190"/>
      <c r="W20" s="191"/>
      <c r="X20" s="191"/>
      <c r="Y20" s="191"/>
      <c r="Z20" s="191"/>
      <c r="AA20" s="194"/>
      <c r="AB20" s="181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3"/>
      <c r="AR20" s="173"/>
      <c r="AS20" s="168"/>
      <c r="AT20" s="168"/>
      <c r="AU20" s="168"/>
      <c r="AV20" s="168"/>
      <c r="AW20" s="169"/>
      <c r="AX20" s="190"/>
      <c r="AY20" s="191"/>
      <c r="AZ20" s="191"/>
      <c r="BA20" s="191"/>
      <c r="BB20" s="191"/>
      <c r="BC20" s="191"/>
      <c r="BD20" s="191"/>
      <c r="BE20" s="191"/>
      <c r="BF20" s="191"/>
      <c r="BG20" s="191"/>
      <c r="BH20" s="191"/>
      <c r="BI20" s="191"/>
      <c r="BJ20" s="191"/>
      <c r="BK20" s="191"/>
      <c r="BL20" s="191"/>
      <c r="BM20" s="191"/>
      <c r="BN20" s="191"/>
      <c r="BO20" s="191"/>
      <c r="BP20" s="191"/>
      <c r="BQ20" s="191"/>
      <c r="BR20" s="191"/>
      <c r="BS20" s="191"/>
      <c r="BT20" s="192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97"/>
      <c r="F21" s="198"/>
      <c r="G21" s="198"/>
      <c r="H21" s="198"/>
      <c r="I21" s="198"/>
      <c r="J21" s="198"/>
      <c r="K21" s="198"/>
      <c r="L21" s="199"/>
      <c r="M21" s="173"/>
      <c r="N21" s="168"/>
      <c r="O21" s="168"/>
      <c r="P21" s="173"/>
      <c r="Q21" s="168"/>
      <c r="R21" s="168"/>
      <c r="S21" s="173"/>
      <c r="T21" s="168"/>
      <c r="U21" s="168"/>
      <c r="V21" s="190"/>
      <c r="W21" s="191"/>
      <c r="X21" s="191"/>
      <c r="Y21" s="191"/>
      <c r="Z21" s="191"/>
      <c r="AA21" s="194"/>
      <c r="AB21" s="181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3"/>
      <c r="AR21" s="173"/>
      <c r="AS21" s="168"/>
      <c r="AT21" s="168"/>
      <c r="AU21" s="168"/>
      <c r="AV21" s="168"/>
      <c r="AW21" s="169"/>
      <c r="AX21" s="190"/>
      <c r="AY21" s="191"/>
      <c r="AZ21" s="191"/>
      <c r="BA21" s="191"/>
      <c r="BB21" s="191"/>
      <c r="BC21" s="191"/>
      <c r="BD21" s="191"/>
      <c r="BE21" s="191"/>
      <c r="BF21" s="191"/>
      <c r="BG21" s="191"/>
      <c r="BH21" s="191"/>
      <c r="BI21" s="191"/>
      <c r="BJ21" s="191"/>
      <c r="BK21" s="191"/>
      <c r="BL21" s="191"/>
      <c r="BM21" s="191"/>
      <c r="BN21" s="191"/>
      <c r="BO21" s="191"/>
      <c r="BP21" s="191"/>
      <c r="BQ21" s="191"/>
      <c r="BR21" s="191"/>
      <c r="BS21" s="191"/>
      <c r="BT21" s="192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97"/>
      <c r="F22" s="198"/>
      <c r="G22" s="198"/>
      <c r="H22" s="198"/>
      <c r="I22" s="198"/>
      <c r="J22" s="198"/>
      <c r="K22" s="198"/>
      <c r="L22" s="199"/>
      <c r="M22" s="173"/>
      <c r="N22" s="168"/>
      <c r="O22" s="168"/>
      <c r="P22" s="173"/>
      <c r="Q22" s="168"/>
      <c r="R22" s="168"/>
      <c r="S22" s="173"/>
      <c r="T22" s="168"/>
      <c r="U22" s="168"/>
      <c r="V22" s="190"/>
      <c r="W22" s="191"/>
      <c r="X22" s="191"/>
      <c r="Y22" s="191"/>
      <c r="Z22" s="191"/>
      <c r="AA22" s="194"/>
      <c r="AB22" s="181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183"/>
      <c r="AR22" s="173"/>
      <c r="AS22" s="168"/>
      <c r="AT22" s="168"/>
      <c r="AU22" s="168"/>
      <c r="AV22" s="168"/>
      <c r="AW22" s="169"/>
      <c r="AX22" s="190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  <c r="BK22" s="191"/>
      <c r="BL22" s="191"/>
      <c r="BM22" s="191"/>
      <c r="BN22" s="191"/>
      <c r="BO22" s="191"/>
      <c r="BP22" s="191"/>
      <c r="BQ22" s="191"/>
      <c r="BR22" s="191"/>
      <c r="BS22" s="191"/>
      <c r="BT22" s="192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97"/>
      <c r="F23" s="198"/>
      <c r="G23" s="198"/>
      <c r="H23" s="198"/>
      <c r="I23" s="198"/>
      <c r="J23" s="198"/>
      <c r="K23" s="198"/>
      <c r="L23" s="199"/>
      <c r="M23" s="173"/>
      <c r="N23" s="168"/>
      <c r="O23" s="168"/>
      <c r="P23" s="173"/>
      <c r="Q23" s="168"/>
      <c r="R23" s="168"/>
      <c r="S23" s="173"/>
      <c r="T23" s="168"/>
      <c r="U23" s="168"/>
      <c r="V23" s="190"/>
      <c r="W23" s="191"/>
      <c r="X23" s="191"/>
      <c r="Y23" s="191"/>
      <c r="Z23" s="191"/>
      <c r="AA23" s="194"/>
      <c r="AB23" s="181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183"/>
      <c r="AR23" s="173"/>
      <c r="AS23" s="168"/>
      <c r="AT23" s="168"/>
      <c r="AU23" s="168"/>
      <c r="AV23" s="168"/>
      <c r="AW23" s="169"/>
      <c r="AX23" s="190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91"/>
      <c r="BN23" s="191"/>
      <c r="BO23" s="191"/>
      <c r="BP23" s="191"/>
      <c r="BQ23" s="191"/>
      <c r="BR23" s="191"/>
      <c r="BS23" s="191"/>
      <c r="BT23" s="192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97"/>
      <c r="F24" s="198"/>
      <c r="G24" s="198"/>
      <c r="H24" s="198"/>
      <c r="I24" s="198"/>
      <c r="J24" s="198"/>
      <c r="K24" s="198"/>
      <c r="L24" s="199"/>
      <c r="M24" s="173"/>
      <c r="N24" s="168"/>
      <c r="O24" s="168"/>
      <c r="P24" s="173"/>
      <c r="Q24" s="168"/>
      <c r="R24" s="168"/>
      <c r="S24" s="173"/>
      <c r="T24" s="168"/>
      <c r="U24" s="168"/>
      <c r="V24" s="190"/>
      <c r="W24" s="191"/>
      <c r="X24" s="191"/>
      <c r="Y24" s="191"/>
      <c r="Z24" s="191"/>
      <c r="AA24" s="194"/>
      <c r="AB24" s="181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3"/>
      <c r="AR24" s="173"/>
      <c r="AS24" s="168"/>
      <c r="AT24" s="168"/>
      <c r="AU24" s="168"/>
      <c r="AV24" s="168"/>
      <c r="AW24" s="169"/>
      <c r="AX24" s="190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91"/>
      <c r="BN24" s="191"/>
      <c r="BO24" s="191"/>
      <c r="BP24" s="191"/>
      <c r="BQ24" s="191"/>
      <c r="BR24" s="191"/>
      <c r="BS24" s="191"/>
      <c r="BT24" s="192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97"/>
      <c r="F25" s="198"/>
      <c r="G25" s="198"/>
      <c r="H25" s="198"/>
      <c r="I25" s="198"/>
      <c r="J25" s="198"/>
      <c r="K25" s="198"/>
      <c r="L25" s="199"/>
      <c r="M25" s="173"/>
      <c r="N25" s="168"/>
      <c r="O25" s="168"/>
      <c r="P25" s="173"/>
      <c r="Q25" s="168"/>
      <c r="R25" s="168"/>
      <c r="S25" s="173"/>
      <c r="T25" s="168"/>
      <c r="U25" s="168"/>
      <c r="V25" s="190"/>
      <c r="W25" s="191"/>
      <c r="X25" s="191"/>
      <c r="Y25" s="191"/>
      <c r="Z25" s="191"/>
      <c r="AA25" s="194"/>
      <c r="AB25" s="181"/>
      <c r="AC25" s="182"/>
      <c r="AD25" s="182"/>
      <c r="AE25" s="182"/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183"/>
      <c r="AR25" s="173"/>
      <c r="AS25" s="168"/>
      <c r="AT25" s="168"/>
      <c r="AU25" s="168"/>
      <c r="AV25" s="168"/>
      <c r="AW25" s="169"/>
      <c r="AX25" s="190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91"/>
      <c r="BN25" s="191"/>
      <c r="BO25" s="191"/>
      <c r="BP25" s="191"/>
      <c r="BQ25" s="191"/>
      <c r="BR25" s="191"/>
      <c r="BS25" s="191"/>
      <c r="BT25" s="192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97"/>
      <c r="F26" s="198"/>
      <c r="G26" s="198"/>
      <c r="H26" s="198"/>
      <c r="I26" s="198"/>
      <c r="J26" s="198"/>
      <c r="K26" s="198"/>
      <c r="L26" s="199"/>
      <c r="M26" s="173"/>
      <c r="N26" s="168"/>
      <c r="O26" s="168"/>
      <c r="P26" s="173"/>
      <c r="Q26" s="168"/>
      <c r="R26" s="168"/>
      <c r="S26" s="173"/>
      <c r="T26" s="168"/>
      <c r="U26" s="168"/>
      <c r="V26" s="190"/>
      <c r="W26" s="191"/>
      <c r="X26" s="191"/>
      <c r="Y26" s="191"/>
      <c r="Z26" s="191"/>
      <c r="AA26" s="194"/>
      <c r="AB26" s="181"/>
      <c r="AC26" s="182"/>
      <c r="AD26" s="182"/>
      <c r="AE26" s="182"/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183"/>
      <c r="AR26" s="173"/>
      <c r="AS26" s="168"/>
      <c r="AT26" s="168"/>
      <c r="AU26" s="168"/>
      <c r="AV26" s="168"/>
      <c r="AW26" s="169"/>
      <c r="AX26" s="190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91"/>
      <c r="BN26" s="191"/>
      <c r="BO26" s="191"/>
      <c r="BP26" s="191"/>
      <c r="BQ26" s="191"/>
      <c r="BR26" s="191"/>
      <c r="BS26" s="191"/>
      <c r="BT26" s="192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97"/>
      <c r="F27" s="198"/>
      <c r="G27" s="198"/>
      <c r="H27" s="198"/>
      <c r="I27" s="198"/>
      <c r="J27" s="198"/>
      <c r="K27" s="198"/>
      <c r="L27" s="199"/>
      <c r="M27" s="173"/>
      <c r="N27" s="168"/>
      <c r="O27" s="168"/>
      <c r="P27" s="173"/>
      <c r="Q27" s="168"/>
      <c r="R27" s="168"/>
      <c r="S27" s="173"/>
      <c r="T27" s="168"/>
      <c r="U27" s="168"/>
      <c r="V27" s="190"/>
      <c r="W27" s="191"/>
      <c r="X27" s="191"/>
      <c r="Y27" s="191"/>
      <c r="Z27" s="191"/>
      <c r="AA27" s="194"/>
      <c r="AB27" s="181"/>
      <c r="AC27" s="182"/>
      <c r="AD27" s="182"/>
      <c r="AE27" s="182"/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183"/>
      <c r="AR27" s="173"/>
      <c r="AS27" s="168"/>
      <c r="AT27" s="168"/>
      <c r="AU27" s="168"/>
      <c r="AV27" s="168"/>
      <c r="AW27" s="169"/>
      <c r="AX27" s="190"/>
      <c r="AY27" s="191"/>
      <c r="AZ27" s="191"/>
      <c r="BA27" s="191"/>
      <c r="BB27" s="191"/>
      <c r="BC27" s="191"/>
      <c r="BD27" s="191"/>
      <c r="BE27" s="191"/>
      <c r="BF27" s="191"/>
      <c r="BG27" s="191"/>
      <c r="BH27" s="191"/>
      <c r="BI27" s="191"/>
      <c r="BJ27" s="191"/>
      <c r="BK27" s="191"/>
      <c r="BL27" s="191"/>
      <c r="BM27" s="191"/>
      <c r="BN27" s="191"/>
      <c r="BO27" s="191"/>
      <c r="BP27" s="191"/>
      <c r="BQ27" s="191"/>
      <c r="BR27" s="191"/>
      <c r="BS27" s="191"/>
      <c r="BT27" s="192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97"/>
      <c r="F28" s="198"/>
      <c r="G28" s="198"/>
      <c r="H28" s="198"/>
      <c r="I28" s="198"/>
      <c r="J28" s="198"/>
      <c r="K28" s="198"/>
      <c r="L28" s="199"/>
      <c r="M28" s="173"/>
      <c r="N28" s="168"/>
      <c r="O28" s="168"/>
      <c r="P28" s="173"/>
      <c r="Q28" s="168"/>
      <c r="R28" s="168"/>
      <c r="S28" s="173"/>
      <c r="T28" s="168"/>
      <c r="U28" s="168"/>
      <c r="V28" s="190"/>
      <c r="W28" s="191"/>
      <c r="X28" s="191"/>
      <c r="Y28" s="191"/>
      <c r="Z28" s="191"/>
      <c r="AA28" s="194"/>
      <c r="AB28" s="181"/>
      <c r="AC28" s="182"/>
      <c r="AD28" s="182"/>
      <c r="AE28" s="182"/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183"/>
      <c r="AR28" s="173"/>
      <c r="AS28" s="168"/>
      <c r="AT28" s="168"/>
      <c r="AU28" s="168"/>
      <c r="AV28" s="168"/>
      <c r="AW28" s="169"/>
      <c r="AX28" s="190"/>
      <c r="AY28" s="191"/>
      <c r="AZ28" s="191"/>
      <c r="BA28" s="191"/>
      <c r="BB28" s="191"/>
      <c r="BC28" s="191"/>
      <c r="BD28" s="191"/>
      <c r="BE28" s="191"/>
      <c r="BF28" s="191"/>
      <c r="BG28" s="191"/>
      <c r="BH28" s="191"/>
      <c r="BI28" s="191"/>
      <c r="BJ28" s="191"/>
      <c r="BK28" s="191"/>
      <c r="BL28" s="191"/>
      <c r="BM28" s="191"/>
      <c r="BN28" s="191"/>
      <c r="BO28" s="191"/>
      <c r="BP28" s="191"/>
      <c r="BQ28" s="191"/>
      <c r="BR28" s="191"/>
      <c r="BS28" s="191"/>
      <c r="BT28" s="192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97"/>
      <c r="F29" s="198"/>
      <c r="G29" s="198"/>
      <c r="H29" s="198"/>
      <c r="I29" s="198"/>
      <c r="J29" s="198"/>
      <c r="K29" s="198"/>
      <c r="L29" s="199"/>
      <c r="M29" s="173"/>
      <c r="N29" s="168"/>
      <c r="O29" s="168"/>
      <c r="P29" s="173"/>
      <c r="Q29" s="168"/>
      <c r="R29" s="168"/>
      <c r="S29" s="173"/>
      <c r="T29" s="168"/>
      <c r="U29" s="168"/>
      <c r="V29" s="190"/>
      <c r="W29" s="191"/>
      <c r="X29" s="191"/>
      <c r="Y29" s="191"/>
      <c r="Z29" s="191"/>
      <c r="AA29" s="194"/>
      <c r="AB29" s="181"/>
      <c r="AC29" s="182"/>
      <c r="AD29" s="182"/>
      <c r="AE29" s="182"/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183"/>
      <c r="AR29" s="173"/>
      <c r="AS29" s="168"/>
      <c r="AT29" s="168"/>
      <c r="AU29" s="168"/>
      <c r="AV29" s="168"/>
      <c r="AW29" s="169"/>
      <c r="AX29" s="190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2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>
        <v>20</v>
      </c>
      <c r="E30" s="203"/>
      <c r="F30" s="204"/>
      <c r="G30" s="204"/>
      <c r="H30" s="204"/>
      <c r="I30" s="204"/>
      <c r="J30" s="204"/>
      <c r="K30" s="204"/>
      <c r="L30" s="205"/>
      <c r="M30" s="175"/>
      <c r="N30" s="176"/>
      <c r="O30" s="177"/>
      <c r="P30" s="175"/>
      <c r="Q30" s="176"/>
      <c r="R30" s="176"/>
      <c r="S30" s="175"/>
      <c r="T30" s="176"/>
      <c r="U30" s="176"/>
      <c r="V30" s="187"/>
      <c r="W30" s="188"/>
      <c r="X30" s="188"/>
      <c r="Y30" s="188"/>
      <c r="Z30" s="188"/>
      <c r="AA30" s="195"/>
      <c r="AB30" s="184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6"/>
      <c r="AR30" s="175"/>
      <c r="AS30" s="176"/>
      <c r="AT30" s="176"/>
      <c r="AU30" s="176"/>
      <c r="AV30" s="176"/>
      <c r="AW30" s="177"/>
      <c r="AX30" s="187"/>
      <c r="AY30" s="188"/>
      <c r="AZ30" s="188"/>
      <c r="BA30" s="188"/>
      <c r="BB30" s="188"/>
      <c r="BC30" s="188"/>
      <c r="BD30" s="188"/>
      <c r="BE30" s="188"/>
      <c r="BF30" s="188"/>
      <c r="BG30" s="188"/>
      <c r="BH30" s="188"/>
      <c r="BI30" s="188"/>
      <c r="BJ30" s="188"/>
      <c r="BK30" s="188"/>
      <c r="BL30" s="188"/>
      <c r="BM30" s="188"/>
      <c r="BN30" s="188"/>
      <c r="BO30" s="188"/>
      <c r="BP30" s="188"/>
      <c r="BQ30" s="188"/>
      <c r="BR30" s="188"/>
      <c r="BS30" s="188"/>
      <c r="BT30" s="189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88"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</mergeCells>
  <phoneticPr fontId="1"/>
  <dataValidations count="1">
    <dataValidation type="list" allowBlank="1" showInputMessage="1" showErrorMessage="1" sqref="M11:O20">
      <formula1>#REF!</formula1>
    </dataValidation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M21:O30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19"/>
  <sheetViews>
    <sheetView zoomScaleNormal="100" zoomScaleSheetLayoutView="100" workbookViewId="0">
      <selection activeCell="R33" sqref="R33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15" t="s">
        <v>0</v>
      </c>
      <c r="C2" s="210"/>
      <c r="D2" s="210"/>
      <c r="E2" s="210"/>
      <c r="F2" s="210"/>
      <c r="G2" s="210"/>
      <c r="H2" s="210" t="s">
        <v>17</v>
      </c>
      <c r="I2" s="210"/>
      <c r="J2" s="210"/>
      <c r="K2" s="210"/>
      <c r="L2" s="210" t="s">
        <v>150</v>
      </c>
      <c r="M2" s="210"/>
      <c r="N2" s="210"/>
      <c r="O2" s="210"/>
      <c r="P2" s="210"/>
      <c r="Q2" s="210"/>
      <c r="R2" s="210" t="s">
        <v>2</v>
      </c>
      <c r="S2" s="210"/>
      <c r="T2" s="210"/>
      <c r="U2" s="210"/>
      <c r="V2" s="210"/>
      <c r="W2" s="210"/>
      <c r="X2" s="216" t="s">
        <v>3</v>
      </c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8"/>
      <c r="AK2" s="216" t="s">
        <v>32</v>
      </c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8"/>
      <c r="AX2" s="210" t="s">
        <v>5</v>
      </c>
      <c r="AY2" s="210"/>
      <c r="AZ2" s="210"/>
      <c r="BA2" s="210"/>
      <c r="BB2" s="210" t="s">
        <v>4</v>
      </c>
      <c r="BC2" s="210"/>
      <c r="BD2" s="210"/>
      <c r="BE2" s="210"/>
      <c r="BF2" s="210" t="s">
        <v>6</v>
      </c>
      <c r="BG2" s="210"/>
      <c r="BH2" s="210"/>
      <c r="BI2" s="210"/>
      <c r="BJ2" s="210" t="s">
        <v>7</v>
      </c>
      <c r="BK2" s="210"/>
      <c r="BL2" s="210"/>
      <c r="BM2" s="211"/>
    </row>
    <row r="3" spans="2:65" ht="20.100000000000001" customHeight="1" x14ac:dyDescent="0.45">
      <c r="B3" s="219" t="str">
        <f>変更履歴!B3</f>
        <v>受発注システム</v>
      </c>
      <c r="C3" s="154"/>
      <c r="D3" s="154"/>
      <c r="E3" s="154"/>
      <c r="F3" s="154"/>
      <c r="G3" s="154"/>
      <c r="H3" s="154" t="str">
        <f ca="1">変更履歴!H3</f>
        <v>UN0800</v>
      </c>
      <c r="I3" s="154"/>
      <c r="J3" s="154"/>
      <c r="K3" s="154"/>
      <c r="L3" s="154" t="str">
        <f>変更履歴!L3</f>
        <v>受発注</v>
      </c>
      <c r="M3" s="154"/>
      <c r="N3" s="154"/>
      <c r="O3" s="154"/>
      <c r="P3" s="154"/>
      <c r="Q3" s="154"/>
      <c r="R3" s="154" t="str">
        <f ca="1">変更履歴!R3</f>
        <v>帳票設計書</v>
      </c>
      <c r="S3" s="154"/>
      <c r="T3" s="154"/>
      <c r="U3" s="154"/>
      <c r="V3" s="154"/>
      <c r="W3" s="154"/>
      <c r="X3" s="158" t="str">
        <f ca="1">変更履歴!X3</f>
        <v>UN0800_入金予定表_帳票設計書</v>
      </c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5"/>
      <c r="AK3" s="158" t="str">
        <f ca="1">変更履歴!AK3</f>
        <v>入金予定表</v>
      </c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5"/>
      <c r="AX3" s="165">
        <f>変更履歴!AX3</f>
        <v>45608</v>
      </c>
      <c r="AY3" s="165"/>
      <c r="AZ3" s="165"/>
      <c r="BA3" s="165"/>
      <c r="BB3" s="154" t="str">
        <f>変更履歴!BB3</f>
        <v>大谷</v>
      </c>
      <c r="BC3" s="154"/>
      <c r="BD3" s="154"/>
      <c r="BE3" s="154"/>
      <c r="BF3" s="165">
        <f>変更履歴!BF3</f>
        <v>45608</v>
      </c>
      <c r="BG3" s="165"/>
      <c r="BH3" s="165"/>
      <c r="BI3" s="165"/>
      <c r="BJ3" s="154" t="str">
        <f>変更履歴!BJ3</f>
        <v>大谷</v>
      </c>
      <c r="BK3" s="154"/>
      <c r="BL3" s="154"/>
      <c r="BM3" s="208"/>
    </row>
    <row r="4" spans="2:65" ht="20.100000000000001" customHeight="1" thickBot="1" x14ac:dyDescent="0.5">
      <c r="B4" s="220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1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4"/>
      <c r="AK4" s="212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4"/>
      <c r="AX4" s="206"/>
      <c r="AY4" s="206"/>
      <c r="AZ4" s="206"/>
      <c r="BA4" s="206"/>
      <c r="BB4" s="207"/>
      <c r="BC4" s="207"/>
      <c r="BD4" s="207"/>
      <c r="BE4" s="207"/>
      <c r="BF4" s="206"/>
      <c r="BG4" s="206"/>
      <c r="BH4" s="206"/>
      <c r="BI4" s="206"/>
      <c r="BJ4" s="207"/>
      <c r="BK4" s="207"/>
      <c r="BL4" s="207"/>
      <c r="BM4" s="209"/>
    </row>
    <row r="5" spans="2:65" ht="5.0999999999999996" customHeight="1" thickBot="1" x14ac:dyDescent="0.5"/>
    <row r="6" spans="2:65" ht="20.100000000000001" customHeight="1" x14ac:dyDescent="0.45">
      <c r="B6" s="106" t="s">
        <v>113</v>
      </c>
      <c r="C6" s="107"/>
      <c r="D6" s="107"/>
      <c r="E6" s="107"/>
      <c r="F6" s="107"/>
      <c r="G6" s="108"/>
      <c r="H6" s="109" t="s">
        <v>107</v>
      </c>
      <c r="I6" s="107"/>
      <c r="J6" s="137" t="s">
        <v>120</v>
      </c>
      <c r="K6" s="138"/>
      <c r="L6" s="138"/>
      <c r="M6" s="138"/>
      <c r="N6" s="138"/>
      <c r="O6" s="138"/>
      <c r="P6" s="138"/>
      <c r="Q6" s="139"/>
      <c r="R6" s="138" t="s">
        <v>114</v>
      </c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9"/>
      <c r="AK6" s="110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11"/>
    </row>
    <row r="7" spans="2:65" ht="20.100000000000001" customHeight="1" x14ac:dyDescent="0.45">
      <c r="B7" s="140"/>
      <c r="C7" s="31"/>
      <c r="D7" s="31"/>
      <c r="E7" s="31"/>
      <c r="F7" s="31"/>
      <c r="G7" s="113"/>
      <c r="H7" s="114"/>
      <c r="I7" s="31"/>
      <c r="J7" s="141" t="s">
        <v>121</v>
      </c>
      <c r="K7" s="52"/>
      <c r="L7" s="52"/>
      <c r="M7" s="52"/>
      <c r="N7" s="52"/>
      <c r="O7" s="52"/>
      <c r="P7" s="52"/>
      <c r="Q7" s="142"/>
      <c r="R7" s="52" t="s">
        <v>115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42"/>
      <c r="AK7" s="115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16"/>
    </row>
    <row r="8" spans="2:65" ht="20.100000000000001" customHeight="1" x14ac:dyDescent="0.45">
      <c r="B8" s="140"/>
      <c r="C8" s="31"/>
      <c r="D8" s="31"/>
      <c r="E8" s="31"/>
      <c r="F8" s="31"/>
      <c r="G8" s="113"/>
      <c r="H8" s="114"/>
      <c r="I8" s="31"/>
      <c r="J8" s="141" t="s">
        <v>122</v>
      </c>
      <c r="K8" s="52"/>
      <c r="L8" s="52"/>
      <c r="M8" s="52"/>
      <c r="N8" s="52"/>
      <c r="O8" s="52"/>
      <c r="P8" s="52"/>
      <c r="Q8" s="142"/>
      <c r="R8" s="52" t="s">
        <v>116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2"/>
      <c r="AK8" s="115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16"/>
    </row>
    <row r="9" spans="2:65" ht="20.100000000000001" customHeight="1" x14ac:dyDescent="0.45">
      <c r="B9" s="140"/>
      <c r="C9" s="31"/>
      <c r="D9" s="31"/>
      <c r="E9" s="31"/>
      <c r="F9" s="31"/>
      <c r="G9" s="113"/>
      <c r="H9" s="114"/>
      <c r="I9" s="31"/>
      <c r="J9" s="141" t="s">
        <v>123</v>
      </c>
      <c r="K9" s="52"/>
      <c r="L9" s="52"/>
      <c r="M9" s="52"/>
      <c r="N9" s="52"/>
      <c r="O9" s="52"/>
      <c r="P9" s="52"/>
      <c r="Q9" s="142"/>
      <c r="R9" s="52" t="s">
        <v>117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2"/>
      <c r="AK9" s="115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16"/>
    </row>
    <row r="10" spans="2:65" ht="20.100000000000001" customHeight="1" x14ac:dyDescent="0.45">
      <c r="B10" s="140"/>
      <c r="C10" s="31"/>
      <c r="D10" s="31"/>
      <c r="E10" s="31"/>
      <c r="F10" s="31"/>
      <c r="G10" s="113"/>
      <c r="H10" s="31"/>
      <c r="I10" s="31"/>
      <c r="J10" s="141" t="s">
        <v>124</v>
      </c>
      <c r="K10" s="52"/>
      <c r="L10" s="52"/>
      <c r="M10" s="52"/>
      <c r="N10" s="52"/>
      <c r="O10" s="52"/>
      <c r="P10" s="52"/>
      <c r="Q10" s="142"/>
      <c r="R10" s="52" t="s">
        <v>118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42"/>
      <c r="AK10" s="115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16"/>
    </row>
    <row r="11" spans="2:65" ht="20.100000000000001" customHeight="1" x14ac:dyDescent="0.45">
      <c r="B11" s="140"/>
      <c r="C11" s="31"/>
      <c r="D11" s="31"/>
      <c r="E11" s="31"/>
      <c r="F11" s="31"/>
      <c r="G11" s="113"/>
      <c r="H11" s="31"/>
      <c r="I11" s="31"/>
      <c r="J11" s="141" t="s">
        <v>125</v>
      </c>
      <c r="K11" s="52"/>
      <c r="L11" s="52"/>
      <c r="M11" s="52"/>
      <c r="N11" s="52"/>
      <c r="O11" s="52"/>
      <c r="P11" s="52"/>
      <c r="Q11" s="142"/>
      <c r="R11" s="52" t="s">
        <v>119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42"/>
      <c r="AK11" s="115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16"/>
    </row>
    <row r="12" spans="2:65" ht="20.100000000000001" customHeight="1" x14ac:dyDescent="0.45">
      <c r="B12" s="140"/>
      <c r="C12" s="31"/>
      <c r="D12" s="31"/>
      <c r="E12" s="31"/>
      <c r="F12" s="31"/>
      <c r="G12" s="113"/>
      <c r="H12" s="31"/>
      <c r="I12" s="31"/>
      <c r="J12" s="141" t="s">
        <v>126</v>
      </c>
      <c r="K12" s="52"/>
      <c r="L12" s="52"/>
      <c r="M12" s="52"/>
      <c r="N12" s="52"/>
      <c r="O12" s="52"/>
      <c r="P12" s="52"/>
      <c r="Q12" s="142"/>
      <c r="R12" s="52" t="s">
        <v>127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42"/>
      <c r="AK12" s="115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16"/>
    </row>
    <row r="13" spans="2:65" ht="20.100000000000001" customHeight="1" x14ac:dyDescent="0.45">
      <c r="B13" s="140"/>
      <c r="C13" s="31"/>
      <c r="D13" s="31"/>
      <c r="E13" s="31"/>
      <c r="F13" s="31"/>
      <c r="G13" s="113"/>
      <c r="H13" s="117" t="s">
        <v>77</v>
      </c>
      <c r="I13" s="55"/>
      <c r="J13" s="117" t="s">
        <v>129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118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119"/>
    </row>
    <row r="14" spans="2:65" ht="20.100000000000001" customHeight="1" x14ac:dyDescent="0.45">
      <c r="B14" s="112"/>
      <c r="C14" s="31"/>
      <c r="D14" s="31"/>
      <c r="E14" s="31"/>
      <c r="F14" s="31"/>
      <c r="G14" s="113"/>
      <c r="H14" s="117" t="s">
        <v>78</v>
      </c>
      <c r="I14" s="55"/>
      <c r="J14" s="117"/>
      <c r="K14" s="55" t="s">
        <v>132</v>
      </c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18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19"/>
    </row>
    <row r="15" spans="2:65" ht="20.100000000000001" customHeight="1" x14ac:dyDescent="0.45">
      <c r="B15" s="112"/>
      <c r="C15" s="31"/>
      <c r="D15" s="31"/>
      <c r="E15" s="31"/>
      <c r="F15" s="31"/>
      <c r="G15" s="113"/>
      <c r="H15" s="114"/>
      <c r="I15" s="31"/>
      <c r="J15" s="114" t="s">
        <v>131</v>
      </c>
      <c r="K15" s="31" t="s">
        <v>133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14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16"/>
    </row>
    <row r="16" spans="2:65" ht="20.100000000000001" customHeight="1" x14ac:dyDescent="0.45">
      <c r="B16" s="112"/>
      <c r="C16" s="31"/>
      <c r="D16" s="31"/>
      <c r="E16" s="31"/>
      <c r="F16" s="31"/>
      <c r="G16" s="113"/>
      <c r="H16" s="114"/>
      <c r="I16" s="31"/>
      <c r="J16" s="114" t="s">
        <v>131</v>
      </c>
      <c r="K16" s="31" t="s">
        <v>134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14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16"/>
    </row>
    <row r="17" spans="2:61" ht="20.100000000000001" customHeight="1" x14ac:dyDescent="0.45">
      <c r="B17" s="112"/>
      <c r="C17" s="31"/>
      <c r="D17" s="31"/>
      <c r="E17" s="31"/>
      <c r="F17" s="31"/>
      <c r="G17" s="113"/>
      <c r="H17" s="114"/>
      <c r="I17" s="31"/>
      <c r="J17" s="114" t="s">
        <v>131</v>
      </c>
      <c r="K17" s="31" t="s">
        <v>135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14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16"/>
    </row>
    <row r="18" spans="2:61" ht="20.100000000000001" customHeight="1" thickBot="1" x14ac:dyDescent="0.5">
      <c r="B18" s="112"/>
      <c r="C18" s="31"/>
      <c r="D18" s="31"/>
      <c r="E18" s="31"/>
      <c r="F18" s="31"/>
      <c r="G18" s="113"/>
      <c r="H18" s="145" t="s">
        <v>128</v>
      </c>
      <c r="I18" s="146"/>
      <c r="J18" s="145" t="s">
        <v>130</v>
      </c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5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7"/>
    </row>
    <row r="19" spans="2:61" ht="5.0999999999999996" customHeight="1" x14ac:dyDescent="0.45"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7"/>
      <c r="BH19" s="107"/>
      <c r="BI19" s="107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15" t="s">
        <v>0</v>
      </c>
      <c r="C2" s="210"/>
      <c r="D2" s="210"/>
      <c r="E2" s="210"/>
      <c r="F2" s="210"/>
      <c r="G2" s="210"/>
      <c r="H2" s="210" t="s">
        <v>17</v>
      </c>
      <c r="I2" s="210"/>
      <c r="J2" s="210"/>
      <c r="K2" s="210"/>
      <c r="L2" s="210" t="s">
        <v>1</v>
      </c>
      <c r="M2" s="210"/>
      <c r="N2" s="210"/>
      <c r="O2" s="210"/>
      <c r="P2" s="210"/>
      <c r="Q2" s="210"/>
      <c r="R2" s="210" t="s">
        <v>2</v>
      </c>
      <c r="S2" s="210"/>
      <c r="T2" s="210"/>
      <c r="U2" s="210"/>
      <c r="V2" s="210"/>
      <c r="W2" s="210"/>
      <c r="X2" s="216" t="s">
        <v>3</v>
      </c>
      <c r="Y2" s="217"/>
      <c r="Z2" s="217"/>
      <c r="AA2" s="217"/>
      <c r="AB2" s="217"/>
      <c r="AC2" s="217"/>
      <c r="AD2" s="217"/>
      <c r="AE2" s="217"/>
      <c r="AF2" s="217"/>
      <c r="AG2" s="217"/>
      <c r="AH2" s="217"/>
      <c r="AI2" s="217"/>
      <c r="AJ2" s="218"/>
      <c r="AK2" s="216" t="s">
        <v>32</v>
      </c>
      <c r="AL2" s="217"/>
      <c r="AM2" s="217"/>
      <c r="AN2" s="217"/>
      <c r="AO2" s="217"/>
      <c r="AP2" s="217"/>
      <c r="AQ2" s="217"/>
      <c r="AR2" s="217"/>
      <c r="AS2" s="217"/>
      <c r="AT2" s="217"/>
      <c r="AU2" s="217"/>
      <c r="AV2" s="217"/>
      <c r="AW2" s="218"/>
      <c r="AX2" s="210" t="s">
        <v>5</v>
      </c>
      <c r="AY2" s="210"/>
      <c r="AZ2" s="210"/>
      <c r="BA2" s="210"/>
      <c r="BB2" s="210" t="s">
        <v>4</v>
      </c>
      <c r="BC2" s="210"/>
      <c r="BD2" s="210"/>
      <c r="BE2" s="210"/>
      <c r="BF2" s="210" t="s">
        <v>6</v>
      </c>
      <c r="BG2" s="210"/>
      <c r="BH2" s="210"/>
      <c r="BI2" s="210"/>
      <c r="BJ2" s="210" t="s">
        <v>7</v>
      </c>
      <c r="BK2" s="210"/>
      <c r="BL2" s="210"/>
      <c r="BM2" s="211"/>
    </row>
    <row r="3" spans="2:65" ht="20.100000000000001" customHeight="1" x14ac:dyDescent="0.45">
      <c r="B3" s="219" t="str">
        <f>変更履歴!B3</f>
        <v>受発注システム</v>
      </c>
      <c r="C3" s="154"/>
      <c r="D3" s="154"/>
      <c r="E3" s="154"/>
      <c r="F3" s="154"/>
      <c r="G3" s="154"/>
      <c r="H3" s="154" t="str">
        <f ca="1">変更履歴!H3</f>
        <v>UN0800</v>
      </c>
      <c r="I3" s="154"/>
      <c r="J3" s="154"/>
      <c r="K3" s="154"/>
      <c r="L3" s="154" t="str">
        <f>変更履歴!L3</f>
        <v>受発注</v>
      </c>
      <c r="M3" s="154"/>
      <c r="N3" s="154"/>
      <c r="O3" s="154"/>
      <c r="P3" s="154"/>
      <c r="Q3" s="154"/>
      <c r="R3" s="154" t="str">
        <f ca="1">変更履歴!R3</f>
        <v>帳票設計書</v>
      </c>
      <c r="S3" s="154"/>
      <c r="T3" s="154"/>
      <c r="U3" s="154"/>
      <c r="V3" s="154"/>
      <c r="W3" s="154"/>
      <c r="X3" s="158" t="str">
        <f ca="1">変更履歴!X3</f>
        <v>UN0800_入金予定表_帳票設計書</v>
      </c>
      <c r="Y3" s="159"/>
      <c r="Z3" s="159"/>
      <c r="AA3" s="159"/>
      <c r="AB3" s="159"/>
      <c r="AC3" s="159"/>
      <c r="AD3" s="159"/>
      <c r="AE3" s="159"/>
      <c r="AF3" s="159"/>
      <c r="AG3" s="159"/>
      <c r="AH3" s="159"/>
      <c r="AI3" s="159"/>
      <c r="AJ3" s="155"/>
      <c r="AK3" s="158" t="str">
        <f ca="1">変更履歴!AK3</f>
        <v>入金予定表</v>
      </c>
      <c r="AL3" s="159"/>
      <c r="AM3" s="159"/>
      <c r="AN3" s="159"/>
      <c r="AO3" s="159"/>
      <c r="AP3" s="159"/>
      <c r="AQ3" s="159"/>
      <c r="AR3" s="159"/>
      <c r="AS3" s="159"/>
      <c r="AT3" s="159"/>
      <c r="AU3" s="159"/>
      <c r="AV3" s="159"/>
      <c r="AW3" s="155"/>
      <c r="AX3" s="165">
        <f>変更履歴!AX3</f>
        <v>45608</v>
      </c>
      <c r="AY3" s="165"/>
      <c r="AZ3" s="165"/>
      <c r="BA3" s="165"/>
      <c r="BB3" s="154" t="str">
        <f>変更履歴!BB3</f>
        <v>大谷</v>
      </c>
      <c r="BC3" s="154"/>
      <c r="BD3" s="154"/>
      <c r="BE3" s="154"/>
      <c r="BF3" s="165">
        <f>変更履歴!BF3</f>
        <v>45608</v>
      </c>
      <c r="BG3" s="165"/>
      <c r="BH3" s="165"/>
      <c r="BI3" s="165"/>
      <c r="BJ3" s="154" t="str">
        <f>変更履歴!BJ3</f>
        <v>大谷</v>
      </c>
      <c r="BK3" s="154"/>
      <c r="BL3" s="154"/>
      <c r="BM3" s="208"/>
    </row>
    <row r="4" spans="2:65" ht="20.100000000000001" customHeight="1" thickBot="1" x14ac:dyDescent="0.5">
      <c r="B4" s="220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12"/>
      <c r="Y4" s="213"/>
      <c r="Z4" s="213"/>
      <c r="AA4" s="213"/>
      <c r="AB4" s="213"/>
      <c r="AC4" s="213"/>
      <c r="AD4" s="213"/>
      <c r="AE4" s="213"/>
      <c r="AF4" s="213"/>
      <c r="AG4" s="213"/>
      <c r="AH4" s="213"/>
      <c r="AI4" s="213"/>
      <c r="AJ4" s="214"/>
      <c r="AK4" s="212"/>
      <c r="AL4" s="213"/>
      <c r="AM4" s="213"/>
      <c r="AN4" s="213"/>
      <c r="AO4" s="213"/>
      <c r="AP4" s="213"/>
      <c r="AQ4" s="213"/>
      <c r="AR4" s="213"/>
      <c r="AS4" s="213"/>
      <c r="AT4" s="213"/>
      <c r="AU4" s="213"/>
      <c r="AV4" s="213"/>
      <c r="AW4" s="214"/>
      <c r="AX4" s="206"/>
      <c r="AY4" s="206"/>
      <c r="AZ4" s="206"/>
      <c r="BA4" s="206"/>
      <c r="BB4" s="207"/>
      <c r="BC4" s="207"/>
      <c r="BD4" s="207"/>
      <c r="BE4" s="207"/>
      <c r="BF4" s="206"/>
      <c r="BG4" s="206"/>
      <c r="BH4" s="206"/>
      <c r="BI4" s="206"/>
      <c r="BJ4" s="207"/>
      <c r="BK4" s="207"/>
      <c r="BL4" s="207"/>
      <c r="BM4" s="209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06" t="s">
        <v>79</v>
      </c>
      <c r="C7" s="107"/>
      <c r="D7" s="107"/>
      <c r="E7" s="107"/>
      <c r="F7" s="107"/>
      <c r="G7" s="107"/>
      <c r="H7" s="109" t="s">
        <v>107</v>
      </c>
      <c r="I7" s="108"/>
      <c r="J7" s="143" t="s">
        <v>20</v>
      </c>
      <c r="K7" s="138"/>
      <c r="L7" s="138"/>
      <c r="M7" s="138"/>
      <c r="N7" s="138"/>
      <c r="O7" s="138"/>
      <c r="P7" s="138"/>
      <c r="Q7" s="138"/>
      <c r="R7" s="143" t="s">
        <v>108</v>
      </c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9"/>
      <c r="AK7" s="110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7"/>
      <c r="AX7" s="107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11"/>
      <c r="BJ7" s="29"/>
      <c r="BK7" s="29"/>
      <c r="BL7" s="29"/>
      <c r="BM7" s="29"/>
    </row>
    <row r="8" spans="2:65" ht="20.100000000000001" customHeight="1" x14ac:dyDescent="0.45">
      <c r="B8" s="140"/>
      <c r="C8" s="31"/>
      <c r="D8" s="31"/>
      <c r="E8" s="31"/>
      <c r="F8" s="31"/>
      <c r="G8" s="31"/>
      <c r="H8" s="114"/>
      <c r="I8" s="113"/>
      <c r="J8" s="141" t="s">
        <v>109</v>
      </c>
      <c r="K8" s="52"/>
      <c r="L8" s="52"/>
      <c r="M8" s="52"/>
      <c r="N8" s="52"/>
      <c r="O8" s="52"/>
      <c r="P8" s="52"/>
      <c r="Q8" s="52"/>
      <c r="R8" s="141" t="s">
        <v>110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42"/>
      <c r="AK8" s="115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16"/>
      <c r="BJ8" s="29"/>
      <c r="BK8" s="29"/>
      <c r="BL8" s="29"/>
      <c r="BM8" s="29"/>
    </row>
    <row r="9" spans="2:65" ht="20.100000000000001" customHeight="1" x14ac:dyDescent="0.45">
      <c r="B9" s="140"/>
      <c r="C9" s="31"/>
      <c r="D9" s="31"/>
      <c r="E9" s="31"/>
      <c r="F9" s="31"/>
      <c r="G9" s="31"/>
      <c r="H9" s="120"/>
      <c r="I9" s="144"/>
      <c r="J9" s="141" t="s">
        <v>111</v>
      </c>
      <c r="K9" s="52"/>
      <c r="L9" s="52"/>
      <c r="M9" s="52"/>
      <c r="N9" s="52"/>
      <c r="O9" s="52"/>
      <c r="P9" s="52"/>
      <c r="Q9" s="52"/>
      <c r="R9" s="141" t="s">
        <v>112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42"/>
      <c r="AK9" s="122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3"/>
      <c r="BJ9" s="29"/>
      <c r="BK9" s="29"/>
      <c r="BL9" s="29"/>
      <c r="BM9" s="29"/>
    </row>
    <row r="10" spans="2:65" ht="20.100000000000001" customHeight="1" x14ac:dyDescent="0.45">
      <c r="B10" s="140"/>
      <c r="C10" s="31"/>
      <c r="D10" s="31"/>
      <c r="E10" s="31"/>
      <c r="F10" s="31"/>
      <c r="G10" s="113"/>
      <c r="H10" s="114" t="s">
        <v>80</v>
      </c>
      <c r="I10" s="31"/>
      <c r="J10" s="128" t="s">
        <v>81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15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16"/>
      <c r="BJ10" s="29"/>
      <c r="BK10" s="29"/>
      <c r="BL10" s="29"/>
      <c r="BM10" s="29"/>
    </row>
    <row r="11" spans="2:65" ht="20.100000000000001" customHeight="1" x14ac:dyDescent="0.45">
      <c r="B11" s="112"/>
      <c r="C11" s="31"/>
      <c r="D11" s="31"/>
      <c r="E11" s="31"/>
      <c r="F11" s="31"/>
      <c r="G11" s="113"/>
      <c r="H11" s="114"/>
      <c r="I11" s="31"/>
      <c r="J11" s="114" t="s">
        <v>82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15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16"/>
      <c r="BJ11" s="29"/>
      <c r="BK11" s="29"/>
      <c r="BL11" s="29"/>
      <c r="BM11" s="29"/>
    </row>
    <row r="12" spans="2:65" ht="20.100000000000001" customHeight="1" x14ac:dyDescent="0.45">
      <c r="B12" s="112"/>
      <c r="C12" s="31"/>
      <c r="D12" s="31"/>
      <c r="E12" s="31"/>
      <c r="F12" s="31"/>
      <c r="G12" s="113"/>
      <c r="H12" s="114"/>
      <c r="I12" s="31"/>
      <c r="J12" s="114" t="s">
        <v>83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15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16"/>
      <c r="BJ12" s="29"/>
      <c r="BK12" s="29"/>
      <c r="BL12" s="29"/>
      <c r="BM12" s="29"/>
    </row>
    <row r="13" spans="2:65" ht="20.100000000000001" customHeight="1" x14ac:dyDescent="0.45">
      <c r="B13" s="112"/>
      <c r="C13" s="31"/>
      <c r="D13" s="31"/>
      <c r="E13" s="31"/>
      <c r="F13" s="31"/>
      <c r="G13" s="113"/>
      <c r="H13" s="114"/>
      <c r="I13" s="31"/>
      <c r="J13" s="114" t="s">
        <v>84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15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16"/>
      <c r="BJ13" s="29"/>
      <c r="BK13" s="29"/>
      <c r="BL13" s="29"/>
      <c r="BM13" s="29"/>
    </row>
    <row r="14" spans="2:65" ht="20.100000000000001" customHeight="1" x14ac:dyDescent="0.45">
      <c r="B14" s="112"/>
      <c r="C14" s="31"/>
      <c r="D14" s="31"/>
      <c r="E14" s="31"/>
      <c r="F14" s="31"/>
      <c r="G14" s="113"/>
      <c r="H14" s="117" t="s">
        <v>85</v>
      </c>
      <c r="I14" s="55"/>
      <c r="J14" s="124" t="s">
        <v>86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18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19"/>
      <c r="BJ14" s="29"/>
      <c r="BK14" s="29"/>
      <c r="BL14" s="29"/>
      <c r="BM14" s="29"/>
    </row>
    <row r="15" spans="2:65" ht="20.100000000000001" customHeight="1" x14ac:dyDescent="0.45">
      <c r="B15" s="112"/>
      <c r="C15" s="31"/>
      <c r="D15" s="31"/>
      <c r="E15" s="31"/>
      <c r="F15" s="31"/>
      <c r="G15" s="113"/>
      <c r="H15" s="114"/>
      <c r="I15" s="31"/>
      <c r="J15" s="125"/>
      <c r="K15" s="126" t="s">
        <v>87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15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16"/>
      <c r="BJ15" s="29"/>
      <c r="BK15" s="29"/>
      <c r="BL15" s="29"/>
      <c r="BM15" s="29"/>
    </row>
    <row r="16" spans="2:65" ht="20.100000000000001" customHeight="1" x14ac:dyDescent="0.45">
      <c r="B16" s="112"/>
      <c r="C16" s="31"/>
      <c r="D16" s="31"/>
      <c r="E16" s="31"/>
      <c r="F16" s="31"/>
      <c r="G16" s="113"/>
      <c r="H16" s="114"/>
      <c r="I16" s="31"/>
      <c r="J16" s="114"/>
      <c r="K16" s="29"/>
      <c r="L16" s="127"/>
      <c r="M16" s="126" t="s">
        <v>88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15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16"/>
      <c r="BJ16" s="29"/>
      <c r="BK16" s="29"/>
      <c r="BL16" s="29"/>
      <c r="BM16" s="29"/>
    </row>
    <row r="17" spans="2:65" ht="20.100000000000001" customHeight="1" x14ac:dyDescent="0.45">
      <c r="B17" s="112"/>
      <c r="C17" s="31"/>
      <c r="D17" s="31"/>
      <c r="E17" s="31"/>
      <c r="F17" s="31"/>
      <c r="G17" s="113"/>
      <c r="H17" s="114"/>
      <c r="I17" s="31"/>
      <c r="J17" s="114"/>
      <c r="K17" s="29"/>
      <c r="L17" s="127" t="s">
        <v>89</v>
      </c>
      <c r="M17" s="126" t="s">
        <v>88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15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16"/>
      <c r="BJ17" s="29"/>
      <c r="BK17" s="29"/>
      <c r="BL17" s="29"/>
      <c r="BM17" s="29"/>
    </row>
    <row r="18" spans="2:65" ht="20.100000000000001" customHeight="1" x14ac:dyDescent="0.45">
      <c r="B18" s="112"/>
      <c r="C18" s="31"/>
      <c r="D18" s="31"/>
      <c r="E18" s="31"/>
      <c r="F18" s="31"/>
      <c r="G18" s="113"/>
      <c r="H18" s="114"/>
      <c r="I18" s="31"/>
      <c r="J18" s="114"/>
      <c r="K18" s="29"/>
      <c r="L18" s="127" t="s">
        <v>90</v>
      </c>
      <c r="M18" s="126" t="s">
        <v>88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15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16"/>
      <c r="BJ18" s="29"/>
      <c r="BK18" s="29"/>
      <c r="BL18" s="29"/>
      <c r="BM18" s="29"/>
    </row>
    <row r="19" spans="2:65" ht="20.100000000000001" customHeight="1" x14ac:dyDescent="0.45">
      <c r="B19" s="112"/>
      <c r="C19" s="31"/>
      <c r="D19" s="31"/>
      <c r="E19" s="31"/>
      <c r="F19" s="31"/>
      <c r="G19" s="113"/>
      <c r="H19" s="114"/>
      <c r="I19" s="31"/>
      <c r="J19" s="114" t="s">
        <v>91</v>
      </c>
      <c r="K19" s="127"/>
      <c r="L19" s="126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15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16"/>
      <c r="BJ19" s="29"/>
      <c r="BK19" s="29"/>
      <c r="BL19" s="29"/>
      <c r="BM19" s="29"/>
    </row>
    <row r="20" spans="2:65" ht="20.100000000000001" customHeight="1" x14ac:dyDescent="0.45">
      <c r="B20" s="112"/>
      <c r="C20" s="31"/>
      <c r="D20" s="31"/>
      <c r="E20" s="31"/>
      <c r="F20" s="31"/>
      <c r="G20" s="113"/>
      <c r="H20" s="114"/>
      <c r="I20" s="31"/>
      <c r="J20" s="114"/>
      <c r="K20" s="31" t="s">
        <v>92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15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16"/>
      <c r="BJ20" s="29"/>
      <c r="BK20" s="29"/>
      <c r="BL20" s="29"/>
      <c r="BM20" s="29"/>
    </row>
    <row r="21" spans="2:65" ht="20.100000000000001" customHeight="1" x14ac:dyDescent="0.45">
      <c r="B21" s="112"/>
      <c r="C21" s="31"/>
      <c r="D21" s="31"/>
      <c r="E21" s="31"/>
      <c r="F21" s="31"/>
      <c r="G21" s="113"/>
      <c r="H21" s="114"/>
      <c r="I21" s="31"/>
      <c r="J21" s="114"/>
      <c r="K21" s="29"/>
      <c r="L21" s="31"/>
      <c r="M21" s="31" t="s">
        <v>93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15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16"/>
    </row>
    <row r="22" spans="2:65" ht="20.100000000000001" customHeight="1" x14ac:dyDescent="0.45">
      <c r="B22" s="112"/>
      <c r="C22" s="31"/>
      <c r="D22" s="31"/>
      <c r="E22" s="31"/>
      <c r="F22" s="31"/>
      <c r="G22" s="113"/>
      <c r="H22" s="120"/>
      <c r="I22" s="121"/>
      <c r="J22" s="120"/>
      <c r="K22" s="121"/>
      <c r="L22" s="121" t="s">
        <v>89</v>
      </c>
      <c r="M22" s="121" t="s">
        <v>94</v>
      </c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2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3"/>
    </row>
    <row r="23" spans="2:65" ht="20.100000000000001" customHeight="1" x14ac:dyDescent="0.45">
      <c r="B23" s="112"/>
      <c r="C23" s="31"/>
      <c r="D23" s="31"/>
      <c r="E23" s="31"/>
      <c r="F23" s="31"/>
      <c r="G23" s="113"/>
      <c r="H23" s="114" t="s">
        <v>95</v>
      </c>
      <c r="I23" s="31"/>
      <c r="J23" s="128"/>
      <c r="K23" s="126" t="s">
        <v>96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29" t="s">
        <v>97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16"/>
    </row>
    <row r="24" spans="2:65" ht="20.100000000000001" customHeight="1" x14ac:dyDescent="0.45">
      <c r="B24" s="112"/>
      <c r="C24" s="31"/>
      <c r="D24" s="31"/>
      <c r="E24" s="31"/>
      <c r="F24" s="31"/>
      <c r="G24" s="113"/>
      <c r="H24" s="114"/>
      <c r="I24" s="31"/>
      <c r="J24" s="128" t="s">
        <v>89</v>
      </c>
      <c r="K24" s="126" t="s">
        <v>98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15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16"/>
    </row>
    <row r="25" spans="2:65" ht="20.100000000000001" customHeight="1" x14ac:dyDescent="0.45">
      <c r="B25" s="112"/>
      <c r="C25" s="31"/>
      <c r="D25" s="31"/>
      <c r="E25" s="31"/>
      <c r="F25" s="31"/>
      <c r="G25" s="113"/>
      <c r="H25" s="114"/>
      <c r="I25" s="31"/>
      <c r="J25" s="128" t="s">
        <v>90</v>
      </c>
      <c r="K25" s="126" t="s">
        <v>98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15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16"/>
    </row>
    <row r="26" spans="2:65" ht="20.100000000000001" customHeight="1" x14ac:dyDescent="0.45">
      <c r="B26" s="112"/>
      <c r="C26" s="31"/>
      <c r="D26" s="31"/>
      <c r="E26" s="31"/>
      <c r="F26" s="31"/>
      <c r="G26" s="113"/>
      <c r="H26" s="114"/>
      <c r="I26" s="31"/>
      <c r="J26" s="128" t="s">
        <v>99</v>
      </c>
      <c r="K26" s="126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15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16"/>
    </row>
    <row r="27" spans="2:65" ht="20.100000000000001" customHeight="1" x14ac:dyDescent="0.45">
      <c r="B27" s="112"/>
      <c r="C27" s="31"/>
      <c r="D27" s="31"/>
      <c r="E27" s="31"/>
      <c r="F27" s="31"/>
      <c r="G27" s="113"/>
      <c r="H27" s="114"/>
      <c r="I27" s="31"/>
      <c r="J27" s="114"/>
      <c r="K27" s="31" t="s">
        <v>100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30" t="s">
        <v>101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16"/>
    </row>
    <row r="28" spans="2:65" ht="20.100000000000001" customHeight="1" x14ac:dyDescent="0.45">
      <c r="B28" s="112"/>
      <c r="C28" s="31"/>
      <c r="D28" s="31"/>
      <c r="E28" s="31"/>
      <c r="F28" s="31"/>
      <c r="G28" s="113"/>
      <c r="H28" s="114"/>
      <c r="I28" s="31"/>
      <c r="J28" s="114" t="s">
        <v>89</v>
      </c>
      <c r="K28" s="31" t="s">
        <v>102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14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16"/>
    </row>
    <row r="29" spans="2:65" ht="20.100000000000001" customHeight="1" x14ac:dyDescent="0.45">
      <c r="B29" s="112"/>
      <c r="C29" s="31"/>
      <c r="D29" s="31"/>
      <c r="E29" s="31"/>
      <c r="F29" s="31"/>
      <c r="G29" s="113"/>
      <c r="H29" s="114"/>
      <c r="I29" s="31"/>
      <c r="J29" s="128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14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16"/>
    </row>
    <row r="30" spans="2:65" ht="20.100000000000001" customHeight="1" x14ac:dyDescent="0.45">
      <c r="B30" s="112"/>
      <c r="C30" s="31"/>
      <c r="D30" s="31"/>
      <c r="E30" s="31"/>
      <c r="F30" s="31"/>
      <c r="G30" s="113"/>
      <c r="H30" s="114"/>
      <c r="I30" s="31"/>
      <c r="J30" s="114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14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16"/>
    </row>
    <row r="31" spans="2:65" ht="20.100000000000001" customHeight="1" x14ac:dyDescent="0.45">
      <c r="B31" s="112"/>
      <c r="C31" s="31"/>
      <c r="D31" s="31"/>
      <c r="E31" s="31"/>
      <c r="F31" s="31"/>
      <c r="G31" s="113"/>
      <c r="H31" s="120"/>
      <c r="I31" s="121"/>
      <c r="J31" s="120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0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3"/>
    </row>
    <row r="32" spans="2:65" ht="20.100000000000001" customHeight="1" x14ac:dyDescent="0.45">
      <c r="B32" s="112"/>
      <c r="C32" s="31"/>
      <c r="D32" s="31"/>
      <c r="E32" s="31"/>
      <c r="F32" s="31"/>
      <c r="G32" s="113"/>
      <c r="H32" s="114" t="s">
        <v>103</v>
      </c>
      <c r="I32" s="31"/>
      <c r="J32" s="128" t="s">
        <v>104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14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16"/>
    </row>
    <row r="33" spans="2:61" ht="20.100000000000001" customHeight="1" x14ac:dyDescent="0.45">
      <c r="B33" s="112"/>
      <c r="C33" s="31"/>
      <c r="D33" s="31"/>
      <c r="E33" s="31"/>
      <c r="F33" s="31"/>
      <c r="G33" s="113"/>
      <c r="H33" s="114"/>
      <c r="I33" s="31"/>
      <c r="J33" s="128" t="s">
        <v>105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14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16"/>
    </row>
    <row r="34" spans="2:61" ht="20.100000000000001" customHeight="1" thickBot="1" x14ac:dyDescent="0.5">
      <c r="B34" s="131"/>
      <c r="C34" s="132"/>
      <c r="D34" s="132"/>
      <c r="E34" s="132"/>
      <c r="F34" s="132"/>
      <c r="G34" s="133"/>
      <c r="H34" s="134"/>
      <c r="I34" s="132"/>
      <c r="J34" s="134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2"/>
      <c r="AJ34" s="132"/>
      <c r="AK34" s="134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5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36" t="s">
        <v>106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ColWidth="8.69921875" defaultRowHeight="18" x14ac:dyDescent="0.45"/>
  <cols>
    <col min="1" max="2" width="8.69921875" style="29"/>
    <col min="3" max="3" width="26.59765625" style="29" customWidth="1"/>
    <col min="4" max="4" width="35.09765625" style="29" customWidth="1"/>
    <col min="5" max="5" width="106.8984375" style="29" customWidth="1"/>
    <col min="6" max="16384" width="8.69921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5"/>
  <sheetViews>
    <sheetView zoomScaleNormal="75" workbookViewId="0">
      <selection activeCell="J21" sqref="J21"/>
    </sheetView>
  </sheetViews>
  <sheetFormatPr defaultRowHeight="13.2" x14ac:dyDescent="0.45"/>
  <cols>
    <col min="1" max="1" width="4.69921875" style="104" customWidth="1"/>
    <col min="2" max="2" width="20.19921875" style="105" customWidth="1"/>
    <col min="3" max="3" width="12.59765625" style="105" customWidth="1"/>
    <col min="4" max="6" width="11.69921875" style="91" customWidth="1"/>
    <col min="7" max="7" width="14.09765625" style="91" customWidth="1"/>
    <col min="8" max="8" width="3" style="91" customWidth="1"/>
    <col min="9" max="256" width="8.69921875" style="91"/>
    <col min="257" max="257" width="4.69921875" style="91" customWidth="1"/>
    <col min="258" max="258" width="20.19921875" style="91" customWidth="1"/>
    <col min="259" max="259" width="12.59765625" style="91" customWidth="1"/>
    <col min="260" max="262" width="11.69921875" style="91" customWidth="1"/>
    <col min="263" max="263" width="14.09765625" style="91" customWidth="1"/>
    <col min="264" max="264" width="3" style="91" customWidth="1"/>
    <col min="265" max="512" width="8.69921875" style="91"/>
    <col min="513" max="513" width="4.69921875" style="91" customWidth="1"/>
    <col min="514" max="514" width="20.19921875" style="91" customWidth="1"/>
    <col min="515" max="515" width="12.59765625" style="91" customWidth="1"/>
    <col min="516" max="518" width="11.69921875" style="91" customWidth="1"/>
    <col min="519" max="519" width="14.09765625" style="91" customWidth="1"/>
    <col min="520" max="520" width="3" style="91" customWidth="1"/>
    <col min="521" max="768" width="8.69921875" style="91"/>
    <col min="769" max="769" width="4.69921875" style="91" customWidth="1"/>
    <col min="770" max="770" width="20.19921875" style="91" customWidth="1"/>
    <col min="771" max="771" width="12.59765625" style="91" customWidth="1"/>
    <col min="772" max="774" width="11.69921875" style="91" customWidth="1"/>
    <col min="775" max="775" width="14.09765625" style="91" customWidth="1"/>
    <col min="776" max="776" width="3" style="91" customWidth="1"/>
    <col min="777" max="1024" width="8.69921875" style="91"/>
    <col min="1025" max="1025" width="4.69921875" style="91" customWidth="1"/>
    <col min="1026" max="1026" width="20.19921875" style="91" customWidth="1"/>
    <col min="1027" max="1027" width="12.59765625" style="91" customWidth="1"/>
    <col min="1028" max="1030" width="11.69921875" style="91" customWidth="1"/>
    <col min="1031" max="1031" width="14.09765625" style="91" customWidth="1"/>
    <col min="1032" max="1032" width="3" style="91" customWidth="1"/>
    <col min="1033" max="1280" width="8.69921875" style="91"/>
    <col min="1281" max="1281" width="4.69921875" style="91" customWidth="1"/>
    <col min="1282" max="1282" width="20.19921875" style="91" customWidth="1"/>
    <col min="1283" max="1283" width="12.59765625" style="91" customWidth="1"/>
    <col min="1284" max="1286" width="11.69921875" style="91" customWidth="1"/>
    <col min="1287" max="1287" width="14.09765625" style="91" customWidth="1"/>
    <col min="1288" max="1288" width="3" style="91" customWidth="1"/>
    <col min="1289" max="1536" width="8.69921875" style="91"/>
    <col min="1537" max="1537" width="4.69921875" style="91" customWidth="1"/>
    <col min="1538" max="1538" width="20.19921875" style="91" customWidth="1"/>
    <col min="1539" max="1539" width="12.59765625" style="91" customWidth="1"/>
    <col min="1540" max="1542" width="11.69921875" style="91" customWidth="1"/>
    <col min="1543" max="1543" width="14.09765625" style="91" customWidth="1"/>
    <col min="1544" max="1544" width="3" style="91" customWidth="1"/>
    <col min="1545" max="1792" width="8.69921875" style="91"/>
    <col min="1793" max="1793" width="4.69921875" style="91" customWidth="1"/>
    <col min="1794" max="1794" width="20.19921875" style="91" customWidth="1"/>
    <col min="1795" max="1795" width="12.59765625" style="91" customWidth="1"/>
    <col min="1796" max="1798" width="11.69921875" style="91" customWidth="1"/>
    <col min="1799" max="1799" width="14.09765625" style="91" customWidth="1"/>
    <col min="1800" max="1800" width="3" style="91" customWidth="1"/>
    <col min="1801" max="2048" width="8.69921875" style="91"/>
    <col min="2049" max="2049" width="4.69921875" style="91" customWidth="1"/>
    <col min="2050" max="2050" width="20.19921875" style="91" customWidth="1"/>
    <col min="2051" max="2051" width="12.59765625" style="91" customWidth="1"/>
    <col min="2052" max="2054" width="11.69921875" style="91" customWidth="1"/>
    <col min="2055" max="2055" width="14.09765625" style="91" customWidth="1"/>
    <col min="2056" max="2056" width="3" style="91" customWidth="1"/>
    <col min="2057" max="2304" width="8.69921875" style="91"/>
    <col min="2305" max="2305" width="4.69921875" style="91" customWidth="1"/>
    <col min="2306" max="2306" width="20.19921875" style="91" customWidth="1"/>
    <col min="2307" max="2307" width="12.59765625" style="91" customWidth="1"/>
    <col min="2308" max="2310" width="11.69921875" style="91" customWidth="1"/>
    <col min="2311" max="2311" width="14.09765625" style="91" customWidth="1"/>
    <col min="2312" max="2312" width="3" style="91" customWidth="1"/>
    <col min="2313" max="2560" width="8.69921875" style="91"/>
    <col min="2561" max="2561" width="4.69921875" style="91" customWidth="1"/>
    <col min="2562" max="2562" width="20.19921875" style="91" customWidth="1"/>
    <col min="2563" max="2563" width="12.59765625" style="91" customWidth="1"/>
    <col min="2564" max="2566" width="11.69921875" style="91" customWidth="1"/>
    <col min="2567" max="2567" width="14.09765625" style="91" customWidth="1"/>
    <col min="2568" max="2568" width="3" style="91" customWidth="1"/>
    <col min="2569" max="2816" width="8.69921875" style="91"/>
    <col min="2817" max="2817" width="4.69921875" style="91" customWidth="1"/>
    <col min="2818" max="2818" width="20.19921875" style="91" customWidth="1"/>
    <col min="2819" max="2819" width="12.59765625" style="91" customWidth="1"/>
    <col min="2820" max="2822" width="11.69921875" style="91" customWidth="1"/>
    <col min="2823" max="2823" width="14.09765625" style="91" customWidth="1"/>
    <col min="2824" max="2824" width="3" style="91" customWidth="1"/>
    <col min="2825" max="3072" width="8.69921875" style="91"/>
    <col min="3073" max="3073" width="4.69921875" style="91" customWidth="1"/>
    <col min="3074" max="3074" width="20.19921875" style="91" customWidth="1"/>
    <col min="3075" max="3075" width="12.59765625" style="91" customWidth="1"/>
    <col min="3076" max="3078" width="11.69921875" style="91" customWidth="1"/>
    <col min="3079" max="3079" width="14.09765625" style="91" customWidth="1"/>
    <col min="3080" max="3080" width="3" style="91" customWidth="1"/>
    <col min="3081" max="3328" width="8.69921875" style="91"/>
    <col min="3329" max="3329" width="4.69921875" style="91" customWidth="1"/>
    <col min="3330" max="3330" width="20.19921875" style="91" customWidth="1"/>
    <col min="3331" max="3331" width="12.59765625" style="91" customWidth="1"/>
    <col min="3332" max="3334" width="11.69921875" style="91" customWidth="1"/>
    <col min="3335" max="3335" width="14.09765625" style="91" customWidth="1"/>
    <col min="3336" max="3336" width="3" style="91" customWidth="1"/>
    <col min="3337" max="3584" width="8.69921875" style="91"/>
    <col min="3585" max="3585" width="4.69921875" style="91" customWidth="1"/>
    <col min="3586" max="3586" width="20.19921875" style="91" customWidth="1"/>
    <col min="3587" max="3587" width="12.59765625" style="91" customWidth="1"/>
    <col min="3588" max="3590" width="11.69921875" style="91" customWidth="1"/>
    <col min="3591" max="3591" width="14.09765625" style="91" customWidth="1"/>
    <col min="3592" max="3592" width="3" style="91" customWidth="1"/>
    <col min="3593" max="3840" width="8.69921875" style="91"/>
    <col min="3841" max="3841" width="4.69921875" style="91" customWidth="1"/>
    <col min="3842" max="3842" width="20.19921875" style="91" customWidth="1"/>
    <col min="3843" max="3843" width="12.59765625" style="91" customWidth="1"/>
    <col min="3844" max="3846" width="11.69921875" style="91" customWidth="1"/>
    <col min="3847" max="3847" width="14.09765625" style="91" customWidth="1"/>
    <col min="3848" max="3848" width="3" style="91" customWidth="1"/>
    <col min="3849" max="4096" width="8.69921875" style="91"/>
    <col min="4097" max="4097" width="4.69921875" style="91" customWidth="1"/>
    <col min="4098" max="4098" width="20.19921875" style="91" customWidth="1"/>
    <col min="4099" max="4099" width="12.59765625" style="91" customWidth="1"/>
    <col min="4100" max="4102" width="11.69921875" style="91" customWidth="1"/>
    <col min="4103" max="4103" width="14.09765625" style="91" customWidth="1"/>
    <col min="4104" max="4104" width="3" style="91" customWidth="1"/>
    <col min="4105" max="4352" width="8.69921875" style="91"/>
    <col min="4353" max="4353" width="4.69921875" style="91" customWidth="1"/>
    <col min="4354" max="4354" width="20.19921875" style="91" customWidth="1"/>
    <col min="4355" max="4355" width="12.59765625" style="91" customWidth="1"/>
    <col min="4356" max="4358" width="11.69921875" style="91" customWidth="1"/>
    <col min="4359" max="4359" width="14.09765625" style="91" customWidth="1"/>
    <col min="4360" max="4360" width="3" style="91" customWidth="1"/>
    <col min="4361" max="4608" width="8.69921875" style="91"/>
    <col min="4609" max="4609" width="4.69921875" style="91" customWidth="1"/>
    <col min="4610" max="4610" width="20.19921875" style="91" customWidth="1"/>
    <col min="4611" max="4611" width="12.59765625" style="91" customWidth="1"/>
    <col min="4612" max="4614" width="11.69921875" style="91" customWidth="1"/>
    <col min="4615" max="4615" width="14.09765625" style="91" customWidth="1"/>
    <col min="4616" max="4616" width="3" style="91" customWidth="1"/>
    <col min="4617" max="4864" width="8.69921875" style="91"/>
    <col min="4865" max="4865" width="4.69921875" style="91" customWidth="1"/>
    <col min="4866" max="4866" width="20.19921875" style="91" customWidth="1"/>
    <col min="4867" max="4867" width="12.59765625" style="91" customWidth="1"/>
    <col min="4868" max="4870" width="11.69921875" style="91" customWidth="1"/>
    <col min="4871" max="4871" width="14.09765625" style="91" customWidth="1"/>
    <col min="4872" max="4872" width="3" style="91" customWidth="1"/>
    <col min="4873" max="5120" width="8.69921875" style="91"/>
    <col min="5121" max="5121" width="4.69921875" style="91" customWidth="1"/>
    <col min="5122" max="5122" width="20.19921875" style="91" customWidth="1"/>
    <col min="5123" max="5123" width="12.59765625" style="91" customWidth="1"/>
    <col min="5124" max="5126" width="11.69921875" style="91" customWidth="1"/>
    <col min="5127" max="5127" width="14.09765625" style="91" customWidth="1"/>
    <col min="5128" max="5128" width="3" style="91" customWidth="1"/>
    <col min="5129" max="5376" width="8.69921875" style="91"/>
    <col min="5377" max="5377" width="4.69921875" style="91" customWidth="1"/>
    <col min="5378" max="5378" width="20.19921875" style="91" customWidth="1"/>
    <col min="5379" max="5379" width="12.59765625" style="91" customWidth="1"/>
    <col min="5380" max="5382" width="11.69921875" style="91" customWidth="1"/>
    <col min="5383" max="5383" width="14.09765625" style="91" customWidth="1"/>
    <col min="5384" max="5384" width="3" style="91" customWidth="1"/>
    <col min="5385" max="5632" width="8.69921875" style="91"/>
    <col min="5633" max="5633" width="4.69921875" style="91" customWidth="1"/>
    <col min="5634" max="5634" width="20.19921875" style="91" customWidth="1"/>
    <col min="5635" max="5635" width="12.59765625" style="91" customWidth="1"/>
    <col min="5636" max="5638" width="11.69921875" style="91" customWidth="1"/>
    <col min="5639" max="5639" width="14.09765625" style="91" customWidth="1"/>
    <col min="5640" max="5640" width="3" style="91" customWidth="1"/>
    <col min="5641" max="5888" width="8.69921875" style="91"/>
    <col min="5889" max="5889" width="4.69921875" style="91" customWidth="1"/>
    <col min="5890" max="5890" width="20.19921875" style="91" customWidth="1"/>
    <col min="5891" max="5891" width="12.59765625" style="91" customWidth="1"/>
    <col min="5892" max="5894" width="11.69921875" style="91" customWidth="1"/>
    <col min="5895" max="5895" width="14.09765625" style="91" customWidth="1"/>
    <col min="5896" max="5896" width="3" style="91" customWidth="1"/>
    <col min="5897" max="6144" width="8.69921875" style="91"/>
    <col min="6145" max="6145" width="4.69921875" style="91" customWidth="1"/>
    <col min="6146" max="6146" width="20.19921875" style="91" customWidth="1"/>
    <col min="6147" max="6147" width="12.59765625" style="91" customWidth="1"/>
    <col min="6148" max="6150" width="11.69921875" style="91" customWidth="1"/>
    <col min="6151" max="6151" width="14.09765625" style="91" customWidth="1"/>
    <col min="6152" max="6152" width="3" style="91" customWidth="1"/>
    <col min="6153" max="6400" width="8.69921875" style="91"/>
    <col min="6401" max="6401" width="4.69921875" style="91" customWidth="1"/>
    <col min="6402" max="6402" width="20.19921875" style="91" customWidth="1"/>
    <col min="6403" max="6403" width="12.59765625" style="91" customWidth="1"/>
    <col min="6404" max="6406" width="11.69921875" style="91" customWidth="1"/>
    <col min="6407" max="6407" width="14.09765625" style="91" customWidth="1"/>
    <col min="6408" max="6408" width="3" style="91" customWidth="1"/>
    <col min="6409" max="6656" width="8.69921875" style="91"/>
    <col min="6657" max="6657" width="4.69921875" style="91" customWidth="1"/>
    <col min="6658" max="6658" width="20.19921875" style="91" customWidth="1"/>
    <col min="6659" max="6659" width="12.59765625" style="91" customWidth="1"/>
    <col min="6660" max="6662" width="11.69921875" style="91" customWidth="1"/>
    <col min="6663" max="6663" width="14.09765625" style="91" customWidth="1"/>
    <col min="6664" max="6664" width="3" style="91" customWidth="1"/>
    <col min="6665" max="6912" width="8.69921875" style="91"/>
    <col min="6913" max="6913" width="4.69921875" style="91" customWidth="1"/>
    <col min="6914" max="6914" width="20.19921875" style="91" customWidth="1"/>
    <col min="6915" max="6915" width="12.59765625" style="91" customWidth="1"/>
    <col min="6916" max="6918" width="11.69921875" style="91" customWidth="1"/>
    <col min="6919" max="6919" width="14.09765625" style="91" customWidth="1"/>
    <col min="6920" max="6920" width="3" style="91" customWidth="1"/>
    <col min="6921" max="7168" width="8.69921875" style="91"/>
    <col min="7169" max="7169" width="4.69921875" style="91" customWidth="1"/>
    <col min="7170" max="7170" width="20.19921875" style="91" customWidth="1"/>
    <col min="7171" max="7171" width="12.59765625" style="91" customWidth="1"/>
    <col min="7172" max="7174" width="11.69921875" style="91" customWidth="1"/>
    <col min="7175" max="7175" width="14.09765625" style="91" customWidth="1"/>
    <col min="7176" max="7176" width="3" style="91" customWidth="1"/>
    <col min="7177" max="7424" width="8.69921875" style="91"/>
    <col min="7425" max="7425" width="4.69921875" style="91" customWidth="1"/>
    <col min="7426" max="7426" width="20.19921875" style="91" customWidth="1"/>
    <col min="7427" max="7427" width="12.59765625" style="91" customWidth="1"/>
    <col min="7428" max="7430" width="11.69921875" style="91" customWidth="1"/>
    <col min="7431" max="7431" width="14.09765625" style="91" customWidth="1"/>
    <col min="7432" max="7432" width="3" style="91" customWidth="1"/>
    <col min="7433" max="7680" width="8.69921875" style="91"/>
    <col min="7681" max="7681" width="4.69921875" style="91" customWidth="1"/>
    <col min="7682" max="7682" width="20.19921875" style="91" customWidth="1"/>
    <col min="7683" max="7683" width="12.59765625" style="91" customWidth="1"/>
    <col min="7684" max="7686" width="11.69921875" style="91" customWidth="1"/>
    <col min="7687" max="7687" width="14.09765625" style="91" customWidth="1"/>
    <col min="7688" max="7688" width="3" style="91" customWidth="1"/>
    <col min="7689" max="7936" width="8.69921875" style="91"/>
    <col min="7937" max="7937" width="4.69921875" style="91" customWidth="1"/>
    <col min="7938" max="7938" width="20.19921875" style="91" customWidth="1"/>
    <col min="7939" max="7939" width="12.59765625" style="91" customWidth="1"/>
    <col min="7940" max="7942" width="11.69921875" style="91" customWidth="1"/>
    <col min="7943" max="7943" width="14.09765625" style="91" customWidth="1"/>
    <col min="7944" max="7944" width="3" style="91" customWidth="1"/>
    <col min="7945" max="8192" width="8.69921875" style="91"/>
    <col min="8193" max="8193" width="4.69921875" style="91" customWidth="1"/>
    <col min="8194" max="8194" width="20.19921875" style="91" customWidth="1"/>
    <col min="8195" max="8195" width="12.59765625" style="91" customWidth="1"/>
    <col min="8196" max="8198" width="11.69921875" style="91" customWidth="1"/>
    <col min="8199" max="8199" width="14.09765625" style="91" customWidth="1"/>
    <col min="8200" max="8200" width="3" style="91" customWidth="1"/>
    <col min="8201" max="8448" width="8.69921875" style="91"/>
    <col min="8449" max="8449" width="4.69921875" style="91" customWidth="1"/>
    <col min="8450" max="8450" width="20.19921875" style="91" customWidth="1"/>
    <col min="8451" max="8451" width="12.59765625" style="91" customWidth="1"/>
    <col min="8452" max="8454" width="11.69921875" style="91" customWidth="1"/>
    <col min="8455" max="8455" width="14.09765625" style="91" customWidth="1"/>
    <col min="8456" max="8456" width="3" style="91" customWidth="1"/>
    <col min="8457" max="8704" width="8.69921875" style="91"/>
    <col min="8705" max="8705" width="4.69921875" style="91" customWidth="1"/>
    <col min="8706" max="8706" width="20.19921875" style="91" customWidth="1"/>
    <col min="8707" max="8707" width="12.59765625" style="91" customWidth="1"/>
    <col min="8708" max="8710" width="11.69921875" style="91" customWidth="1"/>
    <col min="8711" max="8711" width="14.09765625" style="91" customWidth="1"/>
    <col min="8712" max="8712" width="3" style="91" customWidth="1"/>
    <col min="8713" max="8960" width="8.69921875" style="91"/>
    <col min="8961" max="8961" width="4.69921875" style="91" customWidth="1"/>
    <col min="8962" max="8962" width="20.19921875" style="91" customWidth="1"/>
    <col min="8963" max="8963" width="12.59765625" style="91" customWidth="1"/>
    <col min="8964" max="8966" width="11.69921875" style="91" customWidth="1"/>
    <col min="8967" max="8967" width="14.09765625" style="91" customWidth="1"/>
    <col min="8968" max="8968" width="3" style="91" customWidth="1"/>
    <col min="8969" max="9216" width="8.69921875" style="91"/>
    <col min="9217" max="9217" width="4.69921875" style="91" customWidth="1"/>
    <col min="9218" max="9218" width="20.19921875" style="91" customWidth="1"/>
    <col min="9219" max="9219" width="12.59765625" style="91" customWidth="1"/>
    <col min="9220" max="9222" width="11.69921875" style="91" customWidth="1"/>
    <col min="9223" max="9223" width="14.09765625" style="91" customWidth="1"/>
    <col min="9224" max="9224" width="3" style="91" customWidth="1"/>
    <col min="9225" max="9472" width="8.69921875" style="91"/>
    <col min="9473" max="9473" width="4.69921875" style="91" customWidth="1"/>
    <col min="9474" max="9474" width="20.19921875" style="91" customWidth="1"/>
    <col min="9475" max="9475" width="12.59765625" style="91" customWidth="1"/>
    <col min="9476" max="9478" width="11.69921875" style="91" customWidth="1"/>
    <col min="9479" max="9479" width="14.09765625" style="91" customWidth="1"/>
    <col min="9480" max="9480" width="3" style="91" customWidth="1"/>
    <col min="9481" max="9728" width="8.69921875" style="91"/>
    <col min="9729" max="9729" width="4.69921875" style="91" customWidth="1"/>
    <col min="9730" max="9730" width="20.19921875" style="91" customWidth="1"/>
    <col min="9731" max="9731" width="12.59765625" style="91" customWidth="1"/>
    <col min="9732" max="9734" width="11.69921875" style="91" customWidth="1"/>
    <col min="9735" max="9735" width="14.09765625" style="91" customWidth="1"/>
    <col min="9736" max="9736" width="3" style="91" customWidth="1"/>
    <col min="9737" max="9984" width="8.69921875" style="91"/>
    <col min="9985" max="9985" width="4.69921875" style="91" customWidth="1"/>
    <col min="9986" max="9986" width="20.19921875" style="91" customWidth="1"/>
    <col min="9987" max="9987" width="12.59765625" style="91" customWidth="1"/>
    <col min="9988" max="9990" width="11.69921875" style="91" customWidth="1"/>
    <col min="9991" max="9991" width="14.09765625" style="91" customWidth="1"/>
    <col min="9992" max="9992" width="3" style="91" customWidth="1"/>
    <col min="9993" max="10240" width="8.69921875" style="91"/>
    <col min="10241" max="10241" width="4.69921875" style="91" customWidth="1"/>
    <col min="10242" max="10242" width="20.19921875" style="91" customWidth="1"/>
    <col min="10243" max="10243" width="12.59765625" style="91" customWidth="1"/>
    <col min="10244" max="10246" width="11.69921875" style="91" customWidth="1"/>
    <col min="10247" max="10247" width="14.09765625" style="91" customWidth="1"/>
    <col min="10248" max="10248" width="3" style="91" customWidth="1"/>
    <col min="10249" max="10496" width="8.69921875" style="91"/>
    <col min="10497" max="10497" width="4.69921875" style="91" customWidth="1"/>
    <col min="10498" max="10498" width="20.19921875" style="91" customWidth="1"/>
    <col min="10499" max="10499" width="12.59765625" style="91" customWidth="1"/>
    <col min="10500" max="10502" width="11.69921875" style="91" customWidth="1"/>
    <col min="10503" max="10503" width="14.09765625" style="91" customWidth="1"/>
    <col min="10504" max="10504" width="3" style="91" customWidth="1"/>
    <col min="10505" max="10752" width="8.69921875" style="91"/>
    <col min="10753" max="10753" width="4.69921875" style="91" customWidth="1"/>
    <col min="10754" max="10754" width="20.19921875" style="91" customWidth="1"/>
    <col min="10755" max="10755" width="12.59765625" style="91" customWidth="1"/>
    <col min="10756" max="10758" width="11.69921875" style="91" customWidth="1"/>
    <col min="10759" max="10759" width="14.09765625" style="91" customWidth="1"/>
    <col min="10760" max="10760" width="3" style="91" customWidth="1"/>
    <col min="10761" max="11008" width="8.69921875" style="91"/>
    <col min="11009" max="11009" width="4.69921875" style="91" customWidth="1"/>
    <col min="11010" max="11010" width="20.19921875" style="91" customWidth="1"/>
    <col min="11011" max="11011" width="12.59765625" style="91" customWidth="1"/>
    <col min="11012" max="11014" width="11.69921875" style="91" customWidth="1"/>
    <col min="11015" max="11015" width="14.09765625" style="91" customWidth="1"/>
    <col min="11016" max="11016" width="3" style="91" customWidth="1"/>
    <col min="11017" max="11264" width="8.69921875" style="91"/>
    <col min="11265" max="11265" width="4.69921875" style="91" customWidth="1"/>
    <col min="11266" max="11266" width="20.19921875" style="91" customWidth="1"/>
    <col min="11267" max="11267" width="12.59765625" style="91" customWidth="1"/>
    <col min="11268" max="11270" width="11.69921875" style="91" customWidth="1"/>
    <col min="11271" max="11271" width="14.09765625" style="91" customWidth="1"/>
    <col min="11272" max="11272" width="3" style="91" customWidth="1"/>
    <col min="11273" max="11520" width="8.69921875" style="91"/>
    <col min="11521" max="11521" width="4.69921875" style="91" customWidth="1"/>
    <col min="11522" max="11522" width="20.19921875" style="91" customWidth="1"/>
    <col min="11523" max="11523" width="12.59765625" style="91" customWidth="1"/>
    <col min="11524" max="11526" width="11.69921875" style="91" customWidth="1"/>
    <col min="11527" max="11527" width="14.09765625" style="91" customWidth="1"/>
    <col min="11528" max="11528" width="3" style="91" customWidth="1"/>
    <col min="11529" max="11776" width="8.69921875" style="91"/>
    <col min="11777" max="11777" width="4.69921875" style="91" customWidth="1"/>
    <col min="11778" max="11778" width="20.19921875" style="91" customWidth="1"/>
    <col min="11779" max="11779" width="12.59765625" style="91" customWidth="1"/>
    <col min="11780" max="11782" width="11.69921875" style="91" customWidth="1"/>
    <col min="11783" max="11783" width="14.09765625" style="91" customWidth="1"/>
    <col min="11784" max="11784" width="3" style="91" customWidth="1"/>
    <col min="11785" max="12032" width="8.69921875" style="91"/>
    <col min="12033" max="12033" width="4.69921875" style="91" customWidth="1"/>
    <col min="12034" max="12034" width="20.19921875" style="91" customWidth="1"/>
    <col min="12035" max="12035" width="12.59765625" style="91" customWidth="1"/>
    <col min="12036" max="12038" width="11.69921875" style="91" customWidth="1"/>
    <col min="12039" max="12039" width="14.09765625" style="91" customWidth="1"/>
    <col min="12040" max="12040" width="3" style="91" customWidth="1"/>
    <col min="12041" max="12288" width="8.69921875" style="91"/>
    <col min="12289" max="12289" width="4.69921875" style="91" customWidth="1"/>
    <col min="12290" max="12290" width="20.19921875" style="91" customWidth="1"/>
    <col min="12291" max="12291" width="12.59765625" style="91" customWidth="1"/>
    <col min="12292" max="12294" width="11.69921875" style="91" customWidth="1"/>
    <col min="12295" max="12295" width="14.09765625" style="91" customWidth="1"/>
    <col min="12296" max="12296" width="3" style="91" customWidth="1"/>
    <col min="12297" max="12544" width="8.69921875" style="91"/>
    <col min="12545" max="12545" width="4.69921875" style="91" customWidth="1"/>
    <col min="12546" max="12546" width="20.19921875" style="91" customWidth="1"/>
    <col min="12547" max="12547" width="12.59765625" style="91" customWidth="1"/>
    <col min="12548" max="12550" width="11.69921875" style="91" customWidth="1"/>
    <col min="12551" max="12551" width="14.09765625" style="91" customWidth="1"/>
    <col min="12552" max="12552" width="3" style="91" customWidth="1"/>
    <col min="12553" max="12800" width="8.69921875" style="91"/>
    <col min="12801" max="12801" width="4.69921875" style="91" customWidth="1"/>
    <col min="12802" max="12802" width="20.19921875" style="91" customWidth="1"/>
    <col min="12803" max="12803" width="12.59765625" style="91" customWidth="1"/>
    <col min="12804" max="12806" width="11.69921875" style="91" customWidth="1"/>
    <col min="12807" max="12807" width="14.09765625" style="91" customWidth="1"/>
    <col min="12808" max="12808" width="3" style="91" customWidth="1"/>
    <col min="12809" max="13056" width="8.69921875" style="91"/>
    <col min="13057" max="13057" width="4.69921875" style="91" customWidth="1"/>
    <col min="13058" max="13058" width="20.19921875" style="91" customWidth="1"/>
    <col min="13059" max="13059" width="12.59765625" style="91" customWidth="1"/>
    <col min="13060" max="13062" width="11.69921875" style="91" customWidth="1"/>
    <col min="13063" max="13063" width="14.09765625" style="91" customWidth="1"/>
    <col min="13064" max="13064" width="3" style="91" customWidth="1"/>
    <col min="13065" max="13312" width="8.69921875" style="91"/>
    <col min="13313" max="13313" width="4.69921875" style="91" customWidth="1"/>
    <col min="13314" max="13314" width="20.19921875" style="91" customWidth="1"/>
    <col min="13315" max="13315" width="12.59765625" style="91" customWidth="1"/>
    <col min="13316" max="13318" width="11.69921875" style="91" customWidth="1"/>
    <col min="13319" max="13319" width="14.09765625" style="91" customWidth="1"/>
    <col min="13320" max="13320" width="3" style="91" customWidth="1"/>
    <col min="13321" max="13568" width="8.69921875" style="91"/>
    <col min="13569" max="13569" width="4.69921875" style="91" customWidth="1"/>
    <col min="13570" max="13570" width="20.19921875" style="91" customWidth="1"/>
    <col min="13571" max="13571" width="12.59765625" style="91" customWidth="1"/>
    <col min="13572" max="13574" width="11.69921875" style="91" customWidth="1"/>
    <col min="13575" max="13575" width="14.09765625" style="91" customWidth="1"/>
    <col min="13576" max="13576" width="3" style="91" customWidth="1"/>
    <col min="13577" max="13824" width="8.69921875" style="91"/>
    <col min="13825" max="13825" width="4.69921875" style="91" customWidth="1"/>
    <col min="13826" max="13826" width="20.19921875" style="91" customWidth="1"/>
    <col min="13827" max="13827" width="12.59765625" style="91" customWidth="1"/>
    <col min="13828" max="13830" width="11.69921875" style="91" customWidth="1"/>
    <col min="13831" max="13831" width="14.09765625" style="91" customWidth="1"/>
    <col min="13832" max="13832" width="3" style="91" customWidth="1"/>
    <col min="13833" max="14080" width="8.69921875" style="91"/>
    <col min="14081" max="14081" width="4.69921875" style="91" customWidth="1"/>
    <col min="14082" max="14082" width="20.19921875" style="91" customWidth="1"/>
    <col min="14083" max="14083" width="12.59765625" style="91" customWidth="1"/>
    <col min="14084" max="14086" width="11.69921875" style="91" customWidth="1"/>
    <col min="14087" max="14087" width="14.09765625" style="91" customWidth="1"/>
    <col min="14088" max="14088" width="3" style="91" customWidth="1"/>
    <col min="14089" max="14336" width="8.69921875" style="91"/>
    <col min="14337" max="14337" width="4.69921875" style="91" customWidth="1"/>
    <col min="14338" max="14338" width="20.19921875" style="91" customWidth="1"/>
    <col min="14339" max="14339" width="12.59765625" style="91" customWidth="1"/>
    <col min="14340" max="14342" width="11.69921875" style="91" customWidth="1"/>
    <col min="14343" max="14343" width="14.09765625" style="91" customWidth="1"/>
    <col min="14344" max="14344" width="3" style="91" customWidth="1"/>
    <col min="14345" max="14592" width="8.69921875" style="91"/>
    <col min="14593" max="14593" width="4.69921875" style="91" customWidth="1"/>
    <col min="14594" max="14594" width="20.19921875" style="91" customWidth="1"/>
    <col min="14595" max="14595" width="12.59765625" style="91" customWidth="1"/>
    <col min="14596" max="14598" width="11.69921875" style="91" customWidth="1"/>
    <col min="14599" max="14599" width="14.09765625" style="91" customWidth="1"/>
    <col min="14600" max="14600" width="3" style="91" customWidth="1"/>
    <col min="14601" max="14848" width="8.69921875" style="91"/>
    <col min="14849" max="14849" width="4.69921875" style="91" customWidth="1"/>
    <col min="14850" max="14850" width="20.19921875" style="91" customWidth="1"/>
    <col min="14851" max="14851" width="12.59765625" style="91" customWidth="1"/>
    <col min="14852" max="14854" width="11.69921875" style="91" customWidth="1"/>
    <col min="14855" max="14855" width="14.09765625" style="91" customWidth="1"/>
    <col min="14856" max="14856" width="3" style="91" customWidth="1"/>
    <col min="14857" max="15104" width="8.69921875" style="91"/>
    <col min="15105" max="15105" width="4.69921875" style="91" customWidth="1"/>
    <col min="15106" max="15106" width="20.19921875" style="91" customWidth="1"/>
    <col min="15107" max="15107" width="12.59765625" style="91" customWidth="1"/>
    <col min="15108" max="15110" width="11.69921875" style="91" customWidth="1"/>
    <col min="15111" max="15111" width="14.09765625" style="91" customWidth="1"/>
    <col min="15112" max="15112" width="3" style="91" customWidth="1"/>
    <col min="15113" max="15360" width="8.69921875" style="91"/>
    <col min="15361" max="15361" width="4.69921875" style="91" customWidth="1"/>
    <col min="15362" max="15362" width="20.19921875" style="91" customWidth="1"/>
    <col min="15363" max="15363" width="12.59765625" style="91" customWidth="1"/>
    <col min="15364" max="15366" width="11.69921875" style="91" customWidth="1"/>
    <col min="15367" max="15367" width="14.09765625" style="91" customWidth="1"/>
    <col min="15368" max="15368" width="3" style="91" customWidth="1"/>
    <col min="15369" max="15616" width="8.69921875" style="91"/>
    <col min="15617" max="15617" width="4.69921875" style="91" customWidth="1"/>
    <col min="15618" max="15618" width="20.19921875" style="91" customWidth="1"/>
    <col min="15619" max="15619" width="12.59765625" style="91" customWidth="1"/>
    <col min="15620" max="15622" width="11.69921875" style="91" customWidth="1"/>
    <col min="15623" max="15623" width="14.09765625" style="91" customWidth="1"/>
    <col min="15624" max="15624" width="3" style="91" customWidth="1"/>
    <col min="15625" max="15872" width="8.69921875" style="91"/>
    <col min="15873" max="15873" width="4.69921875" style="91" customWidth="1"/>
    <col min="15874" max="15874" width="20.19921875" style="91" customWidth="1"/>
    <col min="15875" max="15875" width="12.59765625" style="91" customWidth="1"/>
    <col min="15876" max="15878" width="11.69921875" style="91" customWidth="1"/>
    <col min="15879" max="15879" width="14.09765625" style="91" customWidth="1"/>
    <col min="15880" max="15880" width="3" style="91" customWidth="1"/>
    <col min="15881" max="16128" width="8.69921875" style="91"/>
    <col min="16129" max="16129" width="4.69921875" style="91" customWidth="1"/>
    <col min="16130" max="16130" width="20.19921875" style="91" customWidth="1"/>
    <col min="16131" max="16131" width="12.59765625" style="91" customWidth="1"/>
    <col min="16132" max="16134" width="11.69921875" style="91" customWidth="1"/>
    <col min="16135" max="16135" width="14.09765625" style="91" customWidth="1"/>
    <col min="16136" max="16136" width="3" style="91" customWidth="1"/>
    <col min="16137" max="16384" width="8.69921875" style="91"/>
  </cols>
  <sheetData>
    <row r="1" spans="1:7" ht="24" customHeight="1" x14ac:dyDescent="0.45">
      <c r="A1" s="89" t="s">
        <v>53</v>
      </c>
      <c r="B1" s="90"/>
      <c r="C1" s="90"/>
      <c r="D1" s="90"/>
      <c r="E1" s="90"/>
      <c r="F1" s="90"/>
      <c r="G1" s="90"/>
    </row>
    <row r="2" spans="1:7" ht="24" customHeight="1" x14ac:dyDescent="0.45">
      <c r="A2" s="92" t="s">
        <v>54</v>
      </c>
      <c r="B2" s="92"/>
      <c r="C2" s="92"/>
      <c r="D2" s="92"/>
      <c r="E2" s="92"/>
      <c r="F2" s="92"/>
      <c r="G2" s="93">
        <v>41192</v>
      </c>
    </row>
    <row r="3" spans="1:7" ht="24" customHeight="1" x14ac:dyDescent="0.45">
      <c r="A3" s="94" t="s">
        <v>55</v>
      </c>
      <c r="B3" s="221" t="s">
        <v>56</v>
      </c>
      <c r="C3" s="222"/>
      <c r="D3" s="94" t="s">
        <v>57</v>
      </c>
      <c r="E3" s="94" t="s">
        <v>58</v>
      </c>
      <c r="F3" s="95" t="s">
        <v>59</v>
      </c>
      <c r="G3" s="94" t="s">
        <v>60</v>
      </c>
    </row>
    <row r="4" spans="1:7" ht="24" customHeight="1" x14ac:dyDescent="0.45">
      <c r="A4" s="96"/>
      <c r="B4" s="97"/>
      <c r="C4" s="98"/>
      <c r="D4" s="99"/>
      <c r="E4" s="100"/>
      <c r="F4" s="101"/>
      <c r="G4" s="102"/>
    </row>
    <row r="5" spans="1:7" ht="24" customHeight="1" x14ac:dyDescent="0.45">
      <c r="A5" s="96"/>
      <c r="B5" s="97"/>
      <c r="C5" s="98"/>
      <c r="D5" s="99"/>
      <c r="E5" s="100"/>
      <c r="F5" s="103"/>
      <c r="G5" s="102"/>
    </row>
  </sheetData>
  <mergeCells count="1">
    <mergeCell ref="B3:C3"/>
  </mergeCells>
  <phoneticPr fontId="2"/>
  <pageMargins left="0.5" right="0.25" top="0.25" bottom="0.5" header="0.25" footer="0.25"/>
  <pageSetup paperSize="9" orientation="portrait" r:id="rId1"/>
  <headerFooter alignWithMargins="0"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16</vt:i4>
      </vt:variant>
    </vt:vector>
  </HeadingPairs>
  <TitlesOfParts>
    <vt:vector size="26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CoreCells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作成日</vt:lpstr>
      <vt:lpstr>集計範囲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2024-10-16T07:08:38Z</cp:lastPrinted>
  <dcterms:created xsi:type="dcterms:W3CDTF">2021-04-12T04:47:05Z</dcterms:created>
  <dcterms:modified xsi:type="dcterms:W3CDTF">2025-05-24T05:36:51Z</dcterms:modified>
</cp:coreProperties>
</file>