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7288" windowHeight="10728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項目一覧!$A$1:$BX$63</definedName>
    <definedName name="_xlnm.Print_Area" localSheetId="4">処理詳細!$A$1:$BR$39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<sst xmlns="http://schemas.openxmlformats.org/spreadsheetml/2006/main" count="331" uniqueCount="222">
  <si>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</si>
  <si>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</si>
  <si>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</si>
  <si>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</si>
  <si>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</si>
  <si>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</si>
  <si>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</si>
  <si>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</si>
  <si>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</si>
  <si>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</si>
  <si>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</si>
  <si>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</si>
  <si>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</si>
  <si>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</si>
  <si>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</si>
  <si>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</si>
  <si>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</si>
  <si>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</si>
  <si>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</si>
  <si>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</si>
  <si>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</si>
  <si>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</si>
  <si>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</si>
  <si>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</si>
  <si>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</si>
  <si>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</si>
  <si>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</si>
  <si>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</si>
  <si>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</si>
  <si>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</si>
  <si>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</si>
  <si>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</si>
  <si>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</si>
  <si>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</si>
  <si>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</si>
  <si>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</si>
  <si>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</si>
  <si>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</si>
  <si>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</si>
  <si>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</si>
  <si>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</si>
  <si>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</si>
  <si>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</si>
  <si>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</si>
  <si>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</si>
  <si>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</si>
  <si>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</si>
  <si>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</si>
  <si>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</si>
  <si>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</si>
  <si>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</si>
  <si>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</si>
  <si>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</si>
  <si>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</si>
  <si>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</si>
  <si>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</si>
  <si>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</si>
  <si>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</si>
  <si>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</si>
  <si>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</si>
  <si>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</si>
  <si>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</si>
  <si>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</si>
  <si>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</si>
  <si>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</si>
  <si>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</si>
  <si>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</si>
  <si>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</si>
  <si>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</si>
  <si>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</si>
  <si>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</si>
  <si>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</si>
  <si>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</si>
  <si>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</si>
  <si>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</si>
  <si>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</si>
  <si>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</si>
  <si>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</si>
  <si>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</si>
  <si>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</si>
  <si>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</si>
  <si>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</si>
  <si>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</si>
  <si>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</si>
  <si>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</si>
  <si>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</si>
  <si>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</si>
  <si>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</si>
  <si>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</si>
  <si>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</si>
  <si>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</si>
  <si>
    <t>PDF</t>
  </si>
  <si>
    <t>pdf</t>
  </si>
  <si>
    <t>SQL1</t>
    <phoneticPr fontId="2"/>
  </si>
  <si>
    <t>AND NOT(  SK.前月残高 = 0</t>
    <phoneticPr fontId="2"/>
  </si>
  <si>
    <t>AND SK.調整金額 = 0</t>
    <phoneticPr fontId="2"/>
  </si>
  <si>
    <t>AND SK.仕入金額 = 0</t>
    <phoneticPr fontId="2"/>
  </si>
  <si>
    <t>AND SK.支払金額 = 0</t>
    <phoneticPr fontId="2"/>
  </si>
  <si>
    <t>AND SK.返品金額 = 0</t>
    <phoneticPr fontId="2"/>
  </si>
  <si>
    <t>AND SK.訂正金額 = 0</t>
    <phoneticPr fontId="2"/>
  </si>
  <si>
    <t>AND SK.消費税額 = 0</t>
    <phoneticPr fontId="2"/>
  </si>
  <si>
    <t xml:space="preserve">AND SK.当月残高 = 0) </t>
    <phoneticPr fontId="2"/>
  </si>
  <si>
    <t>order by</t>
    <phoneticPr fontId="2"/>
  </si>
  <si>
    <t>ORDER BY SK.仕入先CD の昇順でソート</t>
    <rPh sb="19" eb="21">
      <t>ショウジュン</t>
    </rPh>
    <phoneticPr fontId="2"/>
  </si>
  <si>
    <t>仕入先CD</t>
    <phoneticPr fontId="2"/>
  </si>
  <si>
    <t>仕入先名1</t>
    <phoneticPr fontId="2"/>
  </si>
  <si>
    <t>仕入先名2</t>
    <phoneticPr fontId="2"/>
  </si>
  <si>
    <t>支払日付</t>
    <phoneticPr fontId="2"/>
  </si>
  <si>
    <t>前月残高</t>
    <phoneticPr fontId="2"/>
  </si>
  <si>
    <t>支払金額</t>
    <phoneticPr fontId="2"/>
  </si>
  <si>
    <t>調整金額</t>
    <phoneticPr fontId="2"/>
  </si>
  <si>
    <t>差引繰越額</t>
    <phoneticPr fontId="2"/>
  </si>
  <si>
    <t>仕入金額</t>
    <phoneticPr fontId="2"/>
  </si>
  <si>
    <t>返品金額</t>
    <phoneticPr fontId="2"/>
  </si>
  <si>
    <t>訂正金額</t>
    <phoneticPr fontId="2"/>
  </si>
  <si>
    <t>差引仕入額</t>
    <phoneticPr fontId="2"/>
  </si>
  <si>
    <t>消費税額</t>
    <phoneticPr fontId="2"/>
  </si>
  <si>
    <t>当月残高</t>
    <phoneticPr fontId="2"/>
  </si>
  <si>
    <t>税込仕入額</t>
    <phoneticPr fontId="2"/>
  </si>
  <si>
    <t>支払予定日</t>
    <phoneticPr fontId="2"/>
  </si>
  <si>
    <t>支払様式名</t>
    <phoneticPr fontId="2"/>
  </si>
  <si>
    <t>TM仕入先.支払様式が0の場合'当社請求書'、1の場合'検収請求書'、2の場合'EDP手書き'、3の場合'手書明細式'、4の場合'手書一覧式'、それ以外の場合空（''）</t>
    <rPh sb="13" eb="15">
      <t>バアイ</t>
    </rPh>
    <rPh sb="25" eb="27">
      <t>バアイ</t>
    </rPh>
    <rPh sb="37" eb="39">
      <t>バアイ</t>
    </rPh>
    <rPh sb="50" eb="52">
      <t>バアイ</t>
    </rPh>
    <rPh sb="62" eb="64">
      <t>バアイ</t>
    </rPh>
    <rPh sb="74" eb="76">
      <t>イガイ</t>
    </rPh>
    <rPh sb="77" eb="79">
      <t>バアイ</t>
    </rPh>
    <rPh sb="79" eb="80">
      <t>カラ</t>
    </rPh>
    <phoneticPr fontId="2"/>
  </si>
  <si>
    <t>FROM TM支払金額 AS SK</t>
    <phoneticPr fontId="2"/>
  </si>
  <si>
    <t>LEFT JOIN  TM仕入先 AS SR ON SK.仕入先CD = SR.仕入先CD</t>
    <phoneticPr fontId="2"/>
  </si>
  <si>
    <t>TM支払金額.仕入先CD</t>
  </si>
  <si>
    <t>TM支払金額.支払日付</t>
  </si>
  <si>
    <t>TM支払金額.前月残高</t>
  </si>
  <si>
    <t>TM支払金額.支払金額</t>
  </si>
  <si>
    <t>TM支払金額.調整金額</t>
  </si>
  <si>
    <t>ISNULL(TM支払金額.前月残高,0)-ISNULL(TM支払金額.支払金額,0)-ISNULL(TM支払金額.調整金額,0)</t>
  </si>
  <si>
    <t>TM支払金額.仕入金額</t>
  </si>
  <si>
    <t>TM支払金額.返品金額</t>
  </si>
  <si>
    <t>TM支払金額.訂正金額</t>
  </si>
  <si>
    <t>ISNULL(TM支払金額.仕入金額,0)+ISNULL(TM支払金額.返品金額,0)+ISNULL(TM支払金額.訂正金額,0)</t>
  </si>
  <si>
    <t>TM支払金額.消費税額</t>
  </si>
  <si>
    <t>TM支払金額.当月残高</t>
  </si>
  <si>
    <t>ISNULL(TM支払金額.仕入金額,0)+ISNULL(TM支払金額.返品金額,0)+ISNULL(TM支払金額.訂正金額,0)+ISNULL(TM支払金額.消費税額,0)</t>
  </si>
  <si>
    <t>TM仕入先.仕入先名1</t>
  </si>
  <si>
    <t>TM仕入先.仕入先名2</t>
  </si>
  <si>
    <t>AND SK.仕入先CD  &gt;= COALESCE(CONVERT(VARCHAR(4),画面.開始仕入先),SK.仕入先CD)</t>
    <rPh sb="45" eb="47">
      <t>ガメン</t>
    </rPh>
    <phoneticPr fontId="2"/>
  </si>
  <si>
    <t>AND SK.仕入先CD  &lt;= COALESCE(CONVERT(VARCHAR(4),画面.終了仕入先),SK.仕入先CD)</t>
    <rPh sb="45" eb="47">
      <t>ガメン</t>
    </rPh>
    <phoneticPr fontId="2"/>
  </si>
  <si>
    <t>作成日</t>
    <rPh sb="0" eb="3">
      <t>サクセイビ</t>
    </rPh>
    <phoneticPr fontId="1"/>
  </si>
  <si>
    <t>開始CD</t>
    <rPh sb="0" eb="2">
      <t>カイシ</t>
    </rPh>
    <phoneticPr fontId="1"/>
  </si>
  <si>
    <t>終了CD</t>
    <rPh sb="0" eb="2">
      <t>シュウリョウ</t>
    </rPh>
    <phoneticPr fontId="1"/>
  </si>
  <si>
    <t>仕入先CD</t>
    <rPh sb="0" eb="3">
      <t>シイレサキ</t>
    </rPh>
    <phoneticPr fontId="1"/>
  </si>
  <si>
    <t>仕入先名1</t>
    <rPh sb="0" eb="4">
      <t>シイレサキメイ</t>
    </rPh>
    <phoneticPr fontId="1"/>
  </si>
  <si>
    <t>仕入先名2</t>
    <rPh sb="0" eb="4">
      <t>シイレサキメイ</t>
    </rPh>
    <phoneticPr fontId="1"/>
  </si>
  <si>
    <t>前月残高</t>
    <rPh sb="0" eb="4">
      <t>ゼンゲツザンダカ</t>
    </rPh>
    <phoneticPr fontId="1"/>
  </si>
  <si>
    <t>支払金額</t>
    <rPh sb="0" eb="4">
      <t>シハライキンガク</t>
    </rPh>
    <phoneticPr fontId="1"/>
  </si>
  <si>
    <t>調整金額</t>
    <rPh sb="0" eb="4">
      <t>チョウセイキンガク</t>
    </rPh>
    <phoneticPr fontId="1"/>
  </si>
  <si>
    <t>差引繰越額</t>
    <rPh sb="0" eb="5">
      <t>サシヒキクリコシガク</t>
    </rPh>
    <phoneticPr fontId="1"/>
  </si>
  <si>
    <t>仕入金額</t>
    <rPh sb="0" eb="4">
      <t>シイレキンガク</t>
    </rPh>
    <phoneticPr fontId="1"/>
  </si>
  <si>
    <t>返品金額</t>
    <rPh sb="0" eb="4">
      <t>ヘンピンキンガク</t>
    </rPh>
    <phoneticPr fontId="1"/>
  </si>
  <si>
    <t>訂正金額</t>
    <rPh sb="0" eb="4">
      <t>テイセイキンガク</t>
    </rPh>
    <phoneticPr fontId="1"/>
  </si>
  <si>
    <t>差引仕入額</t>
    <rPh sb="0" eb="5">
      <t>サシヒキシイレガク</t>
    </rPh>
    <phoneticPr fontId="1"/>
  </si>
  <si>
    <t>消費税額</t>
    <rPh sb="0" eb="4">
      <t>ショウヒゼイガク</t>
    </rPh>
    <phoneticPr fontId="1"/>
  </si>
  <si>
    <t>税込仕入額</t>
    <rPh sb="0" eb="5">
      <t>ゼイコミシイレガク</t>
    </rPh>
    <phoneticPr fontId="1"/>
  </si>
  <si>
    <t>当月検収額</t>
    <rPh sb="0" eb="4">
      <t>トウゲツケンシュウ</t>
    </rPh>
    <rPh sb="4" eb="5">
      <t>ガク</t>
    </rPh>
    <phoneticPr fontId="1"/>
  </si>
  <si>
    <t>支払予定日</t>
    <rPh sb="0" eb="5">
      <t>シハライヨテイビ</t>
    </rPh>
    <phoneticPr fontId="1"/>
  </si>
  <si>
    <t>前月残高計</t>
    <rPh sb="0" eb="4">
      <t>ゼンゲツザンダカ</t>
    </rPh>
    <rPh sb="4" eb="5">
      <t>ケイ</t>
    </rPh>
    <phoneticPr fontId="1"/>
  </si>
  <si>
    <t>支払金額計</t>
    <rPh sb="0" eb="4">
      <t>シハライキンガク</t>
    </rPh>
    <phoneticPr fontId="1"/>
  </si>
  <si>
    <t>調整金額計</t>
    <rPh sb="0" eb="4">
      <t>チョウセイキンガク</t>
    </rPh>
    <phoneticPr fontId="1"/>
  </si>
  <si>
    <t>差引繰越額計</t>
    <rPh sb="0" eb="5">
      <t>サシヒキクリコシガク</t>
    </rPh>
    <phoneticPr fontId="1"/>
  </si>
  <si>
    <t>仕入金額計</t>
    <rPh sb="0" eb="4">
      <t>シイレキンガク</t>
    </rPh>
    <phoneticPr fontId="1"/>
  </si>
  <si>
    <t>返品金額計</t>
    <rPh sb="0" eb="4">
      <t>ヘンピンキンガク</t>
    </rPh>
    <phoneticPr fontId="1"/>
  </si>
  <si>
    <t>訂正金額計</t>
    <rPh sb="0" eb="4">
      <t>テイセイキンガク</t>
    </rPh>
    <phoneticPr fontId="1"/>
  </si>
  <si>
    <t>差引仕入額計</t>
    <rPh sb="0" eb="5">
      <t>サシヒキシイレガク</t>
    </rPh>
    <phoneticPr fontId="1"/>
  </si>
  <si>
    <t>消費税額計</t>
    <rPh sb="0" eb="4">
      <t>ショウヒゼイガク</t>
    </rPh>
    <phoneticPr fontId="1"/>
  </si>
  <si>
    <t>税込仕入額計</t>
    <rPh sb="0" eb="5">
      <t>ゼイコミシイレガク</t>
    </rPh>
    <phoneticPr fontId="1"/>
  </si>
  <si>
    <t>当月検収額計</t>
    <rPh sb="0" eb="4">
      <t>トウゲツケンシュウ</t>
    </rPh>
    <rPh sb="4" eb="5">
      <t>ガク</t>
    </rPh>
    <phoneticPr fontId="1"/>
  </si>
  <si>
    <t>SQL1.仕入先CD</t>
    <rPh sb="5" eb="8">
      <t>シイレサキ</t>
    </rPh>
    <phoneticPr fontId="1"/>
  </si>
  <si>
    <t>SQL1.仕入先名1</t>
    <rPh sb="5" eb="9">
      <t>シイレサキメイ</t>
    </rPh>
    <phoneticPr fontId="1"/>
  </si>
  <si>
    <t>SQL1.仕入先名2</t>
    <rPh sb="5" eb="9">
      <t>シイレサキメイ</t>
    </rPh>
    <phoneticPr fontId="1"/>
  </si>
  <si>
    <t>SQL1.前月残高</t>
    <rPh sb="5" eb="9">
      <t>ゼンゲツザンダカ</t>
    </rPh>
    <phoneticPr fontId="1"/>
  </si>
  <si>
    <t>SQL1.支払金額</t>
    <phoneticPr fontId="1"/>
  </si>
  <si>
    <t>SQL1.調整金額</t>
    <rPh sb="5" eb="9">
      <t>チョウセイキンガク</t>
    </rPh>
    <phoneticPr fontId="1"/>
  </si>
  <si>
    <t>SQL1.差引繰越額</t>
    <rPh sb="5" eb="10">
      <t>サシヒキクリコシガク</t>
    </rPh>
    <phoneticPr fontId="1"/>
  </si>
  <si>
    <t>SQL1.仕入金額</t>
    <rPh sb="5" eb="9">
      <t>シイレキンガク</t>
    </rPh>
    <phoneticPr fontId="1"/>
  </si>
  <si>
    <t>SQL1.返品金額</t>
    <rPh sb="5" eb="6">
      <t>ヘン</t>
    </rPh>
    <rPh sb="6" eb="7">
      <t>シナ</t>
    </rPh>
    <rPh sb="7" eb="9">
      <t>キンガク</t>
    </rPh>
    <phoneticPr fontId="1"/>
  </si>
  <si>
    <t>SQL1.訂正金額</t>
    <rPh sb="5" eb="9">
      <t>テイセイキンガク</t>
    </rPh>
    <phoneticPr fontId="1"/>
  </si>
  <si>
    <t>SQL1.差引仕入額</t>
    <rPh sb="5" eb="10">
      <t>サシヒキシイレガク</t>
    </rPh>
    <phoneticPr fontId="1"/>
  </si>
  <si>
    <t>SQL1.消費税額</t>
    <rPh sb="5" eb="9">
      <t>ショウヒゼイガク</t>
    </rPh>
    <phoneticPr fontId="1"/>
  </si>
  <si>
    <t>SQL1.税込仕入額</t>
    <rPh sb="5" eb="10">
      <t>ゼイコミシイレガク</t>
    </rPh>
    <phoneticPr fontId="1"/>
  </si>
  <si>
    <t>SQL1.当月残高</t>
    <rPh sb="5" eb="9">
      <t>トウゲツザンダカ</t>
    </rPh>
    <phoneticPr fontId="1"/>
  </si>
  <si>
    <t>SQL1.支払予定日</t>
    <rPh sb="5" eb="7">
      <t>シハライ</t>
    </rPh>
    <rPh sb="7" eb="9">
      <t>ヨテイ</t>
    </rPh>
    <rPh sb="9" eb="10">
      <t>ビ</t>
    </rPh>
    <phoneticPr fontId="1"/>
  </si>
  <si>
    <t>SQL1.支払様式名</t>
    <rPh sb="9" eb="10">
      <t>メイ</t>
    </rPh>
    <phoneticPr fontId="1"/>
  </si>
  <si>
    <t>支払様式名</t>
    <rPh sb="0" eb="4">
      <t>シハライヨウシキ</t>
    </rPh>
    <rPh sb="4" eb="5">
      <t>メイ</t>
    </rPh>
    <phoneticPr fontId="1"/>
  </si>
  <si>
    <t>現在日付</t>
    <rPh sb="0" eb="4">
      <t>ゲンザイヒヅケ</t>
    </rPh>
    <phoneticPr fontId="1"/>
  </si>
  <si>
    <t>画面.開始仕入先CD</t>
    <rPh sb="0" eb="2">
      <t>ガメン</t>
    </rPh>
    <rPh sb="3" eb="5">
      <t>カイシ</t>
    </rPh>
    <rPh sb="5" eb="8">
      <t>シイレサキ</t>
    </rPh>
    <phoneticPr fontId="1"/>
  </si>
  <si>
    <t>画面.終了仕入先CD</t>
    <rPh sb="0" eb="2">
      <t>ガメン</t>
    </rPh>
    <rPh sb="3" eb="5">
      <t>シュウリョウ</t>
    </rPh>
    <rPh sb="5" eb="8">
      <t>シイレサキ</t>
    </rPh>
    <phoneticPr fontId="1"/>
  </si>
  <si>
    <t>yyyy年mm月dd日</t>
    <rPh sb="4" eb="5">
      <t>ネン</t>
    </rPh>
    <rPh sb="7" eb="8">
      <t>ゲツ</t>
    </rPh>
    <rPh sb="10" eb="11">
      <t>ビ</t>
    </rPh>
    <phoneticPr fontId="1"/>
  </si>
  <si>
    <t>[SQL1.前月残高]の合計</t>
    <rPh sb="12" eb="14">
      <t>ゴウケイ</t>
    </rPh>
    <phoneticPr fontId="1"/>
  </si>
  <si>
    <t>[SQL1.支払金額]の合計</t>
    <rPh sb="12" eb="14">
      <t>ゴウケイ</t>
    </rPh>
    <phoneticPr fontId="1"/>
  </si>
  <si>
    <t>[SQL1.調整金額]の合計</t>
    <rPh sb="12" eb="14">
      <t>ゴウケイ</t>
    </rPh>
    <phoneticPr fontId="1"/>
  </si>
  <si>
    <t>[SQL1.差引繰越額]の合計</t>
    <rPh sb="13" eb="15">
      <t>ゴウケイ</t>
    </rPh>
    <phoneticPr fontId="1"/>
  </si>
  <si>
    <t>[SQL1.仕入金額]の合計</t>
    <rPh sb="12" eb="14">
      <t>ゴウケイ</t>
    </rPh>
    <phoneticPr fontId="1"/>
  </si>
  <si>
    <t>[SQL1.返品金額]の合計</t>
    <rPh sb="12" eb="14">
      <t>ゴウケイ</t>
    </rPh>
    <phoneticPr fontId="1"/>
  </si>
  <si>
    <t>[SQL1.訂正金額]の合計</t>
    <phoneticPr fontId="1"/>
  </si>
  <si>
    <t>[SQL1.差引仕入額]の合計</t>
    <phoneticPr fontId="1"/>
  </si>
  <si>
    <t>[SQL1.消費税額]の合計</t>
    <phoneticPr fontId="1"/>
  </si>
  <si>
    <t>[SQL1.税込仕入額]の合計</t>
    <phoneticPr fontId="1"/>
  </si>
  <si>
    <t>[SQL1.当月残高]の合計</t>
    <phoneticPr fontId="1"/>
  </si>
  <si>
    <t>yyyy年mm月dd日締め または yyyy年mm月末締め</t>
    <rPh sb="10" eb="11">
      <t>ビ</t>
    </rPh>
    <rPh sb="11" eb="12">
      <t>シ</t>
    </rPh>
    <rPh sb="22" eb="23">
      <t>ネン</t>
    </rPh>
    <rPh sb="25" eb="26">
      <t>ガツ</t>
    </rPh>
    <rPh sb="26" eb="27">
      <t>マツ</t>
    </rPh>
    <rPh sb="27" eb="28">
      <t>シ</t>
    </rPh>
    <phoneticPr fontId="1"/>
  </si>
  <si>
    <t>仕入日付</t>
    <rPh sb="0" eb="2">
      <t>シイ</t>
    </rPh>
    <rPh sb="2" eb="4">
      <t>ヒヅケ</t>
    </rPh>
    <phoneticPr fontId="1"/>
  </si>
  <si>
    <t>SQL2</t>
    <phoneticPr fontId="2"/>
  </si>
  <si>
    <t>締日</t>
    <rPh sb="0" eb="2">
      <t>シメビ</t>
    </rPh>
    <phoneticPr fontId="2"/>
  </si>
  <si>
    <t>TM会社</t>
    <rPh sb="2" eb="4">
      <t>カイシャ</t>
    </rPh>
    <phoneticPr fontId="2"/>
  </si>
  <si>
    <t>TM会社.締日</t>
    <rPh sb="2" eb="4">
      <t>カイシャ</t>
    </rPh>
    <rPh sb="5" eb="7">
      <t>シメビ</t>
    </rPh>
    <phoneticPr fontId="2"/>
  </si>
  <si>
    <t>画面.仕入年月,SQL2.締日</t>
    <rPh sb="0" eb="2">
      <t>ガメン</t>
    </rPh>
    <rPh sb="3" eb="5">
      <t>シイレ</t>
    </rPh>
    <rPh sb="5" eb="7">
      <t>ネンゲツ</t>
    </rPh>
    <rPh sb="13" eb="15">
      <t>シメビ</t>
    </rPh>
    <phoneticPr fontId="1"/>
  </si>
  <si>
    <r>
      <t>WHERE  SK.支払日付  = CONVERT(VARCHAR(10),</t>
    </r>
    <r>
      <rPr>
        <sz val="9"/>
        <rFont val="Meiryo UI"/>
        <family val="3"/>
        <charset val="128"/>
      </rPr>
      <t>来月1日または現在日付</t>
    </r>
    <r>
      <rPr>
        <sz val="9"/>
        <color theme="1"/>
        <rFont val="Meiryo UI"/>
        <family val="3"/>
        <charset val="128"/>
      </rPr>
      <t>,111)</t>
    </r>
    <rPh sb="38" eb="40">
      <t>ライゲツ</t>
    </rPh>
    <rPh sb="41" eb="42">
      <t>ニチ</t>
    </rPh>
    <rPh sb="45" eb="49">
      <t>ゲンザイヒヅケ</t>
    </rPh>
    <phoneticPr fontId="2"/>
  </si>
  <si>
    <t>支払予定日が99の場合は来月1日または現在日付の月末日、それ以外の場合は[来月1日または現在日付] + [TM仕入先.支払サイクル] を行い 日付を [TM仕入先.支払予定日]に設定</t>
    <rPh sb="0" eb="2">
      <t>シハライ</t>
    </rPh>
    <rPh sb="24" eb="27">
      <t>ゲツマツビ</t>
    </rPh>
    <phoneticPr fontId="2"/>
  </si>
  <si>
    <t>帳票レイアウト</t>
    <rPh sb="0" eb="2">
      <t>チョウヒョウ</t>
    </rPh>
    <phoneticPr fontId="2"/>
  </si>
  <si>
    <t>罫線について</t>
    <rPh sb="0" eb="2">
      <t>ケイセン</t>
    </rPh>
    <phoneticPr fontId="2"/>
  </si>
  <si>
    <t>仕入れ先ごとに区切られるべきか</t>
    <rPh sb="0" eb="2">
      <t>シイ</t>
    </rPh>
    <rPh sb="3" eb="4">
      <t>サキ</t>
    </rPh>
    <rPh sb="7" eb="9">
      <t>クギ</t>
    </rPh>
    <phoneticPr fontId="2"/>
  </si>
  <si>
    <t>回答</t>
    <rPh sb="0" eb="2">
      <t>カイトウ</t>
    </rPh>
    <phoneticPr fontId="2"/>
  </si>
  <si>
    <t>合っている</t>
    <rPh sb="0" eb="1">
      <t>ア</t>
    </rPh>
    <phoneticPr fontId="2"/>
  </si>
  <si>
    <t>〇</t>
    <phoneticPr fontId="2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</si>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</sst>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5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3" fontId="3" fillId="2" borderId="5" xfId="0" quotePrefix="1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277905</xdr:colOff>
      <xdr:row>8</xdr:row>
      <xdr:rowOff>0</xdr:rowOff>
    </xdr:from>
    <xdr:to>
      <xdr:col>63</xdr:col>
      <xdr:colOff>86441</xdr:colOff>
      <xdr:row>34</xdr:row>
      <xdr:rowOff>71718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493" y="1631576"/>
          <a:ext cx="16760795" cy="6598024"/>
        </a:xfrm>
        <a:prstGeom prst="rect">
          <a:avLst/>
        </a:prstGeom>
      </xdr:spPr>
    </xdr:pic>
    <xdr:clientData/>
  </xdr:twoCellAnchor>
  <xdr:twoCellAnchor>
    <xdr:from>
      <xdr:col>53</xdr:col>
      <xdr:colOff>215153</xdr:colOff>
      <xdr:row>9</xdr:row>
      <xdr:rowOff>170330</xdr:rowOff>
    </xdr:from>
    <xdr:to>
      <xdr:col>54</xdr:col>
      <xdr:colOff>277905</xdr:colOff>
      <xdr:row>10</xdr:row>
      <xdr:rowOff>242048</xdr:rowOff>
    </xdr:to>
    <xdr:sp macro="" textlink="">
      <xdr:nvSpPr>
        <xdr:cNvPr id="5" name="正方形/長方形 4"/>
        <xdr:cNvSpPr/>
      </xdr:nvSpPr>
      <xdr:spPr>
        <a:xfrm>
          <a:off x="14746941" y="20529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8965</xdr:colOff>
      <xdr:row>9</xdr:row>
      <xdr:rowOff>44822</xdr:rowOff>
    </xdr:from>
    <xdr:to>
      <xdr:col>10</xdr:col>
      <xdr:colOff>71717</xdr:colOff>
      <xdr:row>10</xdr:row>
      <xdr:rowOff>116540</xdr:rowOff>
    </xdr:to>
    <xdr:sp macro="" textlink="">
      <xdr:nvSpPr>
        <xdr:cNvPr id="6" name="正方形/長方形 5"/>
        <xdr:cNvSpPr/>
      </xdr:nvSpPr>
      <xdr:spPr>
        <a:xfrm>
          <a:off x="2312894" y="192741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8964</xdr:colOff>
      <xdr:row>10</xdr:row>
      <xdr:rowOff>161364</xdr:rowOff>
    </xdr:from>
    <xdr:to>
      <xdr:col>10</xdr:col>
      <xdr:colOff>71716</xdr:colOff>
      <xdr:row>11</xdr:row>
      <xdr:rowOff>233082</xdr:rowOff>
    </xdr:to>
    <xdr:sp macro="" textlink="">
      <xdr:nvSpPr>
        <xdr:cNvPr id="7" name="正方形/長方形 6"/>
        <xdr:cNvSpPr/>
      </xdr:nvSpPr>
      <xdr:spPr>
        <a:xfrm>
          <a:off x="2312893" y="229496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98610</xdr:colOff>
      <xdr:row>10</xdr:row>
      <xdr:rowOff>170329</xdr:rowOff>
    </xdr:from>
    <xdr:to>
      <xdr:col>14</xdr:col>
      <xdr:colOff>161362</xdr:colOff>
      <xdr:row>11</xdr:row>
      <xdr:rowOff>242047</xdr:rowOff>
    </xdr:to>
    <xdr:sp macro="" textlink="">
      <xdr:nvSpPr>
        <xdr:cNvPr id="8" name="正方形/長方形 7"/>
        <xdr:cNvSpPr/>
      </xdr:nvSpPr>
      <xdr:spPr>
        <a:xfrm>
          <a:off x="3514163" y="23039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224117</xdr:colOff>
      <xdr:row>13</xdr:row>
      <xdr:rowOff>233082</xdr:rowOff>
    </xdr:from>
    <xdr:to>
      <xdr:col>6</xdr:col>
      <xdr:colOff>8963</xdr:colOff>
      <xdr:row>15</xdr:row>
      <xdr:rowOff>53788</xdr:rowOff>
    </xdr:to>
    <xdr:sp macro="" textlink="">
      <xdr:nvSpPr>
        <xdr:cNvPr id="9" name="正方形/長方形 8"/>
        <xdr:cNvSpPr/>
      </xdr:nvSpPr>
      <xdr:spPr>
        <a:xfrm>
          <a:off x="1138517" y="311971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53787</xdr:colOff>
      <xdr:row>13</xdr:row>
      <xdr:rowOff>107578</xdr:rowOff>
    </xdr:from>
    <xdr:to>
      <xdr:col>8</xdr:col>
      <xdr:colOff>116539</xdr:colOff>
      <xdr:row>14</xdr:row>
      <xdr:rowOff>179296</xdr:rowOff>
    </xdr:to>
    <xdr:sp macro="" textlink="">
      <xdr:nvSpPr>
        <xdr:cNvPr id="10" name="正方形/長方形 9"/>
        <xdr:cNvSpPr/>
      </xdr:nvSpPr>
      <xdr:spPr>
        <a:xfrm>
          <a:off x="1801905" y="299421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251011</xdr:colOff>
      <xdr:row>13</xdr:row>
      <xdr:rowOff>251011</xdr:rowOff>
    </xdr:from>
    <xdr:to>
      <xdr:col>18</xdr:col>
      <xdr:colOff>35858</xdr:colOff>
      <xdr:row>15</xdr:row>
      <xdr:rowOff>71717</xdr:rowOff>
    </xdr:to>
    <xdr:sp macro="" textlink="">
      <xdr:nvSpPr>
        <xdr:cNvPr id="11" name="正方形/長方形 10"/>
        <xdr:cNvSpPr/>
      </xdr:nvSpPr>
      <xdr:spPr>
        <a:xfrm>
          <a:off x="4500282" y="313764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134470</xdr:colOff>
      <xdr:row>14</xdr:row>
      <xdr:rowOff>0</xdr:rowOff>
    </xdr:from>
    <xdr:to>
      <xdr:col>21</xdr:col>
      <xdr:colOff>197222</xdr:colOff>
      <xdr:row>15</xdr:row>
      <xdr:rowOff>71718</xdr:rowOff>
    </xdr:to>
    <xdr:sp macro="" textlink="">
      <xdr:nvSpPr>
        <xdr:cNvPr id="12" name="正方形/長方形 11"/>
        <xdr:cNvSpPr/>
      </xdr:nvSpPr>
      <xdr:spPr>
        <a:xfrm>
          <a:off x="5495364" y="31376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197223</xdr:colOff>
      <xdr:row>14</xdr:row>
      <xdr:rowOff>8964</xdr:rowOff>
    </xdr:from>
    <xdr:to>
      <xdr:col>25</xdr:col>
      <xdr:colOff>259975</xdr:colOff>
      <xdr:row>15</xdr:row>
      <xdr:rowOff>80682</xdr:rowOff>
    </xdr:to>
    <xdr:sp macro="" textlink="">
      <xdr:nvSpPr>
        <xdr:cNvPr id="13" name="正方形/長方形 12"/>
        <xdr:cNvSpPr/>
      </xdr:nvSpPr>
      <xdr:spPr>
        <a:xfrm>
          <a:off x="6669741" y="314661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35859</xdr:colOff>
      <xdr:row>14</xdr:row>
      <xdr:rowOff>8966</xdr:rowOff>
    </xdr:from>
    <xdr:to>
      <xdr:col>29</xdr:col>
      <xdr:colOff>98611</xdr:colOff>
      <xdr:row>15</xdr:row>
      <xdr:rowOff>80684</xdr:rowOff>
    </xdr:to>
    <xdr:sp macro="" textlink="">
      <xdr:nvSpPr>
        <xdr:cNvPr id="3" name="正方形/長方形 2"/>
        <xdr:cNvSpPr/>
      </xdr:nvSpPr>
      <xdr:spPr>
        <a:xfrm>
          <a:off x="7620000" y="314661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107576</xdr:colOff>
      <xdr:row>14</xdr:row>
      <xdr:rowOff>17930</xdr:rowOff>
    </xdr:from>
    <xdr:to>
      <xdr:col>32</xdr:col>
      <xdr:colOff>170328</xdr:colOff>
      <xdr:row>15</xdr:row>
      <xdr:rowOff>89648</xdr:rowOff>
    </xdr:to>
    <xdr:sp macro="" textlink="">
      <xdr:nvSpPr>
        <xdr:cNvPr id="14" name="正方形/長方形 13"/>
        <xdr:cNvSpPr/>
      </xdr:nvSpPr>
      <xdr:spPr>
        <a:xfrm>
          <a:off x="8525435" y="315557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179294</xdr:colOff>
      <xdr:row>14</xdr:row>
      <xdr:rowOff>8964</xdr:rowOff>
    </xdr:from>
    <xdr:to>
      <xdr:col>36</xdr:col>
      <xdr:colOff>242046</xdr:colOff>
      <xdr:row>15</xdr:row>
      <xdr:rowOff>80682</xdr:rowOff>
    </xdr:to>
    <xdr:sp macro="" textlink="">
      <xdr:nvSpPr>
        <xdr:cNvPr id="15" name="正方形/長方形 14"/>
        <xdr:cNvSpPr/>
      </xdr:nvSpPr>
      <xdr:spPr>
        <a:xfrm>
          <a:off x="9708776" y="314661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53788</xdr:colOff>
      <xdr:row>14</xdr:row>
      <xdr:rowOff>8965</xdr:rowOff>
    </xdr:from>
    <xdr:to>
      <xdr:col>40</xdr:col>
      <xdr:colOff>116540</xdr:colOff>
      <xdr:row>15</xdr:row>
      <xdr:rowOff>80683</xdr:rowOff>
    </xdr:to>
    <xdr:sp macro="" textlink="">
      <xdr:nvSpPr>
        <xdr:cNvPr id="16" name="正方形/長方形 15"/>
        <xdr:cNvSpPr/>
      </xdr:nvSpPr>
      <xdr:spPr>
        <a:xfrm>
          <a:off x="10694894" y="31466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71717</xdr:colOff>
      <xdr:row>14</xdr:row>
      <xdr:rowOff>26894</xdr:rowOff>
    </xdr:from>
    <xdr:to>
      <xdr:col>43</xdr:col>
      <xdr:colOff>134470</xdr:colOff>
      <xdr:row>15</xdr:row>
      <xdr:rowOff>98612</xdr:rowOff>
    </xdr:to>
    <xdr:sp macro="" textlink="">
      <xdr:nvSpPr>
        <xdr:cNvPr id="17" name="正方形/長方形 16"/>
        <xdr:cNvSpPr/>
      </xdr:nvSpPr>
      <xdr:spPr>
        <a:xfrm>
          <a:off x="11546541" y="31645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8965</xdr:colOff>
      <xdr:row>14</xdr:row>
      <xdr:rowOff>35859</xdr:rowOff>
    </xdr:from>
    <xdr:to>
      <xdr:col>47</xdr:col>
      <xdr:colOff>71717</xdr:colOff>
      <xdr:row>15</xdr:row>
      <xdr:rowOff>107577</xdr:rowOff>
    </xdr:to>
    <xdr:sp macro="" textlink="">
      <xdr:nvSpPr>
        <xdr:cNvPr id="18" name="正方形/長方形 17"/>
        <xdr:cNvSpPr/>
      </xdr:nvSpPr>
      <xdr:spPr>
        <a:xfrm>
          <a:off x="12595412" y="31735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125505</xdr:colOff>
      <xdr:row>14</xdr:row>
      <xdr:rowOff>35860</xdr:rowOff>
    </xdr:from>
    <xdr:to>
      <xdr:col>50</xdr:col>
      <xdr:colOff>188257</xdr:colOff>
      <xdr:row>15</xdr:row>
      <xdr:rowOff>107578</xdr:rowOff>
    </xdr:to>
    <xdr:sp macro="" textlink="">
      <xdr:nvSpPr>
        <xdr:cNvPr id="19" name="正方形/長方形 18"/>
        <xdr:cNvSpPr/>
      </xdr:nvSpPr>
      <xdr:spPr>
        <a:xfrm>
          <a:off x="13545670" y="31735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26894</xdr:colOff>
      <xdr:row>14</xdr:row>
      <xdr:rowOff>44824</xdr:rowOff>
    </xdr:from>
    <xdr:to>
      <xdr:col>54</xdr:col>
      <xdr:colOff>89646</xdr:colOff>
      <xdr:row>15</xdr:row>
      <xdr:rowOff>116542</xdr:rowOff>
    </xdr:to>
    <xdr:sp macro="" textlink="">
      <xdr:nvSpPr>
        <xdr:cNvPr id="20" name="正方形/長方形 19"/>
        <xdr:cNvSpPr/>
      </xdr:nvSpPr>
      <xdr:spPr>
        <a:xfrm>
          <a:off x="14558682" y="31824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116541</xdr:colOff>
      <xdr:row>14</xdr:row>
      <xdr:rowOff>53789</xdr:rowOff>
    </xdr:from>
    <xdr:to>
      <xdr:col>56</xdr:col>
      <xdr:colOff>179293</xdr:colOff>
      <xdr:row>15</xdr:row>
      <xdr:rowOff>125507</xdr:rowOff>
    </xdr:to>
    <xdr:sp macro="" textlink="">
      <xdr:nvSpPr>
        <xdr:cNvPr id="21" name="正方形/長方形 20"/>
        <xdr:cNvSpPr/>
      </xdr:nvSpPr>
      <xdr:spPr>
        <a:xfrm>
          <a:off x="15204141" y="31914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59</xdr:col>
      <xdr:colOff>98611</xdr:colOff>
      <xdr:row>14</xdr:row>
      <xdr:rowOff>53789</xdr:rowOff>
    </xdr:from>
    <xdr:to>
      <xdr:col>60</xdr:col>
      <xdr:colOff>161364</xdr:colOff>
      <xdr:row>15</xdr:row>
      <xdr:rowOff>125507</xdr:rowOff>
    </xdr:to>
    <xdr:sp macro="" textlink="">
      <xdr:nvSpPr>
        <xdr:cNvPr id="22" name="正方形/長方形 21"/>
        <xdr:cNvSpPr/>
      </xdr:nvSpPr>
      <xdr:spPr>
        <a:xfrm>
          <a:off x="16297835" y="31914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233082</xdr:colOff>
      <xdr:row>32</xdr:row>
      <xdr:rowOff>8965</xdr:rowOff>
    </xdr:from>
    <xdr:to>
      <xdr:col>18</xdr:col>
      <xdr:colOff>17929</xdr:colOff>
      <xdr:row>33</xdr:row>
      <xdr:rowOff>80683</xdr:rowOff>
    </xdr:to>
    <xdr:sp macro="" textlink="">
      <xdr:nvSpPr>
        <xdr:cNvPr id="23" name="正方形/長方形 22"/>
        <xdr:cNvSpPr/>
      </xdr:nvSpPr>
      <xdr:spPr>
        <a:xfrm>
          <a:off x="4482353" y="76648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134471</xdr:colOff>
      <xdr:row>32</xdr:row>
      <xdr:rowOff>17930</xdr:rowOff>
    </xdr:from>
    <xdr:to>
      <xdr:col>21</xdr:col>
      <xdr:colOff>197223</xdr:colOff>
      <xdr:row>33</xdr:row>
      <xdr:rowOff>89648</xdr:rowOff>
    </xdr:to>
    <xdr:sp macro="" textlink="">
      <xdr:nvSpPr>
        <xdr:cNvPr id="24" name="正方形/長方形 23"/>
        <xdr:cNvSpPr/>
      </xdr:nvSpPr>
      <xdr:spPr>
        <a:xfrm>
          <a:off x="5495365" y="76737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268940</xdr:colOff>
      <xdr:row>32</xdr:row>
      <xdr:rowOff>26894</xdr:rowOff>
    </xdr:from>
    <xdr:to>
      <xdr:col>26</xdr:col>
      <xdr:colOff>53787</xdr:colOff>
      <xdr:row>33</xdr:row>
      <xdr:rowOff>98612</xdr:rowOff>
    </xdr:to>
    <xdr:sp macro="" textlink="">
      <xdr:nvSpPr>
        <xdr:cNvPr id="25" name="正方形/長方形 24"/>
        <xdr:cNvSpPr/>
      </xdr:nvSpPr>
      <xdr:spPr>
        <a:xfrm>
          <a:off x="6741458" y="76827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17929</xdr:colOff>
      <xdr:row>32</xdr:row>
      <xdr:rowOff>26894</xdr:rowOff>
    </xdr:from>
    <xdr:to>
      <xdr:col>29</xdr:col>
      <xdr:colOff>80681</xdr:colOff>
      <xdr:row>33</xdr:row>
      <xdr:rowOff>98612</xdr:rowOff>
    </xdr:to>
    <xdr:sp macro="" textlink="">
      <xdr:nvSpPr>
        <xdr:cNvPr id="26" name="正方形/長方形 25"/>
        <xdr:cNvSpPr/>
      </xdr:nvSpPr>
      <xdr:spPr>
        <a:xfrm>
          <a:off x="7602070" y="76827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143435</xdr:colOff>
      <xdr:row>32</xdr:row>
      <xdr:rowOff>35858</xdr:rowOff>
    </xdr:from>
    <xdr:to>
      <xdr:col>32</xdr:col>
      <xdr:colOff>206187</xdr:colOff>
      <xdr:row>33</xdr:row>
      <xdr:rowOff>107576</xdr:rowOff>
    </xdr:to>
    <xdr:sp macro="" textlink="">
      <xdr:nvSpPr>
        <xdr:cNvPr id="27" name="正方形/長方形 26"/>
        <xdr:cNvSpPr/>
      </xdr:nvSpPr>
      <xdr:spPr>
        <a:xfrm>
          <a:off x="8561294" y="769171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170330</xdr:colOff>
      <xdr:row>32</xdr:row>
      <xdr:rowOff>44824</xdr:rowOff>
    </xdr:from>
    <xdr:to>
      <xdr:col>36</xdr:col>
      <xdr:colOff>233082</xdr:colOff>
      <xdr:row>33</xdr:row>
      <xdr:rowOff>116542</xdr:rowOff>
    </xdr:to>
    <xdr:sp macro="" textlink="">
      <xdr:nvSpPr>
        <xdr:cNvPr id="28" name="正方形/長方形 27"/>
        <xdr:cNvSpPr/>
      </xdr:nvSpPr>
      <xdr:spPr>
        <a:xfrm>
          <a:off x="9699812" y="77006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98611</xdr:colOff>
      <xdr:row>32</xdr:row>
      <xdr:rowOff>53788</xdr:rowOff>
    </xdr:from>
    <xdr:to>
      <xdr:col>40</xdr:col>
      <xdr:colOff>161363</xdr:colOff>
      <xdr:row>33</xdr:row>
      <xdr:rowOff>125506</xdr:rowOff>
    </xdr:to>
    <xdr:sp macro="" textlink="">
      <xdr:nvSpPr>
        <xdr:cNvPr id="29" name="正方形/長方形 28"/>
        <xdr:cNvSpPr/>
      </xdr:nvSpPr>
      <xdr:spPr>
        <a:xfrm>
          <a:off x="10739717" y="77096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125505</xdr:colOff>
      <xdr:row>32</xdr:row>
      <xdr:rowOff>53788</xdr:rowOff>
    </xdr:from>
    <xdr:to>
      <xdr:col>43</xdr:col>
      <xdr:colOff>188258</xdr:colOff>
      <xdr:row>33</xdr:row>
      <xdr:rowOff>125506</xdr:rowOff>
    </xdr:to>
    <xdr:sp macro="" textlink="">
      <xdr:nvSpPr>
        <xdr:cNvPr id="30" name="正方形/長方形 29"/>
        <xdr:cNvSpPr/>
      </xdr:nvSpPr>
      <xdr:spPr>
        <a:xfrm>
          <a:off x="11600329" y="77096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53787</xdr:colOff>
      <xdr:row>32</xdr:row>
      <xdr:rowOff>53787</xdr:rowOff>
    </xdr:from>
    <xdr:to>
      <xdr:col>47</xdr:col>
      <xdr:colOff>116539</xdr:colOff>
      <xdr:row>33</xdr:row>
      <xdr:rowOff>125505</xdr:rowOff>
    </xdr:to>
    <xdr:sp macro="" textlink="">
      <xdr:nvSpPr>
        <xdr:cNvPr id="31" name="正方形/長方形 30"/>
        <xdr:cNvSpPr/>
      </xdr:nvSpPr>
      <xdr:spPr>
        <a:xfrm>
          <a:off x="12640234" y="770964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215152</xdr:colOff>
      <xdr:row>32</xdr:row>
      <xdr:rowOff>71717</xdr:rowOff>
    </xdr:from>
    <xdr:to>
      <xdr:col>50</xdr:col>
      <xdr:colOff>277904</xdr:colOff>
      <xdr:row>33</xdr:row>
      <xdr:rowOff>143435</xdr:rowOff>
    </xdr:to>
    <xdr:sp macro="" textlink="">
      <xdr:nvSpPr>
        <xdr:cNvPr id="32" name="正方形/長方形 31"/>
        <xdr:cNvSpPr/>
      </xdr:nvSpPr>
      <xdr:spPr>
        <a:xfrm>
          <a:off x="13635317" y="77275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62753</xdr:colOff>
      <xdr:row>32</xdr:row>
      <xdr:rowOff>89648</xdr:rowOff>
    </xdr:from>
    <xdr:to>
      <xdr:col>54</xdr:col>
      <xdr:colOff>125505</xdr:colOff>
      <xdr:row>33</xdr:row>
      <xdr:rowOff>161366</xdr:rowOff>
    </xdr:to>
    <xdr:sp macro="" textlink="">
      <xdr:nvSpPr>
        <xdr:cNvPr id="33" name="正方形/長方形 32"/>
        <xdr:cNvSpPr/>
      </xdr:nvSpPr>
      <xdr:spPr>
        <a:xfrm>
          <a:off x="14594541" y="77455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53787</xdr:colOff>
      <xdr:row>14</xdr:row>
      <xdr:rowOff>206188</xdr:rowOff>
    </xdr:from>
    <xdr:to>
      <xdr:col>8</xdr:col>
      <xdr:colOff>116539</xdr:colOff>
      <xdr:row>16</xdr:row>
      <xdr:rowOff>26894</xdr:rowOff>
    </xdr:to>
    <xdr:sp macro="" textlink="">
      <xdr:nvSpPr>
        <xdr:cNvPr id="34" name="正方形/長方形 33"/>
        <xdr:cNvSpPr/>
      </xdr:nvSpPr>
      <xdr:spPr>
        <a:xfrm>
          <a:off x="1801905" y="334383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28358</xdr:colOff>
      <xdr:row>38</xdr:row>
      <xdr:rowOff>144075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098438" cy="860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6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220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51" t="s">
        <v>3</v>
      </c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3"/>
      <c r="AK2" s="151" t="s">
        <v>31</v>
      </c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3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40"/>
      <c r="BN2" s="14"/>
    </row>
    <row r="3" spans="1:66" ht="20.100000000000001" customHeight="1" x14ac:dyDescent="0.45">
      <c r="A3" s="8"/>
      <c r="B3" s="154" t="s">
        <v>218</v>
      </c>
      <c r="C3" s="142"/>
      <c r="D3" s="142"/>
      <c r="E3" s="142"/>
      <c r="F3" s="142"/>
      <c r="G3" s="142"/>
      <c r="H3" s="142" t="str">
        <f ca="1">LEFT($X$3,FIND("_",$X$3)-1)</f>
        <v>SK0200</v>
      </c>
      <c r="I3" s="142"/>
      <c r="J3" s="142"/>
      <c r="K3" s="142"/>
      <c r="L3" s="142" t="s">
        <v>219</v>
      </c>
      <c r="M3" s="142"/>
      <c r="N3" s="142"/>
      <c r="O3" s="142"/>
      <c r="P3" s="142"/>
      <c r="Q3" s="142"/>
      <c r="R3" s="155" t="str">
        <f ca="1">MID($X$3,FIND("_",$X$3,FIND("_",$X$3)+1)+1,LEN($X$3)-FIND("_",$X$3,FIND("_",$X$3)+1))</f>
        <v>帳票設計書</v>
      </c>
      <c r="S3" s="142"/>
      <c r="T3" s="142"/>
      <c r="U3" s="142"/>
      <c r="V3" s="142"/>
      <c r="W3" s="142"/>
      <c r="X3" s="145" t="str">
        <f ca="1">REPLACE(LEFT(CELL("filename",$B$2),FIND(".x",CELL("filename",$B$2))-1),1,FIND("[",CELL("filename",$B$2)),)</f>
        <v>SK0200_検収一覧表_帳票設計書</v>
      </c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5" t="str">
        <f ca="1">MID($X$3,FIND("_",$X$3)+1,FIND("_",$X$3,FIND("_",$X$3)+1)-FIND("_",$X$3)-1)</f>
        <v>検収一覧表</v>
      </c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7"/>
      <c r="AX3" s="141">
        <v>45583</v>
      </c>
      <c r="AY3" s="142"/>
      <c r="AZ3" s="142"/>
      <c r="BA3" s="142"/>
      <c r="BB3" s="142" t="s">
        <v>221</v>
      </c>
      <c r="BC3" s="142"/>
      <c r="BD3" s="142"/>
      <c r="BE3" s="142"/>
      <c r="BF3" s="141">
        <v>45583</v>
      </c>
      <c r="BG3" s="142"/>
      <c r="BH3" s="142"/>
      <c r="BI3" s="142"/>
      <c r="BJ3" s="142" t="s">
        <v>221</v>
      </c>
      <c r="BK3" s="142"/>
      <c r="BL3" s="142"/>
      <c r="BM3" s="144"/>
      <c r="BN3" s="14"/>
    </row>
    <row r="4" spans="1:66" ht="20.100000000000001" customHeight="1" thickBot="1" x14ac:dyDescent="0.5">
      <c r="A4" s="8"/>
      <c r="B4" s="147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38" t="s">
        <v>8</v>
      </c>
      <c r="D8" s="138"/>
      <c r="E8" s="138"/>
      <c r="F8" s="138"/>
      <c r="G8" s="138" t="s">
        <v>9</v>
      </c>
      <c r="H8" s="138"/>
      <c r="I8" s="138"/>
      <c r="J8" s="138"/>
      <c r="K8" s="138" t="s">
        <v>10</v>
      </c>
      <c r="L8" s="138"/>
      <c r="M8" s="138"/>
      <c r="N8" s="138"/>
      <c r="O8" s="138" t="s">
        <v>11</v>
      </c>
      <c r="P8" s="138"/>
      <c r="Q8" s="138"/>
      <c r="R8" s="138"/>
      <c r="S8" s="138"/>
      <c r="T8" s="138"/>
      <c r="U8" s="138"/>
      <c r="V8" s="138"/>
      <c r="W8" s="138"/>
      <c r="X8" s="138"/>
      <c r="Y8" s="138" t="s">
        <v>12</v>
      </c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7"/>
      <c r="BN8" s="14"/>
    </row>
    <row r="9" spans="1:66" ht="20.100000000000001" customHeight="1" x14ac:dyDescent="0.45">
      <c r="A9" s="8"/>
      <c r="B9" s="7"/>
      <c r="C9" s="137">
        <v>45583</v>
      </c>
      <c r="D9" s="135"/>
      <c r="E9" s="135"/>
      <c r="F9" s="136"/>
      <c r="G9" s="131" t="s">
        <v>16</v>
      </c>
      <c r="H9" s="132"/>
      <c r="I9" s="132"/>
      <c r="J9" s="133"/>
      <c r="K9" s="134" t="s">
        <v>221</v>
      </c>
      <c r="L9" s="135"/>
      <c r="M9" s="135"/>
      <c r="N9" s="13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37"/>
      <c r="D10" s="135"/>
      <c r="E10" s="135"/>
      <c r="F10" s="136"/>
      <c r="G10" s="131"/>
      <c r="H10" s="132"/>
      <c r="I10" s="132"/>
      <c r="J10" s="133"/>
      <c r="K10" s="134"/>
      <c r="L10" s="135"/>
      <c r="M10" s="135"/>
      <c r="N10" s="13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37"/>
      <c r="D11" s="135"/>
      <c r="E11" s="135"/>
      <c r="F11" s="136"/>
      <c r="G11" s="131"/>
      <c r="H11" s="132"/>
      <c r="I11" s="132"/>
      <c r="J11" s="133"/>
      <c r="K11" s="134"/>
      <c r="L11" s="135"/>
      <c r="M11" s="135"/>
      <c r="N11" s="13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37"/>
      <c r="D36" s="135"/>
      <c r="E36" s="135"/>
      <c r="F36" s="136"/>
      <c r="G36" s="131"/>
      <c r="H36" s="132"/>
      <c r="I36" s="132"/>
      <c r="J36" s="133"/>
      <c r="K36" s="134"/>
      <c r="L36" s="135"/>
      <c r="M36" s="135"/>
      <c r="N36" s="13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37"/>
      <c r="D37" s="135"/>
      <c r="E37" s="135"/>
      <c r="F37" s="136"/>
      <c r="G37" s="131"/>
      <c r="H37" s="132"/>
      <c r="I37" s="132"/>
      <c r="J37" s="133"/>
      <c r="K37" s="134"/>
      <c r="L37" s="135"/>
      <c r="M37" s="135"/>
      <c r="N37" s="13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37"/>
      <c r="D38" s="135"/>
      <c r="E38" s="135"/>
      <c r="F38" s="136"/>
      <c r="G38" s="131"/>
      <c r="H38" s="132"/>
      <c r="I38" s="132"/>
      <c r="J38" s="133"/>
      <c r="K38" s="134"/>
      <c r="L38" s="135"/>
      <c r="M38" s="135"/>
      <c r="N38" s="13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37"/>
      <c r="D39" s="135"/>
      <c r="E39" s="135"/>
      <c r="F39" s="136"/>
      <c r="G39" s="131"/>
      <c r="H39" s="132"/>
      <c r="I39" s="132"/>
      <c r="J39" s="133"/>
      <c r="K39" s="134"/>
      <c r="L39" s="135"/>
      <c r="M39" s="135"/>
      <c r="N39" s="13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37"/>
      <c r="D40" s="135"/>
      <c r="E40" s="135"/>
      <c r="F40" s="136"/>
      <c r="G40" s="131"/>
      <c r="H40" s="132"/>
      <c r="I40" s="132"/>
      <c r="J40" s="133"/>
      <c r="K40" s="134"/>
      <c r="L40" s="135"/>
      <c r="M40" s="135"/>
      <c r="N40" s="13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37"/>
      <c r="D41" s="135"/>
      <c r="E41" s="135"/>
      <c r="F41" s="136"/>
      <c r="G41" s="131"/>
      <c r="H41" s="132"/>
      <c r="I41" s="132"/>
      <c r="J41" s="133"/>
      <c r="K41" s="134"/>
      <c r="L41" s="135"/>
      <c r="M41" s="135"/>
      <c r="N41" s="13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37"/>
      <c r="D42" s="135"/>
      <c r="E42" s="135"/>
      <c r="F42" s="136"/>
      <c r="G42" s="131"/>
      <c r="H42" s="132"/>
      <c r="I42" s="132"/>
      <c r="J42" s="133"/>
      <c r="K42" s="134"/>
      <c r="L42" s="135"/>
      <c r="M42" s="135"/>
      <c r="N42" s="13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37"/>
      <c r="D43" s="135"/>
      <c r="E43" s="135"/>
      <c r="F43" s="136"/>
      <c r="G43" s="131"/>
      <c r="H43" s="132"/>
      <c r="I43" s="132"/>
      <c r="J43" s="133"/>
      <c r="K43" s="134"/>
      <c r="L43" s="135"/>
      <c r="M43" s="135"/>
      <c r="N43" s="13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37"/>
      <c r="D44" s="135"/>
      <c r="E44" s="135"/>
      <c r="F44" s="136"/>
      <c r="G44" s="131"/>
      <c r="H44" s="132"/>
      <c r="I44" s="132"/>
      <c r="J44" s="133"/>
      <c r="K44" s="134"/>
      <c r="L44" s="135"/>
      <c r="M44" s="135"/>
      <c r="N44" s="13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37"/>
      <c r="D45" s="135"/>
      <c r="E45" s="135"/>
      <c r="F45" s="136"/>
      <c r="G45" s="131"/>
      <c r="H45" s="132"/>
      <c r="I45" s="132"/>
      <c r="J45" s="133"/>
      <c r="K45" s="134"/>
      <c r="L45" s="135"/>
      <c r="M45" s="135"/>
      <c r="N45" s="13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37"/>
      <c r="D46" s="135"/>
      <c r="E46" s="135"/>
      <c r="F46" s="136"/>
      <c r="G46" s="131"/>
      <c r="H46" s="132"/>
      <c r="I46" s="132"/>
      <c r="J46" s="133"/>
      <c r="K46" s="134"/>
      <c r="L46" s="135"/>
      <c r="M46" s="135"/>
      <c r="N46" s="13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37"/>
      <c r="D47" s="135"/>
      <c r="E47" s="135"/>
      <c r="F47" s="136"/>
      <c r="G47" s="131"/>
      <c r="H47" s="132"/>
      <c r="I47" s="132"/>
      <c r="J47" s="133"/>
      <c r="K47" s="134"/>
      <c r="L47" s="135"/>
      <c r="M47" s="135"/>
      <c r="N47" s="13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6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220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51" t="s">
        <v>3</v>
      </c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3"/>
      <c r="AK2" s="151" t="s">
        <v>32</v>
      </c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3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40"/>
      <c r="BN2" s="35"/>
    </row>
    <row r="3" spans="1:66" ht="20.100000000000001" customHeight="1" x14ac:dyDescent="0.45">
      <c r="A3" s="32"/>
      <c r="B3" s="154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SK0200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5" t="str">
        <f ca="1">変更履歴!X3</f>
        <v>SK0200_検収一覧表_帳票設計書</v>
      </c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5" t="str">
        <f ca="1">変更履歴!AK3</f>
        <v>検収一覧表</v>
      </c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7"/>
      <c r="AX3" s="141">
        <f>変更履歴!AX3</f>
        <v>45583</v>
      </c>
      <c r="AY3" s="141"/>
      <c r="AZ3" s="141"/>
      <c r="BA3" s="141"/>
      <c r="BB3" s="142" t="str">
        <f>変更履歴!BB3</f>
        <v>大谷</v>
      </c>
      <c r="BC3" s="142"/>
      <c r="BD3" s="142"/>
      <c r="BE3" s="142"/>
      <c r="BF3" s="141">
        <f>変更履歴!BF3</f>
        <v>45583</v>
      </c>
      <c r="BG3" s="141"/>
      <c r="BH3" s="141"/>
      <c r="BI3" s="141"/>
      <c r="BJ3" s="142" t="str">
        <f>変更履歴!BJ3</f>
        <v>大谷</v>
      </c>
      <c r="BK3" s="142"/>
      <c r="BL3" s="142"/>
      <c r="BM3" s="144"/>
      <c r="BN3" s="35"/>
    </row>
    <row r="4" spans="1:66" ht="20.100000000000001" customHeight="1" thickBot="1" x14ac:dyDescent="0.5">
      <c r="A4" s="32"/>
      <c r="B4" s="147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57"/>
      <c r="AY4" s="157"/>
      <c r="AZ4" s="157"/>
      <c r="BA4" s="157"/>
      <c r="BB4" s="143"/>
      <c r="BC4" s="143"/>
      <c r="BD4" s="143"/>
      <c r="BE4" s="143"/>
      <c r="BF4" s="157"/>
      <c r="BG4" s="157"/>
      <c r="BH4" s="157"/>
      <c r="BI4" s="157"/>
      <c r="BJ4" s="143"/>
      <c r="BK4" s="143"/>
      <c r="BL4" s="143"/>
      <c r="BM4" s="145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検収一覧表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217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6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220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51" t="s">
        <v>3</v>
      </c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3"/>
      <c r="AK2" s="151" t="s">
        <v>32</v>
      </c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3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40"/>
      <c r="BN2" s="15"/>
    </row>
    <row r="3" spans="1:66" ht="20.100000000000001" customHeight="1" x14ac:dyDescent="0.45">
      <c r="A3" s="9"/>
      <c r="B3" s="154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SK0200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5" t="str">
        <f ca="1">変更履歴!X3</f>
        <v>SK0200_検収一覧表_帳票設計書</v>
      </c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5" t="str">
        <f ca="1">変更履歴!AK3</f>
        <v>検収一覧表</v>
      </c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7"/>
      <c r="AX3" s="141">
        <f>変更履歴!AX3</f>
        <v>45583</v>
      </c>
      <c r="AY3" s="141"/>
      <c r="AZ3" s="141"/>
      <c r="BA3" s="141"/>
      <c r="BB3" s="142" t="str">
        <f>変更履歴!BB3</f>
        <v>大谷</v>
      </c>
      <c r="BC3" s="142"/>
      <c r="BD3" s="142"/>
      <c r="BE3" s="142"/>
      <c r="BF3" s="141">
        <f>変更履歴!BF3</f>
        <v>45583</v>
      </c>
      <c r="BG3" s="141"/>
      <c r="BH3" s="141"/>
      <c r="BI3" s="141"/>
      <c r="BJ3" s="142" t="str">
        <f>変更履歴!BJ3</f>
        <v>大谷</v>
      </c>
      <c r="BK3" s="142"/>
      <c r="BL3" s="142"/>
      <c r="BM3" s="144"/>
      <c r="BN3" s="15"/>
    </row>
    <row r="4" spans="1:66" ht="20.100000000000001" customHeight="1" thickBot="1" x14ac:dyDescent="0.5">
      <c r="A4" s="9"/>
      <c r="B4" s="147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57"/>
      <c r="AY4" s="157"/>
      <c r="AZ4" s="157"/>
      <c r="BA4" s="157"/>
      <c r="BB4" s="143"/>
      <c r="BC4" s="143"/>
      <c r="BD4" s="143"/>
      <c r="BE4" s="143"/>
      <c r="BF4" s="157"/>
      <c r="BG4" s="157"/>
      <c r="BH4" s="157"/>
      <c r="BI4" s="157"/>
      <c r="BJ4" s="143"/>
      <c r="BK4" s="143"/>
      <c r="BL4" s="143"/>
      <c r="BM4" s="145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6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220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51" t="s">
        <v>3</v>
      </c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3"/>
      <c r="AK2" s="151" t="s">
        <v>32</v>
      </c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3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40"/>
      <c r="BN2" s="15"/>
    </row>
    <row r="3" spans="1:85" ht="20.100000000000001" customHeight="1" x14ac:dyDescent="0.45">
      <c r="A3" s="9"/>
      <c r="B3" s="154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SK0200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5" t="str">
        <f ca="1">変更履歴!X3</f>
        <v>SK0200_検収一覧表_帳票設計書</v>
      </c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5" t="str">
        <f ca="1">変更履歴!AK3</f>
        <v>検収一覧表</v>
      </c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7"/>
      <c r="AX3" s="141">
        <f>変更履歴!AX3</f>
        <v>45583</v>
      </c>
      <c r="AY3" s="141"/>
      <c r="AZ3" s="141"/>
      <c r="BA3" s="141"/>
      <c r="BB3" s="142" t="str">
        <f>変更履歴!BB3</f>
        <v>大谷</v>
      </c>
      <c r="BC3" s="142"/>
      <c r="BD3" s="142"/>
      <c r="BE3" s="142"/>
      <c r="BF3" s="141">
        <f>変更履歴!BF3</f>
        <v>45583</v>
      </c>
      <c r="BG3" s="141"/>
      <c r="BH3" s="141"/>
      <c r="BI3" s="141"/>
      <c r="BJ3" s="142" t="str">
        <f>変更履歴!BJ3</f>
        <v>大谷</v>
      </c>
      <c r="BK3" s="142"/>
      <c r="BL3" s="142"/>
      <c r="BM3" s="144"/>
      <c r="BN3" s="15"/>
    </row>
    <row r="4" spans="1:85" ht="20.100000000000001" customHeight="1" thickBot="1" x14ac:dyDescent="0.5">
      <c r="A4" s="9"/>
      <c r="B4" s="147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57"/>
      <c r="AY4" s="157"/>
      <c r="AZ4" s="157"/>
      <c r="BA4" s="157"/>
      <c r="BB4" s="143"/>
      <c r="BC4" s="143"/>
      <c r="BD4" s="143"/>
      <c r="BE4" s="143"/>
      <c r="BF4" s="157"/>
      <c r="BG4" s="157"/>
      <c r="BH4" s="157"/>
      <c r="BI4" s="157"/>
      <c r="BJ4" s="143"/>
      <c r="BK4" s="143"/>
      <c r="BL4" s="143"/>
      <c r="BM4" s="145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73" t="s">
        <v>20</v>
      </c>
      <c r="F10" s="174"/>
      <c r="G10" s="174"/>
      <c r="H10" s="174"/>
      <c r="I10" s="174"/>
      <c r="J10" s="174"/>
      <c r="K10" s="174"/>
      <c r="L10" s="175"/>
      <c r="M10" s="176" t="s">
        <v>24</v>
      </c>
      <c r="N10" s="177"/>
      <c r="O10" s="177"/>
      <c r="P10" s="176" t="s">
        <v>33</v>
      </c>
      <c r="Q10" s="177"/>
      <c r="R10" s="177"/>
      <c r="S10" s="176" t="s">
        <v>34</v>
      </c>
      <c r="T10" s="177"/>
      <c r="U10" s="177"/>
      <c r="V10" s="176" t="s">
        <v>36</v>
      </c>
      <c r="W10" s="177"/>
      <c r="X10" s="177"/>
      <c r="Y10" s="177"/>
      <c r="Z10" s="177"/>
      <c r="AA10" s="181"/>
      <c r="AB10" s="176" t="s">
        <v>35</v>
      </c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81"/>
      <c r="AR10" s="176" t="s">
        <v>42</v>
      </c>
      <c r="AS10" s="177"/>
      <c r="AT10" s="177"/>
      <c r="AU10" s="177"/>
      <c r="AV10" s="177"/>
      <c r="AW10" s="181"/>
      <c r="AX10" s="176" t="s">
        <v>43</v>
      </c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80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58" t="s">
        <v>141</v>
      </c>
      <c r="F11" s="159"/>
      <c r="G11" s="159"/>
      <c r="H11" s="159"/>
      <c r="I11" s="159"/>
      <c r="J11" s="159"/>
      <c r="K11" s="159"/>
      <c r="L11" s="160"/>
      <c r="M11" s="134" t="s">
        <v>8</v>
      </c>
      <c r="N11" s="135"/>
      <c r="O11" s="135"/>
      <c r="P11" s="134"/>
      <c r="Q11" s="135"/>
      <c r="R11" s="135"/>
      <c r="S11" s="134"/>
      <c r="T11" s="135"/>
      <c r="U11" s="135"/>
      <c r="V11" s="161" t="s">
        <v>187</v>
      </c>
      <c r="W11" s="162"/>
      <c r="X11" s="162"/>
      <c r="Y11" s="162"/>
      <c r="Z11" s="162"/>
      <c r="AA11" s="163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6"/>
      <c r="AR11" s="134" t="s">
        <v>190</v>
      </c>
      <c r="AS11" s="135"/>
      <c r="AT11" s="135"/>
      <c r="AU11" s="135"/>
      <c r="AV11" s="135"/>
      <c r="AW11" s="136"/>
      <c r="AX11" s="161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2"/>
      <c r="BM11" s="162"/>
      <c r="BN11" s="162"/>
      <c r="BO11" s="162"/>
      <c r="BP11" s="162"/>
      <c r="BQ11" s="162"/>
      <c r="BR11" s="162"/>
      <c r="BS11" s="162"/>
      <c r="BT11" s="168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58" t="s">
        <v>203</v>
      </c>
      <c r="F12" s="159"/>
      <c r="G12" s="159"/>
      <c r="H12" s="159"/>
      <c r="I12" s="159"/>
      <c r="J12" s="159"/>
      <c r="K12" s="159"/>
      <c r="L12" s="160"/>
      <c r="M12" s="134" t="s">
        <v>8</v>
      </c>
      <c r="N12" s="135"/>
      <c r="O12" s="135"/>
      <c r="P12" s="134"/>
      <c r="Q12" s="135"/>
      <c r="R12" s="135"/>
      <c r="S12" s="134"/>
      <c r="T12" s="135"/>
      <c r="U12" s="135"/>
      <c r="V12" s="161" t="s">
        <v>208</v>
      </c>
      <c r="W12" s="162"/>
      <c r="X12" s="162"/>
      <c r="Y12" s="162"/>
      <c r="Z12" s="162"/>
      <c r="AA12" s="163"/>
      <c r="AB12" s="164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6"/>
      <c r="AR12" s="134" t="s">
        <v>202</v>
      </c>
      <c r="AS12" s="135"/>
      <c r="AT12" s="135"/>
      <c r="AU12" s="135"/>
      <c r="AV12" s="135"/>
      <c r="AW12" s="136"/>
      <c r="AX12" s="161"/>
      <c r="AY12" s="162"/>
      <c r="AZ12" s="162"/>
      <c r="BA12" s="162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8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58" t="s">
        <v>142</v>
      </c>
      <c r="F13" s="159"/>
      <c r="G13" s="159"/>
      <c r="H13" s="159"/>
      <c r="I13" s="159"/>
      <c r="J13" s="159"/>
      <c r="K13" s="159"/>
      <c r="L13" s="160"/>
      <c r="M13" s="134" t="s">
        <v>47</v>
      </c>
      <c r="N13" s="135"/>
      <c r="O13" s="135"/>
      <c r="P13" s="134"/>
      <c r="Q13" s="135"/>
      <c r="R13" s="135"/>
      <c r="S13" s="134"/>
      <c r="T13" s="135"/>
      <c r="U13" s="135"/>
      <c r="V13" s="161" t="s">
        <v>188</v>
      </c>
      <c r="W13" s="162"/>
      <c r="X13" s="162"/>
      <c r="Y13" s="162"/>
      <c r="Z13" s="162"/>
      <c r="AA13" s="163"/>
      <c r="AB13" s="164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6"/>
      <c r="AR13" s="134"/>
      <c r="AS13" s="135"/>
      <c r="AT13" s="135"/>
      <c r="AU13" s="135"/>
      <c r="AV13" s="135"/>
      <c r="AW13" s="136"/>
      <c r="AX13" s="161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  <c r="BN13" s="162"/>
      <c r="BO13" s="162"/>
      <c r="BP13" s="162"/>
      <c r="BQ13" s="162"/>
      <c r="BR13" s="162"/>
      <c r="BS13" s="162"/>
      <c r="BT13" s="168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58" t="s">
        <v>143</v>
      </c>
      <c r="F14" s="159"/>
      <c r="G14" s="159"/>
      <c r="H14" s="159"/>
      <c r="I14" s="159"/>
      <c r="J14" s="159"/>
      <c r="K14" s="159"/>
      <c r="L14" s="160"/>
      <c r="M14" s="134" t="s">
        <v>47</v>
      </c>
      <c r="N14" s="135"/>
      <c r="O14" s="135"/>
      <c r="P14" s="134"/>
      <c r="Q14" s="135"/>
      <c r="R14" s="135"/>
      <c r="S14" s="134"/>
      <c r="T14" s="135"/>
      <c r="U14" s="135"/>
      <c r="V14" s="161" t="s">
        <v>189</v>
      </c>
      <c r="W14" s="162"/>
      <c r="X14" s="162"/>
      <c r="Y14" s="162"/>
      <c r="Z14" s="162"/>
      <c r="AA14" s="163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6"/>
      <c r="AR14" s="134"/>
      <c r="AS14" s="135"/>
      <c r="AT14" s="135"/>
      <c r="AU14" s="135"/>
      <c r="AV14" s="135"/>
      <c r="AW14" s="136"/>
      <c r="AX14" s="161"/>
      <c r="AY14" s="162"/>
      <c r="AZ14" s="162"/>
      <c r="BA14" s="162"/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2"/>
      <c r="BS14" s="162"/>
      <c r="BT14" s="168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58" t="s">
        <v>144</v>
      </c>
      <c r="F15" s="159"/>
      <c r="G15" s="159"/>
      <c r="H15" s="159"/>
      <c r="I15" s="159"/>
      <c r="J15" s="159"/>
      <c r="K15" s="159"/>
      <c r="L15" s="160"/>
      <c r="M15" s="134" t="s">
        <v>47</v>
      </c>
      <c r="N15" s="135"/>
      <c r="O15" s="135"/>
      <c r="P15" s="134"/>
      <c r="Q15" s="135"/>
      <c r="R15" s="135"/>
      <c r="S15" s="134"/>
      <c r="T15" s="135"/>
      <c r="U15" s="135"/>
      <c r="V15" s="161" t="s">
        <v>170</v>
      </c>
      <c r="W15" s="162"/>
      <c r="X15" s="162"/>
      <c r="Y15" s="162"/>
      <c r="Z15" s="162"/>
      <c r="AA15" s="163"/>
      <c r="AB15" s="164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6"/>
      <c r="AR15" s="134"/>
      <c r="AS15" s="135"/>
      <c r="AT15" s="135"/>
      <c r="AU15" s="135"/>
      <c r="AV15" s="135"/>
      <c r="AW15" s="136"/>
      <c r="AX15" s="161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168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58" t="s">
        <v>145</v>
      </c>
      <c r="F16" s="159"/>
      <c r="G16" s="159"/>
      <c r="H16" s="159"/>
      <c r="I16" s="159"/>
      <c r="J16" s="159"/>
      <c r="K16" s="159"/>
      <c r="L16" s="160"/>
      <c r="M16" s="134" t="s">
        <v>38</v>
      </c>
      <c r="N16" s="135"/>
      <c r="O16" s="135"/>
      <c r="P16" s="134"/>
      <c r="Q16" s="135"/>
      <c r="R16" s="135"/>
      <c r="S16" s="134"/>
      <c r="T16" s="135"/>
      <c r="U16" s="135"/>
      <c r="V16" s="161" t="s">
        <v>171</v>
      </c>
      <c r="W16" s="162"/>
      <c r="X16" s="162"/>
      <c r="Y16" s="162"/>
      <c r="Z16" s="162"/>
      <c r="AA16" s="163"/>
      <c r="AB16" s="164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6"/>
      <c r="AR16" s="134"/>
      <c r="AS16" s="135"/>
      <c r="AT16" s="135"/>
      <c r="AU16" s="135"/>
      <c r="AV16" s="135"/>
      <c r="AW16" s="136"/>
      <c r="AX16" s="161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8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58" t="s">
        <v>146</v>
      </c>
      <c r="F17" s="159"/>
      <c r="G17" s="159"/>
      <c r="H17" s="159"/>
      <c r="I17" s="159"/>
      <c r="J17" s="159"/>
      <c r="K17" s="159"/>
      <c r="L17" s="160"/>
      <c r="M17" s="134" t="s">
        <v>38</v>
      </c>
      <c r="N17" s="135"/>
      <c r="O17" s="135"/>
      <c r="P17" s="134"/>
      <c r="Q17" s="135"/>
      <c r="R17" s="135"/>
      <c r="S17" s="134"/>
      <c r="T17" s="135"/>
      <c r="U17" s="135"/>
      <c r="V17" s="161" t="s">
        <v>172</v>
      </c>
      <c r="W17" s="162"/>
      <c r="X17" s="162"/>
      <c r="Y17" s="162"/>
      <c r="Z17" s="162"/>
      <c r="AA17" s="163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6"/>
      <c r="AR17" s="134"/>
      <c r="AS17" s="135"/>
      <c r="AT17" s="135"/>
      <c r="AU17" s="135"/>
      <c r="AV17" s="135"/>
      <c r="AW17" s="136"/>
      <c r="AX17" s="161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58" t="s">
        <v>147</v>
      </c>
      <c r="F18" s="159"/>
      <c r="G18" s="159"/>
      <c r="H18" s="159"/>
      <c r="I18" s="159"/>
      <c r="J18" s="159"/>
      <c r="K18" s="159"/>
      <c r="L18" s="160"/>
      <c r="M18" s="134" t="s">
        <v>47</v>
      </c>
      <c r="N18" s="135"/>
      <c r="O18" s="135"/>
      <c r="P18" s="134"/>
      <c r="Q18" s="135"/>
      <c r="R18" s="135"/>
      <c r="S18" s="134"/>
      <c r="T18" s="135"/>
      <c r="U18" s="135"/>
      <c r="V18" s="161" t="s">
        <v>173</v>
      </c>
      <c r="W18" s="162"/>
      <c r="X18" s="162"/>
      <c r="Y18" s="162"/>
      <c r="Z18" s="162"/>
      <c r="AA18" s="163"/>
      <c r="AB18" s="164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6"/>
      <c r="AR18" s="169">
        <v>999999</v>
      </c>
      <c r="AS18" s="135"/>
      <c r="AT18" s="135"/>
      <c r="AU18" s="135"/>
      <c r="AV18" s="135"/>
      <c r="AW18" s="136"/>
      <c r="AX18" s="161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8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58" t="s">
        <v>148</v>
      </c>
      <c r="F19" s="159"/>
      <c r="G19" s="159"/>
      <c r="H19" s="159"/>
      <c r="I19" s="159"/>
      <c r="J19" s="159"/>
      <c r="K19" s="159"/>
      <c r="L19" s="160"/>
      <c r="M19" s="134" t="s">
        <v>47</v>
      </c>
      <c r="N19" s="135"/>
      <c r="O19" s="135"/>
      <c r="P19" s="134"/>
      <c r="Q19" s="135"/>
      <c r="R19" s="135"/>
      <c r="S19" s="134"/>
      <c r="T19" s="135"/>
      <c r="U19" s="135"/>
      <c r="V19" s="161" t="s">
        <v>174</v>
      </c>
      <c r="W19" s="162"/>
      <c r="X19" s="162"/>
      <c r="Y19" s="162"/>
      <c r="Z19" s="162"/>
      <c r="AA19" s="163"/>
      <c r="AB19" s="164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6"/>
      <c r="AR19" s="169">
        <v>999999</v>
      </c>
      <c r="AS19" s="135"/>
      <c r="AT19" s="135"/>
      <c r="AU19" s="135"/>
      <c r="AV19" s="135"/>
      <c r="AW19" s="136"/>
      <c r="AX19" s="161"/>
      <c r="AY19" s="162"/>
      <c r="AZ19" s="162"/>
      <c r="BA19" s="162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2"/>
      <c r="BM19" s="162"/>
      <c r="BN19" s="162"/>
      <c r="BO19" s="162"/>
      <c r="BP19" s="162"/>
      <c r="BQ19" s="162"/>
      <c r="BR19" s="162"/>
      <c r="BS19" s="162"/>
      <c r="BT19" s="168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58" t="s">
        <v>149</v>
      </c>
      <c r="F20" s="159"/>
      <c r="G20" s="159"/>
      <c r="H20" s="159"/>
      <c r="I20" s="159"/>
      <c r="J20" s="159"/>
      <c r="K20" s="159"/>
      <c r="L20" s="160"/>
      <c r="M20" s="134" t="s">
        <v>47</v>
      </c>
      <c r="N20" s="135"/>
      <c r="O20" s="135"/>
      <c r="P20" s="134"/>
      <c r="Q20" s="135"/>
      <c r="R20" s="135"/>
      <c r="S20" s="134"/>
      <c r="T20" s="135"/>
      <c r="U20" s="135"/>
      <c r="V20" s="161" t="s">
        <v>175</v>
      </c>
      <c r="W20" s="162"/>
      <c r="X20" s="162"/>
      <c r="Y20" s="162"/>
      <c r="Z20" s="162"/>
      <c r="AA20" s="163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6"/>
      <c r="AR20" s="169">
        <v>999999</v>
      </c>
      <c r="AS20" s="135"/>
      <c r="AT20" s="135"/>
      <c r="AU20" s="135"/>
      <c r="AV20" s="135"/>
      <c r="AW20" s="136"/>
      <c r="AX20" s="161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2"/>
      <c r="BK20" s="162"/>
      <c r="BL20" s="162"/>
      <c r="BM20" s="162"/>
      <c r="BN20" s="162"/>
      <c r="BO20" s="162"/>
      <c r="BP20" s="162"/>
      <c r="BQ20" s="162"/>
      <c r="BR20" s="162"/>
      <c r="BS20" s="162"/>
      <c r="BT20" s="168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58" t="s">
        <v>150</v>
      </c>
      <c r="F21" s="159"/>
      <c r="G21" s="159"/>
      <c r="H21" s="159"/>
      <c r="I21" s="159"/>
      <c r="J21" s="159"/>
      <c r="K21" s="159"/>
      <c r="L21" s="160"/>
      <c r="M21" s="134" t="s">
        <v>47</v>
      </c>
      <c r="N21" s="135"/>
      <c r="O21" s="135"/>
      <c r="P21" s="134"/>
      <c r="Q21" s="135"/>
      <c r="R21" s="135"/>
      <c r="S21" s="134"/>
      <c r="T21" s="135"/>
      <c r="U21" s="135"/>
      <c r="V21" s="161" t="s">
        <v>176</v>
      </c>
      <c r="W21" s="162"/>
      <c r="X21" s="162"/>
      <c r="Y21" s="162"/>
      <c r="Z21" s="162"/>
      <c r="AA21" s="163"/>
      <c r="AB21" s="164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6"/>
      <c r="AR21" s="169">
        <v>999999</v>
      </c>
      <c r="AS21" s="135"/>
      <c r="AT21" s="135"/>
      <c r="AU21" s="135"/>
      <c r="AV21" s="135"/>
      <c r="AW21" s="136"/>
      <c r="AX21" s="161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2"/>
      <c r="BM21" s="162"/>
      <c r="BN21" s="162"/>
      <c r="BO21" s="162"/>
      <c r="BP21" s="162"/>
      <c r="BQ21" s="162"/>
      <c r="BR21" s="162"/>
      <c r="BS21" s="162"/>
      <c r="BT21" s="168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58" t="s">
        <v>151</v>
      </c>
      <c r="F22" s="159"/>
      <c r="G22" s="159"/>
      <c r="H22" s="159"/>
      <c r="I22" s="159"/>
      <c r="J22" s="159"/>
      <c r="K22" s="159"/>
      <c r="L22" s="160"/>
      <c r="M22" s="134" t="s">
        <v>47</v>
      </c>
      <c r="N22" s="135"/>
      <c r="O22" s="135"/>
      <c r="P22" s="134"/>
      <c r="Q22" s="135"/>
      <c r="R22" s="135"/>
      <c r="S22" s="134"/>
      <c r="T22" s="135"/>
      <c r="U22" s="135"/>
      <c r="V22" s="161" t="s">
        <v>177</v>
      </c>
      <c r="W22" s="162"/>
      <c r="X22" s="162"/>
      <c r="Y22" s="162"/>
      <c r="Z22" s="162"/>
      <c r="AA22" s="163"/>
      <c r="AB22" s="164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6"/>
      <c r="AR22" s="169">
        <v>999999</v>
      </c>
      <c r="AS22" s="135"/>
      <c r="AT22" s="135"/>
      <c r="AU22" s="135"/>
      <c r="AV22" s="135"/>
      <c r="AW22" s="136"/>
      <c r="AX22" s="161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8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58" t="s">
        <v>152</v>
      </c>
      <c r="F23" s="159"/>
      <c r="G23" s="159"/>
      <c r="H23" s="159"/>
      <c r="I23" s="159"/>
      <c r="J23" s="159"/>
      <c r="K23" s="159"/>
      <c r="L23" s="160"/>
      <c r="M23" s="134" t="s">
        <v>47</v>
      </c>
      <c r="N23" s="135"/>
      <c r="O23" s="135"/>
      <c r="P23" s="134"/>
      <c r="Q23" s="135"/>
      <c r="R23" s="135"/>
      <c r="S23" s="134"/>
      <c r="T23" s="135"/>
      <c r="U23" s="135"/>
      <c r="V23" s="161" t="s">
        <v>178</v>
      </c>
      <c r="W23" s="162"/>
      <c r="X23" s="162"/>
      <c r="Y23" s="162"/>
      <c r="Z23" s="162"/>
      <c r="AA23" s="163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6"/>
      <c r="AR23" s="169">
        <v>999999</v>
      </c>
      <c r="AS23" s="135"/>
      <c r="AT23" s="135"/>
      <c r="AU23" s="135"/>
      <c r="AV23" s="135"/>
      <c r="AW23" s="136"/>
      <c r="AX23" s="161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8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58" t="s">
        <v>153</v>
      </c>
      <c r="F24" s="159"/>
      <c r="G24" s="159"/>
      <c r="H24" s="159"/>
      <c r="I24" s="159"/>
      <c r="J24" s="159"/>
      <c r="K24" s="159"/>
      <c r="L24" s="160"/>
      <c r="M24" s="134" t="s">
        <v>47</v>
      </c>
      <c r="N24" s="135"/>
      <c r="O24" s="135"/>
      <c r="P24" s="134"/>
      <c r="Q24" s="135"/>
      <c r="R24" s="135"/>
      <c r="S24" s="134"/>
      <c r="T24" s="135"/>
      <c r="U24" s="135"/>
      <c r="V24" s="161" t="s">
        <v>179</v>
      </c>
      <c r="W24" s="162"/>
      <c r="X24" s="162"/>
      <c r="Y24" s="162"/>
      <c r="Z24" s="162"/>
      <c r="AA24" s="163"/>
      <c r="AB24" s="164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6"/>
      <c r="AR24" s="169">
        <v>999999</v>
      </c>
      <c r="AS24" s="135"/>
      <c r="AT24" s="135"/>
      <c r="AU24" s="135"/>
      <c r="AV24" s="135"/>
      <c r="AW24" s="136"/>
      <c r="AX24" s="161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8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58" t="s">
        <v>154</v>
      </c>
      <c r="F25" s="159"/>
      <c r="G25" s="159"/>
      <c r="H25" s="159"/>
      <c r="I25" s="159"/>
      <c r="J25" s="159"/>
      <c r="K25" s="159"/>
      <c r="L25" s="160"/>
      <c r="M25" s="134" t="s">
        <v>47</v>
      </c>
      <c r="N25" s="135"/>
      <c r="O25" s="135"/>
      <c r="P25" s="134"/>
      <c r="Q25" s="135"/>
      <c r="R25" s="135"/>
      <c r="S25" s="134"/>
      <c r="T25" s="135"/>
      <c r="U25" s="135"/>
      <c r="V25" s="161" t="s">
        <v>180</v>
      </c>
      <c r="W25" s="162"/>
      <c r="X25" s="162"/>
      <c r="Y25" s="162"/>
      <c r="Z25" s="162"/>
      <c r="AA25" s="163"/>
      <c r="AB25" s="164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6"/>
      <c r="AR25" s="169">
        <v>999999</v>
      </c>
      <c r="AS25" s="135"/>
      <c r="AT25" s="135"/>
      <c r="AU25" s="135"/>
      <c r="AV25" s="135"/>
      <c r="AW25" s="136"/>
      <c r="AX25" s="161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8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58" t="s">
        <v>155</v>
      </c>
      <c r="F26" s="159"/>
      <c r="G26" s="159"/>
      <c r="H26" s="159"/>
      <c r="I26" s="159"/>
      <c r="J26" s="159"/>
      <c r="K26" s="159"/>
      <c r="L26" s="160"/>
      <c r="M26" s="134" t="s">
        <v>47</v>
      </c>
      <c r="N26" s="135"/>
      <c r="O26" s="135"/>
      <c r="P26" s="134"/>
      <c r="Q26" s="135"/>
      <c r="R26" s="135"/>
      <c r="S26" s="134"/>
      <c r="T26" s="135"/>
      <c r="U26" s="135"/>
      <c r="V26" s="161" t="s">
        <v>181</v>
      </c>
      <c r="W26" s="162"/>
      <c r="X26" s="162"/>
      <c r="Y26" s="162"/>
      <c r="Z26" s="162"/>
      <c r="AA26" s="163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6"/>
      <c r="AR26" s="169">
        <v>999999</v>
      </c>
      <c r="AS26" s="135"/>
      <c r="AT26" s="135"/>
      <c r="AU26" s="135"/>
      <c r="AV26" s="135"/>
      <c r="AW26" s="136"/>
      <c r="AX26" s="161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8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58" t="s">
        <v>156</v>
      </c>
      <c r="F27" s="159"/>
      <c r="G27" s="159"/>
      <c r="H27" s="159"/>
      <c r="I27" s="159"/>
      <c r="J27" s="159"/>
      <c r="K27" s="159"/>
      <c r="L27" s="160"/>
      <c r="M27" s="134" t="s">
        <v>47</v>
      </c>
      <c r="N27" s="135"/>
      <c r="O27" s="135"/>
      <c r="P27" s="134"/>
      <c r="Q27" s="135"/>
      <c r="R27" s="135"/>
      <c r="S27" s="134"/>
      <c r="T27" s="135"/>
      <c r="U27" s="135"/>
      <c r="V27" s="161" t="s">
        <v>182</v>
      </c>
      <c r="W27" s="162"/>
      <c r="X27" s="162"/>
      <c r="Y27" s="162"/>
      <c r="Z27" s="162"/>
      <c r="AA27" s="163"/>
      <c r="AB27" s="164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6"/>
      <c r="AR27" s="169">
        <v>999999</v>
      </c>
      <c r="AS27" s="135"/>
      <c r="AT27" s="135"/>
      <c r="AU27" s="135"/>
      <c r="AV27" s="135"/>
      <c r="AW27" s="136"/>
      <c r="AX27" s="161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8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58" t="s">
        <v>157</v>
      </c>
      <c r="F28" s="159"/>
      <c r="G28" s="159"/>
      <c r="H28" s="159"/>
      <c r="I28" s="159"/>
      <c r="J28" s="159"/>
      <c r="K28" s="159"/>
      <c r="L28" s="160"/>
      <c r="M28" s="134" t="s">
        <v>47</v>
      </c>
      <c r="N28" s="135"/>
      <c r="O28" s="135"/>
      <c r="P28" s="134"/>
      <c r="Q28" s="135"/>
      <c r="R28" s="135"/>
      <c r="S28" s="134"/>
      <c r="T28" s="135"/>
      <c r="U28" s="135"/>
      <c r="V28" s="161" t="s">
        <v>183</v>
      </c>
      <c r="W28" s="162"/>
      <c r="X28" s="162"/>
      <c r="Y28" s="162"/>
      <c r="Z28" s="162"/>
      <c r="AA28" s="163"/>
      <c r="AB28" s="164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6"/>
      <c r="AR28" s="169">
        <v>-999999</v>
      </c>
      <c r="AS28" s="135"/>
      <c r="AT28" s="135"/>
      <c r="AU28" s="135"/>
      <c r="AV28" s="135"/>
      <c r="AW28" s="136"/>
      <c r="AX28" s="161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8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58" t="s">
        <v>158</v>
      </c>
      <c r="F29" s="159"/>
      <c r="G29" s="159"/>
      <c r="H29" s="159"/>
      <c r="I29" s="159"/>
      <c r="J29" s="159"/>
      <c r="K29" s="159"/>
      <c r="L29" s="160"/>
      <c r="M29" s="134" t="s">
        <v>47</v>
      </c>
      <c r="N29" s="135"/>
      <c r="O29" s="135"/>
      <c r="P29" s="134"/>
      <c r="Q29" s="135"/>
      <c r="R29" s="135"/>
      <c r="S29" s="134"/>
      <c r="T29" s="135"/>
      <c r="U29" s="135"/>
      <c r="V29" s="161" t="s">
        <v>184</v>
      </c>
      <c r="W29" s="162"/>
      <c r="X29" s="162"/>
      <c r="Y29" s="162"/>
      <c r="Z29" s="162"/>
      <c r="AA29" s="163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6"/>
      <c r="AR29" s="169">
        <v>999999</v>
      </c>
      <c r="AS29" s="135"/>
      <c r="AT29" s="135"/>
      <c r="AU29" s="135"/>
      <c r="AV29" s="135"/>
      <c r="AW29" s="136"/>
      <c r="AX29" s="161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2"/>
      <c r="BM29" s="162"/>
      <c r="BN29" s="162"/>
      <c r="BO29" s="162"/>
      <c r="BP29" s="162"/>
      <c r="BQ29" s="162"/>
      <c r="BR29" s="162"/>
      <c r="BS29" s="162"/>
      <c r="BT29" s="168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170" t="s">
        <v>186</v>
      </c>
      <c r="F30" s="171"/>
      <c r="G30" s="171"/>
      <c r="H30" s="171"/>
      <c r="I30" s="171"/>
      <c r="J30" s="171"/>
      <c r="K30" s="171"/>
      <c r="L30" s="172"/>
      <c r="M30" s="134" t="s">
        <v>47</v>
      </c>
      <c r="N30" s="135"/>
      <c r="O30" s="135"/>
      <c r="P30" s="178"/>
      <c r="Q30" s="179"/>
      <c r="R30" s="179"/>
      <c r="S30" s="178"/>
      <c r="T30" s="179"/>
      <c r="U30" s="179"/>
      <c r="V30" s="161" t="s">
        <v>185</v>
      </c>
      <c r="W30" s="162"/>
      <c r="X30" s="162"/>
      <c r="Y30" s="162"/>
      <c r="Z30" s="162"/>
      <c r="AA30" s="163"/>
      <c r="AB30" s="182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4"/>
      <c r="AR30" s="169">
        <v>999999</v>
      </c>
      <c r="AS30" s="135"/>
      <c r="AT30" s="135"/>
      <c r="AU30" s="135"/>
      <c r="AV30" s="135"/>
      <c r="AW30" s="136"/>
      <c r="AX30" s="185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7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158" t="s">
        <v>159</v>
      </c>
      <c r="F31" s="159"/>
      <c r="G31" s="159"/>
      <c r="H31" s="159"/>
      <c r="I31" s="159"/>
      <c r="J31" s="159"/>
      <c r="K31" s="159"/>
      <c r="L31" s="160"/>
      <c r="M31" s="134" t="s">
        <v>47</v>
      </c>
      <c r="N31" s="135"/>
      <c r="O31" s="135"/>
      <c r="P31" s="134"/>
      <c r="Q31" s="135"/>
      <c r="R31" s="135"/>
      <c r="S31" s="134"/>
      <c r="T31" s="135"/>
      <c r="U31" s="135"/>
      <c r="V31" s="161" t="s">
        <v>173</v>
      </c>
      <c r="W31" s="162"/>
      <c r="X31" s="162"/>
      <c r="Y31" s="162"/>
      <c r="Z31" s="162"/>
      <c r="AA31" s="163"/>
      <c r="AB31" s="164" t="s">
        <v>191</v>
      </c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6"/>
      <c r="AR31" s="169">
        <v>999999</v>
      </c>
      <c r="AS31" s="135"/>
      <c r="AT31" s="135"/>
      <c r="AU31" s="135"/>
      <c r="AV31" s="135"/>
      <c r="AW31" s="136"/>
      <c r="AX31" s="161"/>
      <c r="AY31" s="162"/>
      <c r="AZ31" s="162"/>
      <c r="BA31" s="162"/>
      <c r="BB31" s="162"/>
      <c r="BC31" s="162"/>
      <c r="BD31" s="162"/>
      <c r="BE31" s="162"/>
      <c r="BF31" s="162"/>
      <c r="BG31" s="162"/>
      <c r="BH31" s="162"/>
      <c r="BI31" s="162"/>
      <c r="BJ31" s="162"/>
      <c r="BK31" s="162"/>
      <c r="BL31" s="162"/>
      <c r="BM31" s="162"/>
      <c r="BN31" s="162"/>
      <c r="BO31" s="162"/>
      <c r="BP31" s="162"/>
      <c r="BQ31" s="162"/>
      <c r="BR31" s="162"/>
      <c r="BS31" s="162"/>
      <c r="BT31" s="168"/>
      <c r="BU31" s="29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31"/>
      <c r="CG31" s="31"/>
    </row>
    <row r="32" spans="1:85" s="5" customFormat="1" ht="20.100000000000001" customHeight="1" x14ac:dyDescent="0.45">
      <c r="A32" s="29"/>
      <c r="B32" s="35"/>
      <c r="C32" s="29"/>
      <c r="D32" s="37">
        <v>22</v>
      </c>
      <c r="E32" s="158" t="s">
        <v>160</v>
      </c>
      <c r="F32" s="159"/>
      <c r="G32" s="159"/>
      <c r="H32" s="159"/>
      <c r="I32" s="159"/>
      <c r="J32" s="159"/>
      <c r="K32" s="159"/>
      <c r="L32" s="160"/>
      <c r="M32" s="134" t="s">
        <v>47</v>
      </c>
      <c r="N32" s="135"/>
      <c r="O32" s="135"/>
      <c r="P32" s="134"/>
      <c r="Q32" s="135"/>
      <c r="R32" s="135"/>
      <c r="S32" s="134"/>
      <c r="T32" s="135"/>
      <c r="U32" s="135"/>
      <c r="V32" s="161" t="s">
        <v>174</v>
      </c>
      <c r="W32" s="162"/>
      <c r="X32" s="162"/>
      <c r="Y32" s="162"/>
      <c r="Z32" s="162"/>
      <c r="AA32" s="163"/>
      <c r="AB32" s="164" t="s">
        <v>192</v>
      </c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6"/>
      <c r="AR32" s="169">
        <v>999999</v>
      </c>
      <c r="AS32" s="135"/>
      <c r="AT32" s="135"/>
      <c r="AU32" s="135"/>
      <c r="AV32" s="135"/>
      <c r="AW32" s="136"/>
      <c r="AX32" s="161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162"/>
      <c r="BK32" s="162"/>
      <c r="BL32" s="162"/>
      <c r="BM32" s="162"/>
      <c r="BN32" s="162"/>
      <c r="BO32" s="162"/>
      <c r="BP32" s="162"/>
      <c r="BQ32" s="162"/>
      <c r="BR32" s="162"/>
      <c r="BS32" s="162"/>
      <c r="BT32" s="168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s="5" customFormat="1" ht="20.100000000000001" customHeight="1" x14ac:dyDescent="0.45">
      <c r="A33" s="29"/>
      <c r="B33" s="35"/>
      <c r="C33" s="29"/>
      <c r="D33" s="37">
        <v>23</v>
      </c>
      <c r="E33" s="158" t="s">
        <v>161</v>
      </c>
      <c r="F33" s="159"/>
      <c r="G33" s="159"/>
      <c r="H33" s="159"/>
      <c r="I33" s="159"/>
      <c r="J33" s="159"/>
      <c r="K33" s="159"/>
      <c r="L33" s="160"/>
      <c r="M33" s="134" t="s">
        <v>47</v>
      </c>
      <c r="N33" s="135"/>
      <c r="O33" s="135"/>
      <c r="P33" s="134"/>
      <c r="Q33" s="135"/>
      <c r="R33" s="135"/>
      <c r="S33" s="134"/>
      <c r="T33" s="135"/>
      <c r="U33" s="135"/>
      <c r="V33" s="161" t="s">
        <v>175</v>
      </c>
      <c r="W33" s="162"/>
      <c r="X33" s="162"/>
      <c r="Y33" s="162"/>
      <c r="Z33" s="162"/>
      <c r="AA33" s="163"/>
      <c r="AB33" s="164" t="s">
        <v>193</v>
      </c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6"/>
      <c r="AR33" s="169">
        <v>999999</v>
      </c>
      <c r="AS33" s="135"/>
      <c r="AT33" s="135"/>
      <c r="AU33" s="135"/>
      <c r="AV33" s="135"/>
      <c r="AW33" s="136"/>
      <c r="AX33" s="161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2"/>
      <c r="BT33" s="168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s="5" customFormat="1" ht="20.100000000000001" customHeight="1" x14ac:dyDescent="0.45">
      <c r="A34" s="29"/>
      <c r="B34" s="35"/>
      <c r="C34" s="29"/>
      <c r="D34" s="37">
        <v>24</v>
      </c>
      <c r="E34" s="158" t="s">
        <v>162</v>
      </c>
      <c r="F34" s="159"/>
      <c r="G34" s="159"/>
      <c r="H34" s="159"/>
      <c r="I34" s="159"/>
      <c r="J34" s="159"/>
      <c r="K34" s="159"/>
      <c r="L34" s="160"/>
      <c r="M34" s="134" t="s">
        <v>47</v>
      </c>
      <c r="N34" s="135"/>
      <c r="O34" s="135"/>
      <c r="P34" s="134"/>
      <c r="Q34" s="135"/>
      <c r="R34" s="135"/>
      <c r="S34" s="134"/>
      <c r="T34" s="135"/>
      <c r="U34" s="135"/>
      <c r="V34" s="161" t="s">
        <v>176</v>
      </c>
      <c r="W34" s="162"/>
      <c r="X34" s="162"/>
      <c r="Y34" s="162"/>
      <c r="Z34" s="162"/>
      <c r="AA34" s="163"/>
      <c r="AB34" s="164" t="s">
        <v>194</v>
      </c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6"/>
      <c r="AR34" s="169">
        <v>999999</v>
      </c>
      <c r="AS34" s="135"/>
      <c r="AT34" s="135"/>
      <c r="AU34" s="135"/>
      <c r="AV34" s="135"/>
      <c r="AW34" s="136"/>
      <c r="AX34" s="161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8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s="5" customFormat="1" ht="20.100000000000001" customHeight="1" x14ac:dyDescent="0.45">
      <c r="A35" s="29"/>
      <c r="B35" s="35"/>
      <c r="C35" s="29"/>
      <c r="D35" s="37">
        <v>25</v>
      </c>
      <c r="E35" s="158" t="s">
        <v>163</v>
      </c>
      <c r="F35" s="159"/>
      <c r="G35" s="159"/>
      <c r="H35" s="159"/>
      <c r="I35" s="159"/>
      <c r="J35" s="159"/>
      <c r="K35" s="159"/>
      <c r="L35" s="160"/>
      <c r="M35" s="134" t="s">
        <v>47</v>
      </c>
      <c r="N35" s="135"/>
      <c r="O35" s="135"/>
      <c r="P35" s="134"/>
      <c r="Q35" s="135"/>
      <c r="R35" s="135"/>
      <c r="S35" s="134"/>
      <c r="T35" s="135"/>
      <c r="U35" s="135"/>
      <c r="V35" s="161" t="s">
        <v>177</v>
      </c>
      <c r="W35" s="162"/>
      <c r="X35" s="162"/>
      <c r="Y35" s="162"/>
      <c r="Z35" s="162"/>
      <c r="AA35" s="163"/>
      <c r="AB35" s="164" t="s">
        <v>195</v>
      </c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6"/>
      <c r="AR35" s="169">
        <v>999999</v>
      </c>
      <c r="AS35" s="135"/>
      <c r="AT35" s="135"/>
      <c r="AU35" s="135"/>
      <c r="AV35" s="135"/>
      <c r="AW35" s="136"/>
      <c r="AX35" s="161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  <c r="BN35" s="162"/>
      <c r="BO35" s="162"/>
      <c r="BP35" s="162"/>
      <c r="BQ35" s="162"/>
      <c r="BR35" s="162"/>
      <c r="BS35" s="162"/>
      <c r="BT35" s="168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158" t="s">
        <v>164</v>
      </c>
      <c r="F36" s="159"/>
      <c r="G36" s="159"/>
      <c r="H36" s="159"/>
      <c r="I36" s="159"/>
      <c r="J36" s="159"/>
      <c r="K36" s="159"/>
      <c r="L36" s="160"/>
      <c r="M36" s="134" t="s">
        <v>47</v>
      </c>
      <c r="N36" s="135"/>
      <c r="O36" s="135"/>
      <c r="P36" s="134"/>
      <c r="Q36" s="135"/>
      <c r="R36" s="135"/>
      <c r="S36" s="134"/>
      <c r="T36" s="135"/>
      <c r="U36" s="135"/>
      <c r="V36" s="161" t="s">
        <v>178</v>
      </c>
      <c r="W36" s="162"/>
      <c r="X36" s="162"/>
      <c r="Y36" s="162"/>
      <c r="Z36" s="162"/>
      <c r="AA36" s="163"/>
      <c r="AB36" s="164" t="s">
        <v>196</v>
      </c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6"/>
      <c r="AR36" s="169">
        <v>999999</v>
      </c>
      <c r="AS36" s="135"/>
      <c r="AT36" s="135"/>
      <c r="AU36" s="135"/>
      <c r="AV36" s="135"/>
      <c r="AW36" s="136"/>
      <c r="AX36" s="161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8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s="5" customFormat="1" ht="20.100000000000001" customHeight="1" x14ac:dyDescent="0.45">
      <c r="A37" s="29"/>
      <c r="B37" s="35"/>
      <c r="C37" s="29"/>
      <c r="D37" s="37">
        <v>27</v>
      </c>
      <c r="E37" s="158" t="s">
        <v>165</v>
      </c>
      <c r="F37" s="159"/>
      <c r="G37" s="159"/>
      <c r="H37" s="159"/>
      <c r="I37" s="159"/>
      <c r="J37" s="159"/>
      <c r="K37" s="159"/>
      <c r="L37" s="160"/>
      <c r="M37" s="134" t="s">
        <v>47</v>
      </c>
      <c r="N37" s="135"/>
      <c r="O37" s="135"/>
      <c r="P37" s="134"/>
      <c r="Q37" s="135"/>
      <c r="R37" s="135"/>
      <c r="S37" s="134"/>
      <c r="T37" s="135"/>
      <c r="U37" s="135"/>
      <c r="V37" s="161" t="s">
        <v>179</v>
      </c>
      <c r="W37" s="162"/>
      <c r="X37" s="162"/>
      <c r="Y37" s="162"/>
      <c r="Z37" s="162"/>
      <c r="AA37" s="163"/>
      <c r="AB37" s="164" t="s">
        <v>197</v>
      </c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6"/>
      <c r="AR37" s="169">
        <v>999999</v>
      </c>
      <c r="AS37" s="135"/>
      <c r="AT37" s="135"/>
      <c r="AU37" s="135"/>
      <c r="AV37" s="135"/>
      <c r="AW37" s="136"/>
      <c r="AX37" s="161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2"/>
      <c r="BJ37" s="162"/>
      <c r="BK37" s="162"/>
      <c r="BL37" s="162"/>
      <c r="BM37" s="162"/>
      <c r="BN37" s="162"/>
      <c r="BO37" s="162"/>
      <c r="BP37" s="162"/>
      <c r="BQ37" s="162"/>
      <c r="BR37" s="162"/>
      <c r="BS37" s="162"/>
      <c r="BT37" s="168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s="5" customFormat="1" ht="20.100000000000001" customHeight="1" x14ac:dyDescent="0.45">
      <c r="A38" s="29"/>
      <c r="B38" s="35"/>
      <c r="C38" s="29"/>
      <c r="D38" s="37">
        <v>28</v>
      </c>
      <c r="E38" s="158" t="s">
        <v>166</v>
      </c>
      <c r="F38" s="159"/>
      <c r="G38" s="159"/>
      <c r="H38" s="159"/>
      <c r="I38" s="159"/>
      <c r="J38" s="159"/>
      <c r="K38" s="159"/>
      <c r="L38" s="160"/>
      <c r="M38" s="134" t="s">
        <v>47</v>
      </c>
      <c r="N38" s="135"/>
      <c r="O38" s="135"/>
      <c r="P38" s="134"/>
      <c r="Q38" s="135"/>
      <c r="R38" s="135"/>
      <c r="S38" s="134"/>
      <c r="T38" s="135"/>
      <c r="U38" s="135"/>
      <c r="V38" s="161" t="s">
        <v>180</v>
      </c>
      <c r="W38" s="162"/>
      <c r="X38" s="162"/>
      <c r="Y38" s="162"/>
      <c r="Z38" s="162"/>
      <c r="AA38" s="163"/>
      <c r="AB38" s="164" t="s">
        <v>198</v>
      </c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6"/>
      <c r="AR38" s="169">
        <v>999999</v>
      </c>
      <c r="AS38" s="135"/>
      <c r="AT38" s="135"/>
      <c r="AU38" s="135"/>
      <c r="AV38" s="135"/>
      <c r="AW38" s="136"/>
      <c r="AX38" s="161"/>
      <c r="AY38" s="162"/>
      <c r="AZ38" s="162"/>
      <c r="BA38" s="162"/>
      <c r="BB38" s="162"/>
      <c r="BC38" s="162"/>
      <c r="BD38" s="162"/>
      <c r="BE38" s="162"/>
      <c r="BF38" s="162"/>
      <c r="BG38" s="162"/>
      <c r="BH38" s="162"/>
      <c r="BI38" s="162"/>
      <c r="BJ38" s="162"/>
      <c r="BK38" s="162"/>
      <c r="BL38" s="162"/>
      <c r="BM38" s="162"/>
      <c r="BN38" s="162"/>
      <c r="BO38" s="162"/>
      <c r="BP38" s="162"/>
      <c r="BQ38" s="162"/>
      <c r="BR38" s="162"/>
      <c r="BS38" s="162"/>
      <c r="BT38" s="168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s="5" customFormat="1" ht="20.100000000000001" customHeight="1" x14ac:dyDescent="0.45">
      <c r="A39" s="29"/>
      <c r="B39" s="35"/>
      <c r="C39" s="29"/>
      <c r="D39" s="37">
        <v>29</v>
      </c>
      <c r="E39" s="158" t="s">
        <v>167</v>
      </c>
      <c r="F39" s="159"/>
      <c r="G39" s="159"/>
      <c r="H39" s="159"/>
      <c r="I39" s="159"/>
      <c r="J39" s="159"/>
      <c r="K39" s="159"/>
      <c r="L39" s="160"/>
      <c r="M39" s="134" t="s">
        <v>47</v>
      </c>
      <c r="N39" s="135"/>
      <c r="O39" s="135"/>
      <c r="P39" s="134"/>
      <c r="Q39" s="135"/>
      <c r="R39" s="135"/>
      <c r="S39" s="134"/>
      <c r="T39" s="135"/>
      <c r="U39" s="135"/>
      <c r="V39" s="161" t="s">
        <v>181</v>
      </c>
      <c r="W39" s="162"/>
      <c r="X39" s="162"/>
      <c r="Y39" s="162"/>
      <c r="Z39" s="162"/>
      <c r="AA39" s="163"/>
      <c r="AB39" s="164" t="s">
        <v>199</v>
      </c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6"/>
      <c r="AR39" s="169">
        <v>999999</v>
      </c>
      <c r="AS39" s="135"/>
      <c r="AT39" s="135"/>
      <c r="AU39" s="135"/>
      <c r="AV39" s="135"/>
      <c r="AW39" s="136"/>
      <c r="AX39" s="161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2"/>
      <c r="BJ39" s="162"/>
      <c r="BK39" s="162"/>
      <c r="BL39" s="162"/>
      <c r="BM39" s="162"/>
      <c r="BN39" s="162"/>
      <c r="BO39" s="162"/>
      <c r="BP39" s="162"/>
      <c r="BQ39" s="162"/>
      <c r="BR39" s="162"/>
      <c r="BS39" s="162"/>
      <c r="BT39" s="168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20.100000000000001" customHeight="1" x14ac:dyDescent="0.45">
      <c r="A40" s="29"/>
      <c r="B40" s="44"/>
      <c r="C40" s="29"/>
      <c r="D40" s="37">
        <v>30</v>
      </c>
      <c r="E40" s="158" t="s">
        <v>168</v>
      </c>
      <c r="F40" s="159"/>
      <c r="G40" s="159"/>
      <c r="H40" s="159"/>
      <c r="I40" s="159"/>
      <c r="J40" s="159"/>
      <c r="K40" s="159"/>
      <c r="L40" s="160"/>
      <c r="M40" s="134" t="s">
        <v>47</v>
      </c>
      <c r="N40" s="135"/>
      <c r="O40" s="135"/>
      <c r="P40" s="134"/>
      <c r="Q40" s="135"/>
      <c r="R40" s="135"/>
      <c r="S40" s="134"/>
      <c r="T40" s="135"/>
      <c r="U40" s="135"/>
      <c r="V40" s="161" t="s">
        <v>182</v>
      </c>
      <c r="W40" s="162"/>
      <c r="X40" s="162"/>
      <c r="Y40" s="162"/>
      <c r="Z40" s="162"/>
      <c r="AA40" s="163"/>
      <c r="AB40" s="164" t="s">
        <v>200</v>
      </c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6"/>
      <c r="AR40" s="169">
        <v>999999</v>
      </c>
      <c r="AS40" s="135"/>
      <c r="AT40" s="135"/>
      <c r="AU40" s="135"/>
      <c r="AV40" s="135"/>
      <c r="AW40" s="136"/>
      <c r="AX40" s="161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162"/>
      <c r="BJ40" s="162"/>
      <c r="BK40" s="162"/>
      <c r="BL40" s="162"/>
      <c r="BM40" s="162"/>
      <c r="BN40" s="162"/>
      <c r="BO40" s="162"/>
      <c r="BP40" s="162"/>
      <c r="BQ40" s="162"/>
      <c r="BR40" s="162"/>
      <c r="BS40" s="162"/>
      <c r="BT40" s="168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19.5" customHeight="1" thickBot="1" x14ac:dyDescent="0.5">
      <c r="A41" s="29"/>
      <c r="B41" s="44"/>
      <c r="C41" s="29"/>
      <c r="D41" s="37">
        <v>31</v>
      </c>
      <c r="E41" s="158" t="s">
        <v>169</v>
      </c>
      <c r="F41" s="159"/>
      <c r="G41" s="159"/>
      <c r="H41" s="159"/>
      <c r="I41" s="159"/>
      <c r="J41" s="159"/>
      <c r="K41" s="159"/>
      <c r="L41" s="160"/>
      <c r="M41" s="134" t="s">
        <v>47</v>
      </c>
      <c r="N41" s="135"/>
      <c r="O41" s="135"/>
      <c r="P41" s="134"/>
      <c r="Q41" s="135"/>
      <c r="R41" s="135"/>
      <c r="S41" s="134"/>
      <c r="T41" s="135"/>
      <c r="U41" s="135"/>
      <c r="V41" s="161" t="s">
        <v>183</v>
      </c>
      <c r="W41" s="162"/>
      <c r="X41" s="162"/>
      <c r="Y41" s="162"/>
      <c r="Z41" s="162"/>
      <c r="AA41" s="163"/>
      <c r="AB41" s="164" t="s">
        <v>201</v>
      </c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6"/>
      <c r="AR41" s="167">
        <v>-999999</v>
      </c>
      <c r="AS41" s="135"/>
      <c r="AT41" s="135"/>
      <c r="AU41" s="135"/>
      <c r="AV41" s="135"/>
      <c r="AW41" s="136"/>
      <c r="AX41" s="161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  <c r="BK41" s="162"/>
      <c r="BL41" s="162"/>
      <c r="BM41" s="162"/>
      <c r="BN41" s="162"/>
      <c r="BO41" s="162"/>
      <c r="BP41" s="162"/>
      <c r="BQ41" s="162"/>
      <c r="BR41" s="162"/>
      <c r="BS41" s="162"/>
      <c r="BT41" s="168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20.100000000000001" customHeight="1" thickTop="1" thickBot="1" x14ac:dyDescent="0.5">
      <c r="A42" s="29"/>
      <c r="B42" s="40"/>
      <c r="C4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46"/>
      <c r="BR42" s="46"/>
      <c r="BS42" s="46"/>
      <c r="BT42" s="46"/>
      <c r="BU42" s="28"/>
    </row>
    <row r="43" spans="1:85" ht="20.100000000000001" customHeight="1" thickTop="1" x14ac:dyDescent="0.45">
      <c r="A43" s="29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33"/>
      <c r="BD43" s="33"/>
      <c r="BE43" s="33"/>
      <c r="BF43" s="33"/>
      <c r="BG43" s="33"/>
      <c r="BH43" s="33"/>
      <c r="BI43" s="42"/>
      <c r="BJ43" s="42"/>
      <c r="BK43" s="42"/>
      <c r="BL43" s="42"/>
      <c r="BM43" s="42"/>
      <c r="BN43" s="42"/>
      <c r="BO43" s="42"/>
      <c r="BP43" s="4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3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68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31"/>
      <c r="BP57" s="31"/>
    </row>
    <row r="58" spans="1:68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A60" s="29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1"/>
      <c r="BP60" s="31"/>
    </row>
    <row r="61" spans="1:68" ht="20.100000000000001" customHeight="1" x14ac:dyDescent="0.45">
      <c r="A61" s="29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31"/>
      <c r="BP61" s="31"/>
    </row>
    <row r="62" spans="1:68" ht="20.100000000000001" customHeight="1" x14ac:dyDescent="0.4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</row>
    <row r="63" spans="1:68" ht="20.100000000000001" customHeight="1" x14ac:dyDescent="0.4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  <row r="64" spans="1:68" ht="20.100000000000001" customHeight="1" x14ac:dyDescent="0.4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</row>
  </sheetData>
  <mergeCells count="276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41:L41"/>
    <mergeCell ref="M41:O41"/>
    <mergeCell ref="P41:R41"/>
    <mergeCell ref="S41:U41"/>
    <mergeCell ref="V41:AA41"/>
    <mergeCell ref="AB41:AQ41"/>
    <mergeCell ref="AR41:AW41"/>
    <mergeCell ref="AX41:BT41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9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1" t="s">
        <v>0</v>
      </c>
      <c r="C2" s="192"/>
      <c r="D2" s="192"/>
      <c r="E2" s="192"/>
      <c r="F2" s="192"/>
      <c r="G2" s="192"/>
      <c r="H2" s="192" t="s">
        <v>17</v>
      </c>
      <c r="I2" s="192"/>
      <c r="J2" s="192"/>
      <c r="K2" s="192"/>
      <c r="L2" s="192" t="s">
        <v>220</v>
      </c>
      <c r="M2" s="192"/>
      <c r="N2" s="192"/>
      <c r="O2" s="192"/>
      <c r="P2" s="192"/>
      <c r="Q2" s="192"/>
      <c r="R2" s="192" t="s">
        <v>2</v>
      </c>
      <c r="S2" s="192"/>
      <c r="T2" s="192"/>
      <c r="U2" s="192"/>
      <c r="V2" s="192"/>
      <c r="W2" s="192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92" t="s">
        <v>5</v>
      </c>
      <c r="AY2" s="192"/>
      <c r="AZ2" s="192"/>
      <c r="BA2" s="192"/>
      <c r="BB2" s="192" t="s">
        <v>4</v>
      </c>
      <c r="BC2" s="192"/>
      <c r="BD2" s="192"/>
      <c r="BE2" s="192"/>
      <c r="BF2" s="192" t="s">
        <v>6</v>
      </c>
      <c r="BG2" s="192"/>
      <c r="BH2" s="192"/>
      <c r="BI2" s="192"/>
      <c r="BJ2" s="192" t="s">
        <v>7</v>
      </c>
      <c r="BK2" s="192"/>
      <c r="BL2" s="192"/>
      <c r="BM2" s="202"/>
    </row>
    <row r="3" spans="2:65" ht="20.100000000000001" customHeight="1" x14ac:dyDescent="0.45">
      <c r="B3" s="196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SK0200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5" t="str">
        <f ca="1">変更履歴!X3</f>
        <v>SK0200_検収一覧表_帳票設計書</v>
      </c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5" t="str">
        <f ca="1">変更履歴!AK3</f>
        <v>検収一覧表</v>
      </c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7"/>
      <c r="AX3" s="141">
        <f>変更履歴!AX3</f>
        <v>45583</v>
      </c>
      <c r="AY3" s="141"/>
      <c r="AZ3" s="141"/>
      <c r="BA3" s="141"/>
      <c r="BB3" s="142" t="str">
        <f>変更履歴!BB3</f>
        <v>大谷</v>
      </c>
      <c r="BC3" s="142"/>
      <c r="BD3" s="142"/>
      <c r="BE3" s="142"/>
      <c r="BF3" s="141">
        <f>変更履歴!BF3</f>
        <v>45583</v>
      </c>
      <c r="BG3" s="141"/>
      <c r="BH3" s="141"/>
      <c r="BI3" s="141"/>
      <c r="BJ3" s="142" t="str">
        <f>変更履歴!BJ3</f>
        <v>大谷</v>
      </c>
      <c r="BK3" s="142"/>
      <c r="BL3" s="142"/>
      <c r="BM3" s="200"/>
    </row>
    <row r="4" spans="2:65" ht="20.100000000000001" customHeight="1" thickBot="1" x14ac:dyDescent="0.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199"/>
      <c r="AY4" s="199"/>
      <c r="AZ4" s="199"/>
      <c r="BA4" s="199"/>
      <c r="BB4" s="198"/>
      <c r="BC4" s="198"/>
      <c r="BD4" s="198"/>
      <c r="BE4" s="198"/>
      <c r="BF4" s="199"/>
      <c r="BG4" s="199"/>
      <c r="BH4" s="199"/>
      <c r="BI4" s="199"/>
      <c r="BJ4" s="198"/>
      <c r="BK4" s="198"/>
      <c r="BL4" s="198"/>
      <c r="BM4" s="201"/>
    </row>
    <row r="5" spans="2:65" ht="5.0999999999999996" customHeight="1" thickBot="1" x14ac:dyDescent="0.5"/>
    <row r="6" spans="2:65" ht="20.100000000000001" customHeight="1" x14ac:dyDescent="0.45">
      <c r="B6" s="89" t="s">
        <v>93</v>
      </c>
      <c r="C6" s="90"/>
      <c r="D6" s="90"/>
      <c r="E6" s="90"/>
      <c r="F6" s="90"/>
      <c r="G6" s="91"/>
      <c r="H6" s="92" t="s">
        <v>84</v>
      </c>
      <c r="I6" s="90"/>
      <c r="J6" s="120" t="s">
        <v>104</v>
      </c>
      <c r="K6" s="121"/>
      <c r="L6" s="121"/>
      <c r="M6" s="121"/>
      <c r="N6" s="121"/>
      <c r="O6" s="121"/>
      <c r="P6" s="121"/>
      <c r="Q6" s="122"/>
      <c r="R6" s="121" t="s">
        <v>124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105</v>
      </c>
      <c r="K7" s="52"/>
      <c r="L7" s="52"/>
      <c r="M7" s="52"/>
      <c r="N7" s="52"/>
      <c r="O7" s="52"/>
      <c r="P7" s="52"/>
      <c r="Q7" s="125"/>
      <c r="R7" s="52" t="s">
        <v>137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106</v>
      </c>
      <c r="K8" s="52"/>
      <c r="L8" s="52"/>
      <c r="M8" s="52"/>
      <c r="N8" s="52"/>
      <c r="O8" s="52"/>
      <c r="P8" s="52"/>
      <c r="Q8" s="125"/>
      <c r="R8" s="52" t="s">
        <v>138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107</v>
      </c>
      <c r="K9" s="52"/>
      <c r="L9" s="52"/>
      <c r="M9" s="52"/>
      <c r="N9" s="52"/>
      <c r="O9" s="52"/>
      <c r="P9" s="52"/>
      <c r="Q9" s="125"/>
      <c r="R9" s="52" t="s">
        <v>125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108</v>
      </c>
      <c r="K10" s="52"/>
      <c r="L10" s="52"/>
      <c r="M10" s="52"/>
      <c r="N10" s="52"/>
      <c r="O10" s="52"/>
      <c r="P10" s="52"/>
      <c r="Q10" s="125"/>
      <c r="R10" s="52" t="s">
        <v>126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109</v>
      </c>
      <c r="K11" s="52"/>
      <c r="L11" s="52"/>
      <c r="M11" s="52"/>
      <c r="N11" s="52"/>
      <c r="O11" s="52"/>
      <c r="P11" s="52"/>
      <c r="Q11" s="125"/>
      <c r="R11" s="52" t="s">
        <v>127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110</v>
      </c>
      <c r="K12" s="52"/>
      <c r="L12" s="52"/>
      <c r="M12" s="52"/>
      <c r="N12" s="52"/>
      <c r="O12" s="52"/>
      <c r="P12" s="52"/>
      <c r="Q12" s="125"/>
      <c r="R12" s="52" t="s">
        <v>128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24" t="s">
        <v>111</v>
      </c>
      <c r="K13" s="52"/>
      <c r="L13" s="52"/>
      <c r="M13" s="52"/>
      <c r="N13" s="52"/>
      <c r="O13" s="52"/>
      <c r="P13" s="52"/>
      <c r="Q13" s="125"/>
      <c r="R13" s="52" t="s">
        <v>129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24" t="s">
        <v>112</v>
      </c>
      <c r="K14" s="52"/>
      <c r="L14" s="52"/>
      <c r="M14" s="52"/>
      <c r="N14" s="52"/>
      <c r="O14" s="52"/>
      <c r="P14" s="52"/>
      <c r="Q14" s="125"/>
      <c r="R14" s="52" t="s">
        <v>130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124" t="s">
        <v>113</v>
      </c>
      <c r="K15" s="52"/>
      <c r="L15" s="52"/>
      <c r="M15" s="52"/>
      <c r="N15" s="52"/>
      <c r="O15" s="52"/>
      <c r="P15" s="52"/>
      <c r="Q15" s="125"/>
      <c r="R15" s="52" t="s">
        <v>131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114</v>
      </c>
      <c r="K16" s="52"/>
      <c r="L16" s="52"/>
      <c r="M16" s="52"/>
      <c r="N16" s="52"/>
      <c r="O16" s="52"/>
      <c r="P16" s="52"/>
      <c r="Q16" s="125"/>
      <c r="R16" s="52" t="s">
        <v>132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115</v>
      </c>
      <c r="K17" s="52"/>
      <c r="L17" s="52"/>
      <c r="M17" s="52"/>
      <c r="N17" s="52"/>
      <c r="O17" s="52"/>
      <c r="P17" s="52"/>
      <c r="Q17" s="125"/>
      <c r="R17" s="52" t="s">
        <v>133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116</v>
      </c>
      <c r="K18" s="52"/>
      <c r="L18" s="52"/>
      <c r="M18" s="52"/>
      <c r="N18" s="52"/>
      <c r="O18" s="52"/>
      <c r="P18" s="52"/>
      <c r="Q18" s="125"/>
      <c r="R18" s="52" t="s">
        <v>134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117</v>
      </c>
      <c r="K19" s="52"/>
      <c r="L19" s="52"/>
      <c r="M19" s="52"/>
      <c r="N19" s="52"/>
      <c r="O19" s="52"/>
      <c r="P19" s="52"/>
      <c r="Q19" s="125"/>
      <c r="R19" s="52" t="s">
        <v>135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118</v>
      </c>
      <c r="K20" s="52"/>
      <c r="L20" s="52"/>
      <c r="M20" s="52"/>
      <c r="N20" s="52"/>
      <c r="O20" s="52"/>
      <c r="P20" s="52"/>
      <c r="Q20" s="125"/>
      <c r="R20" s="52" t="s">
        <v>136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119</v>
      </c>
      <c r="K21" s="52"/>
      <c r="L21" s="52"/>
      <c r="M21" s="52"/>
      <c r="N21" s="52"/>
      <c r="O21" s="52"/>
      <c r="P21" s="52"/>
      <c r="Q21" s="125"/>
      <c r="R21" s="52" t="s">
        <v>210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120</v>
      </c>
      <c r="K22" s="52"/>
      <c r="L22" s="52"/>
      <c r="M22" s="52"/>
      <c r="N22" s="52"/>
      <c r="O22" s="52"/>
      <c r="P22" s="52"/>
      <c r="Q22" s="125"/>
      <c r="R22" s="52" t="s">
        <v>121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100" t="s">
        <v>53</v>
      </c>
      <c r="I23" s="55"/>
      <c r="J23" s="100" t="s">
        <v>122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101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102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24" t="s">
        <v>54</v>
      </c>
      <c r="I24" s="52"/>
      <c r="J24" s="124" t="s">
        <v>123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128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129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97" t="s">
        <v>55</v>
      </c>
      <c r="I25" s="31"/>
      <c r="J25" s="97" t="s">
        <v>209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97"/>
      <c r="K26" s="31" t="s">
        <v>139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140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 t="s">
        <v>94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97"/>
      <c r="K29" s="31"/>
      <c r="L29" s="31" t="s">
        <v>97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 t="s">
        <v>95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/>
      <c r="L31" s="31" t="s">
        <v>96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/>
      <c r="K32" s="31"/>
      <c r="L32" s="31" t="s">
        <v>98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/>
      <c r="L33" s="31" t="s">
        <v>99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/>
      <c r="K34" s="31"/>
      <c r="L34" s="31" t="s">
        <v>100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/>
      <c r="K35" s="31"/>
      <c r="L35" s="31" t="s">
        <v>101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9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thickBot="1" x14ac:dyDescent="0.5">
      <c r="B36" s="123"/>
      <c r="C36" s="31"/>
      <c r="D36" s="31"/>
      <c r="E36" s="31"/>
      <c r="F36" s="31"/>
      <c r="G36" s="96"/>
      <c r="H36" s="100" t="s">
        <v>102</v>
      </c>
      <c r="I36" s="55"/>
      <c r="J36" s="100" t="s">
        <v>103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101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102"/>
    </row>
    <row r="37" spans="2:61" ht="20.100000000000001" customHeight="1" x14ac:dyDescent="0.45">
      <c r="B37" s="89" t="s">
        <v>204</v>
      </c>
      <c r="C37" s="90"/>
      <c r="D37" s="90"/>
      <c r="E37" s="90"/>
      <c r="F37" s="90"/>
      <c r="G37" s="91"/>
      <c r="H37" s="92" t="s">
        <v>84</v>
      </c>
      <c r="I37" s="90"/>
      <c r="J37" s="120" t="s">
        <v>205</v>
      </c>
      <c r="K37" s="121"/>
      <c r="L37" s="121"/>
      <c r="M37" s="121"/>
      <c r="N37" s="121"/>
      <c r="O37" s="121"/>
      <c r="P37" s="121"/>
      <c r="Q37" s="122"/>
      <c r="R37" s="121" t="s">
        <v>207</v>
      </c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2"/>
      <c r="AK37" s="93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4"/>
    </row>
    <row r="38" spans="2:61" ht="20.100000000000001" customHeight="1" thickBot="1" x14ac:dyDescent="0.5">
      <c r="B38" s="123"/>
      <c r="C38" s="31"/>
      <c r="D38" s="31"/>
      <c r="E38" s="31"/>
      <c r="F38" s="31"/>
      <c r="G38" s="96"/>
      <c r="H38" s="100" t="s">
        <v>53</v>
      </c>
      <c r="I38" s="55"/>
      <c r="J38" s="100" t="s">
        <v>206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101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102"/>
    </row>
    <row r="39" spans="2:61" ht="5.0999999999999996" customHeight="1" x14ac:dyDescent="0.45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1" t="s">
        <v>0</v>
      </c>
      <c r="C2" s="192"/>
      <c r="D2" s="192"/>
      <c r="E2" s="192"/>
      <c r="F2" s="192"/>
      <c r="G2" s="192"/>
      <c r="H2" s="192" t="s">
        <v>17</v>
      </c>
      <c r="I2" s="192"/>
      <c r="J2" s="192"/>
      <c r="K2" s="192"/>
      <c r="L2" s="192" t="s">
        <v>1</v>
      </c>
      <c r="M2" s="192"/>
      <c r="N2" s="192"/>
      <c r="O2" s="192"/>
      <c r="P2" s="192"/>
      <c r="Q2" s="192"/>
      <c r="R2" s="192" t="s">
        <v>2</v>
      </c>
      <c r="S2" s="192"/>
      <c r="T2" s="192"/>
      <c r="U2" s="192"/>
      <c r="V2" s="192"/>
      <c r="W2" s="192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92" t="s">
        <v>5</v>
      </c>
      <c r="AY2" s="192"/>
      <c r="AZ2" s="192"/>
      <c r="BA2" s="192"/>
      <c r="BB2" s="192" t="s">
        <v>4</v>
      </c>
      <c r="BC2" s="192"/>
      <c r="BD2" s="192"/>
      <c r="BE2" s="192"/>
      <c r="BF2" s="192" t="s">
        <v>6</v>
      </c>
      <c r="BG2" s="192"/>
      <c r="BH2" s="192"/>
      <c r="BI2" s="192"/>
      <c r="BJ2" s="192" t="s">
        <v>7</v>
      </c>
      <c r="BK2" s="192"/>
      <c r="BL2" s="192"/>
      <c r="BM2" s="202"/>
    </row>
    <row r="3" spans="2:65" ht="20.100000000000001" customHeight="1" x14ac:dyDescent="0.45">
      <c r="B3" s="196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SK0200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5" t="str">
        <f ca="1">変更履歴!X3</f>
        <v>SK0200_検収一覧表_帳票設計書</v>
      </c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5" t="str">
        <f ca="1">変更履歴!AK3</f>
        <v>検収一覧表</v>
      </c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7"/>
      <c r="AX3" s="141">
        <f>変更履歴!AX3</f>
        <v>45583</v>
      </c>
      <c r="AY3" s="141"/>
      <c r="AZ3" s="141"/>
      <c r="BA3" s="141"/>
      <c r="BB3" s="142" t="str">
        <f>変更履歴!BB3</f>
        <v>大谷</v>
      </c>
      <c r="BC3" s="142"/>
      <c r="BD3" s="142"/>
      <c r="BE3" s="142"/>
      <c r="BF3" s="141">
        <f>変更履歴!BF3</f>
        <v>45583</v>
      </c>
      <c r="BG3" s="141"/>
      <c r="BH3" s="141"/>
      <c r="BI3" s="141"/>
      <c r="BJ3" s="142" t="str">
        <f>変更履歴!BJ3</f>
        <v>大谷</v>
      </c>
      <c r="BK3" s="142"/>
      <c r="BL3" s="142"/>
      <c r="BM3" s="200"/>
    </row>
    <row r="4" spans="2:65" ht="20.100000000000001" customHeight="1" thickBot="1" x14ac:dyDescent="0.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199"/>
      <c r="AY4" s="199"/>
      <c r="AZ4" s="199"/>
      <c r="BA4" s="199"/>
      <c r="BB4" s="198"/>
      <c r="BC4" s="198"/>
      <c r="BD4" s="198"/>
      <c r="BE4" s="198"/>
      <c r="BF4" s="199"/>
      <c r="BG4" s="199"/>
      <c r="BH4" s="199"/>
      <c r="BI4" s="199"/>
      <c r="BJ4" s="198"/>
      <c r="BK4" s="198"/>
      <c r="BL4" s="198"/>
      <c r="BM4" s="201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30" style="29" bestFit="1" customWidth="1"/>
    <col min="6" max="6" width="30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30" t="s">
        <v>214</v>
      </c>
      <c r="G3" s="78" t="s">
        <v>51</v>
      </c>
    </row>
    <row r="4" spans="2:7" x14ac:dyDescent="0.45">
      <c r="B4" s="37">
        <v>1</v>
      </c>
      <c r="C4" s="79" t="s">
        <v>211</v>
      </c>
      <c r="D4" s="79" t="s">
        <v>212</v>
      </c>
      <c r="E4" s="80" t="s">
        <v>213</v>
      </c>
      <c r="F4" s="80" t="s">
        <v>215</v>
      </c>
      <c r="G4" s="81" t="s">
        <v>216</v>
      </c>
    </row>
    <row r="5" spans="2:7" x14ac:dyDescent="0.45">
      <c r="B5" s="37">
        <v>2</v>
      </c>
      <c r="C5" s="79"/>
      <c r="D5" s="79"/>
      <c r="E5" s="82"/>
      <c r="F5" s="82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" sqref="A5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2025-05-24T05:31:17Z</dcterms:modified>
</cp:coreProperties>
</file>