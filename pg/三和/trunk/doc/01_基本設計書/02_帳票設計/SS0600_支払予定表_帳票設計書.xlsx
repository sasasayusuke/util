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2_帳票設計\"/>
    </mc:Choice>
  </mc:AlternateContent>
  <bookViews>
    <workbookView xWindow="0" yWindow="0" windowWidth="28800" windowHeight="12216"/>
  </bookViews>
  <sheets>
    <sheet name="変更履歴" sheetId="1" r:id="rId1"/>
    <sheet name="概要" sheetId="14" r:id="rId2"/>
    <sheet name="帳票レイアウト" sheetId="2" r:id="rId3"/>
    <sheet name="項目一覧" sheetId="3" r:id="rId4"/>
    <sheet name="処理詳細" sheetId="17" r:id="rId5"/>
    <sheet name="処理詳細_書き方" sheetId="18" state="hidden" r:id="rId6"/>
    <sheet name="確認事項" sheetId="15" r:id="rId7"/>
    <sheet name="別紙_テンプレート" sheetId="16" r:id="rId8"/>
    <sheet name="別紙_印刷レイアウト" sheetId="19" r:id="rId9"/>
    <sheet name="参照" sheetId="12" state="hidden" r:id="rId10"/>
  </sheets>
  <definedNames>
    <definedName name="CoreCells">別紙_テンプレート!$A$4:$G$4</definedName>
    <definedName name="_xlnm.Print_Area" localSheetId="1">概要!$A$1:$BN$31</definedName>
    <definedName name="_xlnm.Print_Area" localSheetId="3">項目一覧!$A$1:$BX$52</definedName>
    <definedName name="_xlnm.Print_Area" localSheetId="4">処理詳細!$A$1:$BR$19</definedName>
    <definedName name="_xlnm.Print_Area" localSheetId="5">処理詳細_書き方!$A$1:$BR$29</definedName>
    <definedName name="_xlnm.Print_Area" localSheetId="2">帳票レイアウト!$A$1:$BN$48</definedName>
    <definedName name="_xlnm.Print_Area" localSheetId="0">変更履歴!$A$1:$BN$49</definedName>
    <definedName name="_xlnm.Print_Titles" localSheetId="1">概要!$1:$5</definedName>
    <definedName name="_xlnm.Print_Titles" localSheetId="3">項目一覧!$1:$5</definedName>
    <definedName name="_xlnm.Print_Titles" localSheetId="4">処理詳細!$1:$5</definedName>
    <definedName name="_xlnm.Print_Titles" localSheetId="5">処理詳細_書き方!$1:$5</definedName>
    <definedName name="_xlnm.Print_Titles" localSheetId="2">帳票レイアウト!$1:$5</definedName>
    <definedName name="_xlnm.Print_Titles" localSheetId="7">別紙_テンプレート!$1:$3</definedName>
    <definedName name="_xlnm.Print_Titles" localSheetId="0">変更履歴!$1:$5</definedName>
    <definedName name="作成日">別紙_テンプレート!$G$2</definedName>
    <definedName name="集計範囲">別紙_テンプレート!$B$2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J3" i="18" l="1"/>
  <c r="BF3" i="18"/>
  <c r="BB3" i="18"/>
  <c r="AX3" i="18"/>
  <c r="L3" i="18"/>
  <c r="B3" i="18"/>
  <c r="BJ3" i="17"/>
  <c r="BF3" i="17"/>
  <c r="BB3" i="17"/>
  <c r="AX3" i="17"/>
  <c r="L3" i="17"/>
  <c r="B3" i="17"/>
  <c r="BJ3" i="14" l="1"/>
  <c r="BF3" i="14"/>
  <c r="BB3" i="14"/>
  <c r="AX3" i="14"/>
  <c r="L3" i="14"/>
  <c r="B3" i="14"/>
  <c r="X3" i="1" l="1"/>
  <c r="X3" i="18" l="1"/>
  <c r="X3" i="14"/>
  <c r="X3" i="17"/>
  <c r="H3" i="1"/>
  <c r="R3" i="1"/>
  <c r="AK3" i="1"/>
  <c r="H3" i="18" l="1"/>
  <c r="AK3" i="18"/>
  <c r="R3" i="18"/>
  <c r="AK3" i="14"/>
  <c r="H7" i="14" s="1"/>
  <c r="AK3" i="17"/>
  <c r="R3" i="14"/>
  <c r="R3" i="17"/>
  <c r="H3" i="14"/>
  <c r="H3" i="17"/>
  <c r="R3" i="3"/>
  <c r="BJ3" i="3"/>
  <c r="BF3" i="3"/>
  <c r="BB3" i="3"/>
  <c r="AX3" i="3"/>
  <c r="AK3" i="3"/>
  <c r="L3" i="3"/>
  <c r="H3" i="3"/>
  <c r="B3" i="3"/>
  <c r="B3" i="2"/>
  <c r="H3" i="2"/>
  <c r="L3" i="2"/>
  <c r="R3" i="2"/>
  <c r="AK3" i="2"/>
  <c r="BJ3" i="2"/>
  <c r="BF3" i="2"/>
  <c r="BB3" i="2"/>
  <c r="AX3" i="2"/>
  <c r="X3" i="2" l="1"/>
  <c r="X3" i="3"/>
</calcChain>
</file>

<file path=xl/sharedStrings.xml><?xml version="1.0" encoding="utf-8"?>
<sst xmlns="http://schemas.openxmlformats.org/spreadsheetml/2006/main" count="230" uniqueCount="151">
  <si>
    <t>システム名</t>
    <rPh sb="4" eb="5">
      <t>メイ</t>
    </rPh>
    <phoneticPr fontId="2"/>
  </si>
  <si>
    <t>業務分類</t>
    <rPh sb="0" eb="2">
      <t>ギョウム</t>
    </rPh>
    <rPh sb="2" eb="4">
      <t>ブンルイ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</si>
  <si>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</si>
  <si>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</si>
  <si>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</si>
  <si>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</si>
  <si>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</si>
  <si>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</si>
  <si>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</si>
  <si>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</si>
  <si>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</si>
  <si>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</si>
  <si>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</si>
  <si>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</si>
  <si>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</si>
  <si>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</si>
  <si>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</si>
  <si>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画面ID</t>
    <rPh sb="0" eb="2">
      <t>ガメン</t>
    </rPh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</si>
  <si>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</si>
  <si>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</si>
  <si>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</si>
  <si>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</si>
  <si>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帳票の名称</t>
    <rPh sb="0" eb="2">
      <t>チョウヒョウ</t>
    </rPh>
    <rPh sb="3" eb="5">
      <t>メイショウ</t>
    </rPh>
    <phoneticPr fontId="2"/>
  </si>
  <si>
    <t>ファイル種類</t>
    <rPh sb="4" eb="6">
      <t>シュルイ</t>
    </rPh>
    <phoneticPr fontId="2"/>
  </si>
  <si>
    <t>データ型</t>
    <rPh sb="3" eb="4">
      <t>カタ</t>
    </rPh>
    <phoneticPr fontId="1"/>
  </si>
  <si>
    <t>帳票テンプレート名</t>
    <rPh sb="0" eb="2">
      <t>チョウヒョウ</t>
    </rPh>
    <rPh sb="8" eb="9">
      <t>メイ</t>
    </rPh>
    <phoneticPr fontId="2"/>
  </si>
  <si>
    <t>ファイル拡張子</t>
    <rPh sb="4" eb="7">
      <t>カクチョウシ</t>
    </rPh>
    <phoneticPr fontId="2"/>
  </si>
  <si>
    <t>文字コード</t>
    <rPh sb="0" eb="2">
      <t>モジ</t>
    </rPh>
    <phoneticPr fontId="2"/>
  </si>
  <si>
    <t>コーテーション</t>
    <phoneticPr fontId="2"/>
  </si>
  <si>
    <t>固定長/可変長</t>
    <rPh sb="0" eb="3">
      <t>コテイチョウ</t>
    </rPh>
    <rPh sb="4" eb="7">
      <t>カヘンチョウ</t>
    </rPh>
    <phoneticPr fontId="2"/>
  </si>
  <si>
    <t>区切り文字</t>
    <rPh sb="0" eb="2">
      <t>クギ</t>
    </rPh>
    <rPh sb="3" eb="5">
      <t>モジ</t>
    </rPh>
    <phoneticPr fontId="2"/>
  </si>
  <si>
    <t>帳票名</t>
    <rPh sb="0" eb="2">
      <t>チョウヒョウ</t>
    </rPh>
    <rPh sb="2" eb="3">
      <t>メイ</t>
    </rPh>
    <phoneticPr fontId="2"/>
  </si>
  <si>
    <t>帳票名</t>
    <rPh sb="0" eb="2">
      <t>チョウヒョウ</t>
    </rPh>
    <phoneticPr fontId="2"/>
  </si>
  <si>
    <t>全角/半角</t>
    <rPh sb="0" eb="2">
      <t>ゼンカク</t>
    </rPh>
    <rPh sb="3" eb="5">
      <t>ハンカク</t>
    </rPh>
    <phoneticPr fontId="1"/>
  </si>
  <si>
    <t>文字数/桁数</t>
    <rPh sb="0" eb="3">
      <t>モジスウ</t>
    </rPh>
    <rPh sb="4" eb="6">
      <t>ケタスウ</t>
    </rPh>
    <phoneticPr fontId="1"/>
  </si>
  <si>
    <t>データ整形方法</t>
    <rPh sb="3" eb="7">
      <t>セイケイホウホウ</t>
    </rPh>
    <phoneticPr fontId="1"/>
  </si>
  <si>
    <t>データ取得元</t>
    <rPh sb="3" eb="6">
      <t>シュトクモト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</si>
  <si>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</si>
  <si>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</si>
  <si>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</si>
  <si>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</si>
  <si>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</si>
  <si>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整形後フォーマット</t>
    <rPh sb="0" eb="3">
      <t>セイケイゴ</t>
    </rPh>
    <phoneticPr fontId="1"/>
  </si>
  <si>
    <t>備考</t>
    <rPh sb="0" eb="2">
      <t>ビコウ</t>
    </rPh>
    <phoneticPr fontId="1"/>
  </si>
  <si>
    <t>用紙サイズ</t>
    <rPh sb="0" eb="2">
      <t>ヨウシ</t>
    </rPh>
    <phoneticPr fontId="2"/>
  </si>
  <si>
    <t>ページ１</t>
    <phoneticPr fontId="2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</si>
  <si>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</si>
  <si>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</si>
  <si>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</si>
  <si>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</si>
  <si>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</si>
  <si>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</si>
  <si>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Template支払予定表.xlsx</t>
    <phoneticPr fontId="2"/>
  </si>
  <si>
    <t>Excel</t>
    <phoneticPr fontId="2"/>
  </si>
  <si>
    <t>xlsx</t>
    <phoneticPr fontId="2"/>
  </si>
  <si>
    <t>-</t>
    <phoneticPr fontId="2"/>
  </si>
  <si>
    <t>-</t>
    <phoneticPr fontId="2"/>
  </si>
  <si>
    <t>-</t>
    <phoneticPr fontId="2"/>
  </si>
  <si>
    <t>期間from</t>
    <rPh sb="0" eb="2">
      <t>キカン</t>
    </rPh>
    <phoneticPr fontId="1"/>
  </si>
  <si>
    <t>期間to</t>
    <rPh sb="0" eb="2">
      <t>キカン</t>
    </rPh>
    <phoneticPr fontId="1"/>
  </si>
  <si>
    <t>作成日</t>
    <rPh sb="0" eb="3">
      <t>サクセイビ</t>
    </rPh>
    <phoneticPr fontId="1"/>
  </si>
  <si>
    <t>コード</t>
    <phoneticPr fontId="1"/>
  </si>
  <si>
    <t>支払予定日付</t>
    <rPh sb="0" eb="4">
      <t>シハライヨテイ</t>
    </rPh>
    <rPh sb="4" eb="6">
      <t>ヒヅケ</t>
    </rPh>
    <phoneticPr fontId="1"/>
  </si>
  <si>
    <t>支払予定金額</t>
    <rPh sb="0" eb="4">
      <t>シハライヨテイ</t>
    </rPh>
    <rPh sb="4" eb="6">
      <t>キンガク</t>
    </rPh>
    <phoneticPr fontId="1"/>
  </si>
  <si>
    <t>請求日付</t>
    <rPh sb="0" eb="4">
      <t>セイキュウヒヅケ</t>
    </rPh>
    <phoneticPr fontId="1"/>
  </si>
  <si>
    <t>備考</t>
    <rPh sb="0" eb="2">
      <t>ビコウ</t>
    </rPh>
    <phoneticPr fontId="1"/>
  </si>
  <si>
    <t>半角</t>
    <rPh sb="0" eb="2">
      <t>ハンカク</t>
    </rPh>
    <phoneticPr fontId="1"/>
  </si>
  <si>
    <t>画面.支払予定開始日</t>
    <rPh sb="0" eb="2">
      <t>ガメン</t>
    </rPh>
    <rPh sb="3" eb="5">
      <t>シハライ</t>
    </rPh>
    <rPh sb="5" eb="7">
      <t>ヨテイ</t>
    </rPh>
    <rPh sb="7" eb="10">
      <t>カイシビ</t>
    </rPh>
    <phoneticPr fontId="1"/>
  </si>
  <si>
    <t>画面.支払予定終了日</t>
    <rPh sb="0" eb="2">
      <t>ガメン</t>
    </rPh>
    <rPh sb="3" eb="5">
      <t>シハライ</t>
    </rPh>
    <rPh sb="5" eb="7">
      <t>ヨテイ</t>
    </rPh>
    <rPh sb="7" eb="10">
      <t>シュウリョウビ</t>
    </rPh>
    <phoneticPr fontId="1"/>
  </si>
  <si>
    <t>全角</t>
    <rPh sb="0" eb="2">
      <t>ゼンカク</t>
    </rPh>
    <phoneticPr fontId="1"/>
  </si>
  <si>
    <t>フォントや文字サイズ、セル条件などは「別紙_テンプレート」準拠</t>
    <rPh sb="13" eb="15">
      <t>ジョウケン</t>
    </rPh>
    <rPh sb="19" eb="21">
      <t>ベッシ</t>
    </rPh>
    <phoneticPr fontId="1"/>
  </si>
  <si>
    <t>現在日付</t>
    <rPh sb="0" eb="4">
      <t>ゲンザイヒヅケ</t>
    </rPh>
    <phoneticPr fontId="1"/>
  </si>
  <si>
    <t>支払予定表</t>
    <rPh sb="0" eb="2">
      <t>シハライ</t>
    </rPh>
    <rPh sb="2" eb="4">
      <t>ヨテイ</t>
    </rPh>
    <rPh sb="4" eb="5">
      <t>ヒョウ</t>
    </rPh>
    <phoneticPr fontId="10"/>
  </si>
  <si>
    <t>期間：</t>
    <rPh sb="0" eb="2">
      <t>キカン</t>
    </rPh>
    <phoneticPr fontId="10"/>
  </si>
  <si>
    <t>コード</t>
    <phoneticPr fontId="10"/>
  </si>
  <si>
    <t>業　　　　者　　　　名</t>
    <rPh sb="0" eb="1">
      <t>ギョウ</t>
    </rPh>
    <rPh sb="5" eb="6">
      <t>シャ</t>
    </rPh>
    <rPh sb="10" eb="11">
      <t>メイ</t>
    </rPh>
    <phoneticPr fontId="10"/>
  </si>
  <si>
    <t>支払予定日付</t>
    <rPh sb="0" eb="2">
      <t>シハライ</t>
    </rPh>
    <rPh sb="2" eb="4">
      <t>ヨテイ</t>
    </rPh>
    <rPh sb="4" eb="6">
      <t>ヒヅケ</t>
    </rPh>
    <phoneticPr fontId="10"/>
  </si>
  <si>
    <t>支払予定金額</t>
    <rPh sb="0" eb="2">
      <t>シハライ</t>
    </rPh>
    <rPh sb="2" eb="4">
      <t>ヨテイ</t>
    </rPh>
    <rPh sb="4" eb="6">
      <t>キンガク</t>
    </rPh>
    <phoneticPr fontId="10"/>
  </si>
  <si>
    <t>請求日付</t>
    <rPh sb="0" eb="2">
      <t>セイキュウ</t>
    </rPh>
    <rPh sb="2" eb="4">
      <t>ヒヅケ</t>
    </rPh>
    <phoneticPr fontId="10"/>
  </si>
  <si>
    <t>備　　　　考</t>
    <rPh sb="0" eb="1">
      <t>ソナエ</t>
    </rPh>
    <rPh sb="5" eb="6">
      <t>コウ</t>
    </rPh>
    <phoneticPr fontId="10"/>
  </si>
  <si>
    <t>業者名1</t>
    <rPh sb="0" eb="3">
      <t>ギョウシャメイ</t>
    </rPh>
    <phoneticPr fontId="1"/>
  </si>
  <si>
    <t>業者名2</t>
    <rPh sb="0" eb="3">
      <t>ギョウシャメイ</t>
    </rPh>
    <phoneticPr fontId="1"/>
  </si>
  <si>
    <t>縮小して全体表示</t>
    <rPh sb="0" eb="2">
      <t>シュクショウ</t>
    </rPh>
    <rPh sb="4" eb="6">
      <t>ゼンタイ</t>
    </rPh>
    <rPh sb="6" eb="8">
      <t>ヒョウジ</t>
    </rPh>
    <phoneticPr fontId="1"/>
  </si>
  <si>
    <t>縮小して全体表示</t>
    <rPh sb="0" eb="2">
      <t>シュクショウ</t>
    </rPh>
    <rPh sb="4" eb="8">
      <t>ゼンタイヒョウジ</t>
    </rPh>
    <phoneticPr fontId="1"/>
  </si>
  <si>
    <t>from</t>
    <phoneticPr fontId="2"/>
  </si>
  <si>
    <t>where</t>
    <phoneticPr fontId="2"/>
  </si>
  <si>
    <r>
      <t>1.</t>
    </r>
    <r>
      <rPr>
        <b/>
        <sz val="9"/>
        <color rgb="FFFF0000"/>
        <rFont val="Meiryo UI"/>
        <family val="3"/>
        <charset val="128"/>
      </rPr>
      <t>タイトルを記載</t>
    </r>
    <rPh sb="7" eb="9">
      <t>キサイ</t>
    </rPh>
    <phoneticPr fontId="2"/>
  </si>
  <si>
    <t>from</t>
  </si>
  <si>
    <t>使用するテーブル名を記載</t>
    <rPh sb="0" eb="2">
      <t>シヨウ</t>
    </rPh>
    <rPh sb="8" eb="9">
      <t>メイ</t>
    </rPh>
    <rPh sb="10" eb="12">
      <t>キサイ</t>
    </rPh>
    <phoneticPr fontId="2"/>
  </si>
  <si>
    <t>TD売上請求H</t>
  </si>
  <si>
    <t>TD見積</t>
    <rPh sb="2" eb="4">
      <t>ミツモリ</t>
    </rPh>
    <phoneticPr fontId="2"/>
  </si>
  <si>
    <t>TM納入先</t>
    <rPh sb="2" eb="5">
      <t>ノウニュウサキ</t>
    </rPh>
    <phoneticPr fontId="2"/>
  </si>
  <si>
    <t>join</t>
  </si>
  <si>
    <t>結合方式</t>
    <rPh sb="0" eb="2">
      <t>ケツゴウ</t>
    </rPh>
    <rPh sb="2" eb="4">
      <t>ホウシキ</t>
    </rPh>
    <phoneticPr fontId="2"/>
  </si>
  <si>
    <t>結合テーブル名</t>
  </si>
  <si>
    <t>結合条件</t>
    <rPh sb="0" eb="2">
      <t>ケツゴウ</t>
    </rPh>
    <rPh sb="2" eb="4">
      <t>ジョウケン</t>
    </rPh>
    <phoneticPr fontId="2"/>
  </si>
  <si>
    <t>and</t>
  </si>
  <si>
    <t>or</t>
  </si>
  <si>
    <t>INNER JOIN</t>
  </si>
  <si>
    <t>TM納入先</t>
  </si>
  <si>
    <t>[TD見積.納入得意先CD] = [TM納入先.得意先CD]</t>
    <rPh sb="6" eb="8">
      <t>ノウニュウ</t>
    </rPh>
    <rPh sb="8" eb="11">
      <t>トクイサキ</t>
    </rPh>
    <rPh sb="20" eb="23">
      <t>ノウニュウサキ</t>
    </rPh>
    <rPh sb="24" eb="27">
      <t>トクイサキ</t>
    </rPh>
    <phoneticPr fontId="2"/>
  </si>
  <si>
    <t>[TD見積.納入先CD] = [TM納入先.納入先CD]</t>
    <rPh sb="3" eb="5">
      <t>ミツモリ</t>
    </rPh>
    <rPh sb="6" eb="9">
      <t>ノウニュウサキ</t>
    </rPh>
    <rPh sb="18" eb="21">
      <t>ノウニュウサキ</t>
    </rPh>
    <rPh sb="22" eb="25">
      <t>ノウニュウサキ</t>
    </rPh>
    <phoneticPr fontId="2"/>
  </si>
  <si>
    <t>where</t>
  </si>
  <si>
    <t>取得条件</t>
  </si>
  <si>
    <t>パラメータの意味が分かる場合は記載する</t>
    <rPh sb="5" eb="7">
      <t>イミ</t>
    </rPh>
    <rPh sb="8" eb="9">
      <t>ワ</t>
    </rPh>
    <rPh sb="11" eb="13">
      <t>バアイ</t>
    </rPh>
    <rPh sb="14" eb="16">
      <t>キサイ</t>
    </rPh>
    <phoneticPr fontId="2"/>
  </si>
  <si>
    <t>取得条件</t>
    <rPh sb="0" eb="2">
      <t>シュトク</t>
    </rPh>
    <rPh sb="2" eb="4">
      <t>ジョウケン</t>
    </rPh>
    <phoneticPr fontId="2"/>
  </si>
  <si>
    <t>※可能な限り日本語化する</t>
    <rPh sb="1" eb="3">
      <t>カノウ</t>
    </rPh>
    <rPh sb="4" eb="5">
      <t>カギ</t>
    </rPh>
    <rPh sb="6" eb="10">
      <t>ニホンゴカ</t>
    </rPh>
    <phoneticPr fontId="2"/>
  </si>
  <si>
    <t>[TD見積.得意先CD] = '8001'</t>
  </si>
  <si>
    <t>8001'はヤオコーの得意先CD</t>
    <rPh sb="11" eb="14">
      <t>トクイサキ</t>
    </rPh>
    <phoneticPr fontId="2"/>
  </si>
  <si>
    <t>[TD売上請求H.請求日付]が[画面.請求期間From]以降</t>
    <rPh sb="28" eb="30">
      <t>イコウ</t>
    </rPh>
    <phoneticPr fontId="2"/>
  </si>
  <si>
    <t>order by</t>
  </si>
  <si>
    <t>ソート条件を記載</t>
    <rPh sb="3" eb="5">
      <t>ジョウケン</t>
    </rPh>
    <rPh sb="6" eb="8">
      <t>キサイ</t>
    </rPh>
    <phoneticPr fontId="2"/>
  </si>
  <si>
    <t>[画面.iYK物件区分]が1の場合は[TD見積.納入得意先CD],[TD見積.納入先CD],[TD売上請求H.見積番号]を昇順でソート</t>
    <rPh sb="1" eb="3">
      <t>ガメン</t>
    </rPh>
    <rPh sb="7" eb="9">
      <t>ブッケン</t>
    </rPh>
    <rPh sb="9" eb="11">
      <t>クブン</t>
    </rPh>
    <rPh sb="15" eb="17">
      <t>バアイ</t>
    </rPh>
    <rPh sb="21" eb="23">
      <t>ミツモリ</t>
    </rPh>
    <rPh sb="24" eb="26">
      <t>ノウニュウ</t>
    </rPh>
    <rPh sb="26" eb="29">
      <t>トクイサキ</t>
    </rPh>
    <rPh sb="61" eb="63">
      <t>ショウジュン</t>
    </rPh>
    <phoneticPr fontId="2"/>
  </si>
  <si>
    <t>group byなどほかの条件がある場合は行を追加して記載</t>
    <rPh sb="13" eb="15">
      <t>ジョウケン</t>
    </rPh>
    <rPh sb="18" eb="20">
      <t>バアイ</t>
    </rPh>
    <rPh sb="21" eb="22">
      <t>ギョウ</t>
    </rPh>
    <rPh sb="23" eb="25">
      <t>ツイカ</t>
    </rPh>
    <rPh sb="27" eb="29">
      <t>キサイ</t>
    </rPh>
    <phoneticPr fontId="2"/>
  </si>
  <si>
    <t>AND</t>
    <phoneticPr fontId="2"/>
  </si>
  <si>
    <t>order by</t>
    <phoneticPr fontId="2"/>
  </si>
  <si>
    <t>VM支払予定情報</t>
    <phoneticPr fontId="2"/>
  </si>
  <si>
    <t>AND</t>
    <phoneticPr fontId="2"/>
  </si>
  <si>
    <t>[VM支払予定情報.仕入先CD]の昇順</t>
    <rPh sb="17" eb="19">
      <t>ショウジュン</t>
    </rPh>
    <phoneticPr fontId="2"/>
  </si>
  <si>
    <t>[VM支払予定情報.支払予定日付] &gt;= [画面.支払予定開始日付]</t>
    <rPh sb="22" eb="24">
      <t>ガメン</t>
    </rPh>
    <rPh sb="25" eb="27">
      <t>シハライ</t>
    </rPh>
    <rPh sb="27" eb="29">
      <t>ヨテイ</t>
    </rPh>
    <rPh sb="29" eb="32">
      <t>カイシビ</t>
    </rPh>
    <rPh sb="32" eb="33">
      <t>ヅケ</t>
    </rPh>
    <phoneticPr fontId="2"/>
  </si>
  <si>
    <t>[VM支払予定情報.支払予定日付] &lt;= [画面.支払予定終了日付]</t>
    <rPh sb="29" eb="31">
      <t>シュウリョウ</t>
    </rPh>
    <phoneticPr fontId="2"/>
  </si>
  <si>
    <t>[VM支払予定情報.仕入先CD]  &gt;= COALESCE(CONVERT(VARCHAR(4),[画面.仕入先CD開始番号]),[VM支払予定情報.仕入先CD])</t>
    <rPh sb="53" eb="56">
      <t>シイレサキ</t>
    </rPh>
    <rPh sb="58" eb="60">
      <t>カイシ</t>
    </rPh>
    <rPh sb="60" eb="62">
      <t>バンゴウ</t>
    </rPh>
    <phoneticPr fontId="2"/>
  </si>
  <si>
    <t>[VM支払予定情報.仕入先CD]  &lt;= COALESCE(CONVERT(VARCHAR(4),[画面.仕入先CD終了番号]),[VM支払予定情報.仕入先CD])</t>
    <rPh sb="58" eb="60">
      <t>シュウリョウ</t>
    </rPh>
    <phoneticPr fontId="2"/>
  </si>
  <si>
    <t>select</t>
    <phoneticPr fontId="2"/>
  </si>
  <si>
    <t>VM支払予定情報.仕入先名1</t>
  </si>
  <si>
    <t>VM支払予定情報.仕入先名2</t>
  </si>
  <si>
    <t>VM支払予定情報.支払予定日付</t>
  </si>
  <si>
    <t xml:space="preserve">VM支払予定情報.支払方法 </t>
  </si>
  <si>
    <t>VM支払予定情報.支払日付</t>
  </si>
  <si>
    <t>支払予定表抽出</t>
  </si>
  <si>
    <t>仕入先CD</t>
  </si>
  <si>
    <t>仕入先名1</t>
  </si>
  <si>
    <t>仕入先名2</t>
  </si>
  <si>
    <t>支払予定日付</t>
  </si>
  <si>
    <t xml:space="preserve">支払方法 </t>
  </si>
  <si>
    <t>支払日付</t>
  </si>
  <si>
    <t>VM支払予定情報.支払予定金額</t>
    <phoneticPr fontId="2"/>
  </si>
  <si>
    <t>SQL1.仕入先CD</t>
    <phoneticPr fontId="1"/>
  </si>
  <si>
    <t>支払予定金額</t>
    <phoneticPr fontId="2"/>
  </si>
  <si>
    <t>VM支払予定情報.仕入先CD</t>
    <phoneticPr fontId="2"/>
  </si>
  <si>
    <t>SQL1</t>
    <phoneticPr fontId="2"/>
  </si>
  <si>
    <t>SQL1.仕入先名1</t>
    <phoneticPr fontId="1"/>
  </si>
  <si>
    <t>SQL1.仕入先名2</t>
  </si>
  <si>
    <t>SQL1.支払予定日付</t>
  </si>
  <si>
    <t>SQL1.支払予定金額</t>
  </si>
  <si>
    <t>SQL1.支払日付</t>
  </si>
  <si>
    <t>A4縦</t>
    <rPh sb="2" eb="3">
      <t>タテ</t>
    </rPh>
    <phoneticPr fontId="2"/>
  </si>
  <si>
    <t>大谷</t>
    <rPh sb="0" eb="2">
      <t>オオタニ</t>
    </rPh>
    <phoneticPr fontId="2"/>
  </si>
  <si>
    <t>システム分類</t>
    <rPh sb="4" eb="6">
      <t>ブンルイ</t>
    </rPh>
    <phoneticPr fontId="2"/>
  </si>
  <si>
    <t>受発注</t>
    <rPh sb="0" eb="3">
      <t>ジュハッチュウ</t>
    </rPh>
    <phoneticPr fontId="2"/>
  </si>
  <si>
    <t>受発注</t>
    <rPh sb="0" eb="3">
      <t>ジュハッチュウ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</si>
</sst>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.0_ "/>
    <numFmt numFmtId="177" formatCode="yyyy&quot;年&quot;m&quot;月&quot;d&quot;日&quot;;@"/>
    <numFmt numFmtId="178" formatCode="yyyy/m/d;@"/>
  </numFmts>
  <fonts count="14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  <font>
      <sz val="9"/>
      <color rgb="FFFF0000"/>
      <name val="Meiryo UI"/>
      <family val="3"/>
      <charset val="128"/>
    </font>
    <font>
      <sz val="14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9"/>
      <color rgb="FFFF0000"/>
      <name val="Meiryo UI"/>
      <family val="3"/>
      <charset val="128"/>
    </font>
    <font>
      <b/>
      <i/>
      <sz val="9"/>
      <color rgb="FFFF0000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7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4" fillId="0" borderId="0"/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</cellStyleXfs>
  <cellXfs count="228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3" fillId="2" borderId="28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8" xfId="0" applyFont="1" applyFill="1" applyBorder="1" applyAlignment="1">
      <alignment vertical="center"/>
    </xf>
    <xf numFmtId="0" fontId="3" fillId="2" borderId="18" xfId="0" applyFont="1" applyFill="1" applyBorder="1" applyAlignment="1">
      <alignment vertical="center"/>
    </xf>
    <xf numFmtId="0" fontId="3" fillId="2" borderId="18" xfId="0" applyFont="1" applyFill="1" applyBorder="1">
      <alignment vertical="center"/>
    </xf>
    <xf numFmtId="0" fontId="3" fillId="5" borderId="6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6" xfId="0" applyFont="1" applyFill="1" applyBorder="1">
      <alignment vertical="center"/>
    </xf>
    <xf numFmtId="0" fontId="3" fillId="5" borderId="3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3" xfId="0" applyFont="1" applyFill="1" applyBorder="1">
      <alignment vertical="center"/>
    </xf>
    <xf numFmtId="0" fontId="3" fillId="5" borderId="7" xfId="0" applyFont="1" applyFill="1" applyBorder="1" applyAlignment="1">
      <alignment vertical="center"/>
    </xf>
    <xf numFmtId="0" fontId="3" fillId="5" borderId="27" xfId="0" applyFont="1" applyFill="1" applyBorder="1" applyAlignment="1">
      <alignment vertical="center"/>
    </xf>
    <xf numFmtId="0" fontId="3" fillId="5" borderId="14" xfId="0" applyFont="1" applyFill="1" applyBorder="1" applyAlignment="1">
      <alignment vertical="center"/>
    </xf>
    <xf numFmtId="0" fontId="3" fillId="5" borderId="29" xfId="0" applyFont="1" applyFill="1" applyBorder="1" applyAlignment="1">
      <alignment vertical="center"/>
    </xf>
    <xf numFmtId="0" fontId="3" fillId="2" borderId="23" xfId="0" applyFont="1" applyFill="1" applyBorder="1">
      <alignment vertical="center"/>
    </xf>
    <xf numFmtId="0" fontId="3" fillId="5" borderId="30" xfId="0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3" xfId="0" applyFont="1" applyFill="1" applyBorder="1">
      <alignment vertical="center"/>
    </xf>
    <xf numFmtId="0" fontId="3" fillId="2" borderId="31" xfId="0" applyFont="1" applyFill="1" applyBorder="1">
      <alignment vertical="center"/>
    </xf>
    <xf numFmtId="0" fontId="3" fillId="5" borderId="32" xfId="0" applyFont="1" applyFill="1" applyBorder="1" applyAlignment="1">
      <alignment vertical="center"/>
    </xf>
    <xf numFmtId="0" fontId="3" fillId="5" borderId="21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3" fillId="5" borderId="26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33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6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7" xfId="0" applyFont="1" applyFill="1" applyBorder="1" applyAlignment="1">
      <alignment horizontal="center"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3" fillId="2" borderId="40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8" fillId="2" borderId="14" xfId="0" applyFont="1" applyFill="1" applyBorder="1">
      <alignment vertical="center"/>
    </xf>
    <xf numFmtId="0" fontId="9" fillId="0" borderId="0" xfId="2" applyFont="1" applyBorder="1" applyAlignment="1">
      <alignment horizontal="left" vertical="center"/>
    </xf>
    <xf numFmtId="0" fontId="4" fillId="0" borderId="0" xfId="2" applyFont="1" applyBorder="1" applyAlignment="1">
      <alignment horizontal="left" vertical="center"/>
    </xf>
    <xf numFmtId="0" fontId="4" fillId="0" borderId="0" xfId="2">
      <alignment vertical="center"/>
    </xf>
    <xf numFmtId="0" fontId="4" fillId="0" borderId="41" xfId="2" applyFont="1" applyBorder="1" applyAlignment="1">
      <alignment horizontal="left" vertical="center"/>
    </xf>
    <xf numFmtId="177" fontId="4" fillId="0" borderId="41" xfId="2" applyNumberFormat="1" applyFont="1" applyBorder="1" applyAlignment="1">
      <alignment horizontal="right" vertical="center"/>
    </xf>
    <xf numFmtId="0" fontId="11" fillId="0" borderId="1" xfId="2" applyFont="1" applyBorder="1" applyAlignment="1">
      <alignment horizontal="center" vertical="center" shrinkToFit="1"/>
    </xf>
    <xf numFmtId="0" fontId="11" fillId="0" borderId="5" xfId="2" applyFont="1" applyBorder="1" applyAlignment="1">
      <alignment horizontal="center" vertical="center" shrinkToFit="1"/>
    </xf>
    <xf numFmtId="0" fontId="11" fillId="0" borderId="1" xfId="2" applyFont="1" applyBorder="1" applyAlignment="1">
      <alignment horizontal="center" vertical="center"/>
    </xf>
    <xf numFmtId="0" fontId="11" fillId="0" borderId="5" xfId="2" applyFont="1" applyBorder="1" applyAlignment="1">
      <alignment vertical="center" shrinkToFit="1"/>
    </xf>
    <xf numFmtId="0" fontId="11" fillId="0" borderId="7" xfId="2" applyFont="1" applyBorder="1" applyAlignment="1">
      <alignment vertical="center" shrinkToFit="1"/>
    </xf>
    <xf numFmtId="178" fontId="4" fillId="0" borderId="1" xfId="2" applyNumberFormat="1" applyBorder="1" applyAlignment="1">
      <alignment horizontal="center" vertical="center"/>
    </xf>
    <xf numFmtId="38" fontId="0" fillId="0" borderId="1" xfId="3" applyFont="1" applyBorder="1" applyAlignment="1">
      <alignment horizontal="right" vertical="center"/>
    </xf>
    <xf numFmtId="178" fontId="4" fillId="0" borderId="5" xfId="2" applyNumberFormat="1" applyBorder="1" applyAlignment="1">
      <alignment horizontal="center" vertical="center"/>
    </xf>
    <xf numFmtId="0" fontId="4" fillId="0" borderId="1" xfId="2" applyBorder="1">
      <alignment vertical="center"/>
    </xf>
    <xf numFmtId="178" fontId="4" fillId="0" borderId="5" xfId="2" applyNumberFormat="1" applyBorder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vertical="center" shrinkToFit="1"/>
    </xf>
    <xf numFmtId="0" fontId="3" fillId="2" borderId="56" xfId="0" applyFont="1" applyFill="1" applyBorder="1" applyAlignment="1">
      <alignment horizontal="left" vertical="center"/>
    </xf>
    <xf numFmtId="0" fontId="3" fillId="2" borderId="57" xfId="0" applyFont="1" applyFill="1" applyBorder="1">
      <alignment vertical="center"/>
    </xf>
    <xf numFmtId="0" fontId="3" fillId="2" borderId="58" xfId="0" applyFont="1" applyFill="1" applyBorder="1">
      <alignment vertical="center"/>
    </xf>
    <xf numFmtId="0" fontId="3" fillId="2" borderId="59" xfId="0" applyFont="1" applyFill="1" applyBorder="1">
      <alignment vertical="center"/>
    </xf>
    <xf numFmtId="0" fontId="3" fillId="2" borderId="59" xfId="0" quotePrefix="1" applyFont="1" applyFill="1" applyBorder="1">
      <alignment vertical="center"/>
    </xf>
    <xf numFmtId="0" fontId="3" fillId="2" borderId="60" xfId="0" applyFont="1" applyFill="1" applyBorder="1">
      <alignment vertical="center"/>
    </xf>
    <xf numFmtId="0" fontId="3" fillId="2" borderId="61" xfId="0" applyFont="1" applyFill="1" applyBorder="1">
      <alignment vertical="center"/>
    </xf>
    <xf numFmtId="0" fontId="3" fillId="2" borderId="62" xfId="0" applyFont="1" applyFill="1" applyBorder="1">
      <alignment vertical="center"/>
    </xf>
    <xf numFmtId="0" fontId="3" fillId="2" borderId="63" xfId="0" applyFont="1" applyFill="1" applyBorder="1">
      <alignment vertical="center"/>
    </xf>
    <xf numFmtId="0" fontId="3" fillId="2" borderId="63" xfId="0" quotePrefix="1" applyFont="1" applyFill="1" applyBorder="1">
      <alignment vertical="center"/>
    </xf>
    <xf numFmtId="0" fontId="3" fillId="2" borderId="64" xfId="0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3" fillId="2" borderId="2" xfId="0" quotePrefix="1" applyFont="1" applyFill="1" applyBorder="1">
      <alignment vertical="center"/>
    </xf>
    <xf numFmtId="0" fontId="3" fillId="2" borderId="65" xfId="0" applyFont="1" applyFill="1" applyBorder="1">
      <alignment vertical="center"/>
    </xf>
    <xf numFmtId="0" fontId="3" fillId="2" borderId="10" xfId="0" applyFont="1" applyFill="1" applyBorder="1">
      <alignment vertical="center"/>
    </xf>
    <xf numFmtId="0" fontId="3" fillId="2" borderId="41" xfId="0" applyFont="1" applyFill="1" applyBorder="1">
      <alignment vertical="center"/>
    </xf>
    <xf numFmtId="0" fontId="3" fillId="2" borderId="10" xfId="0" quotePrefix="1" applyFont="1" applyFill="1" applyBorder="1">
      <alignment vertical="center"/>
    </xf>
    <xf numFmtId="0" fontId="3" fillId="2" borderId="66" xfId="0" applyFont="1" applyFill="1" applyBorder="1">
      <alignment vertical="center"/>
    </xf>
    <xf numFmtId="0" fontId="12" fillId="2" borderId="59" xfId="0" applyFont="1" applyFill="1" applyBorder="1">
      <alignment vertical="center"/>
    </xf>
    <xf numFmtId="0" fontId="13" fillId="2" borderId="2" xfId="0" applyFont="1" applyFill="1" applyBorder="1">
      <alignment vertical="center"/>
    </xf>
    <xf numFmtId="0" fontId="13" fillId="2" borderId="63" xfId="0" applyFont="1" applyFill="1" applyBorder="1">
      <alignment vertical="center"/>
    </xf>
    <xf numFmtId="0" fontId="12" fillId="2" borderId="0" xfId="0" applyFont="1" applyFill="1" applyBorder="1">
      <alignment vertical="center"/>
    </xf>
    <xf numFmtId="0" fontId="12" fillId="2" borderId="0" xfId="0" applyFont="1" applyFill="1" applyBorder="1" applyAlignment="1">
      <alignment horizontal="center" vertical="center"/>
    </xf>
    <xf numFmtId="0" fontId="12" fillId="2" borderId="63" xfId="0" applyFont="1" applyFill="1" applyBorder="1">
      <alignment vertical="center"/>
    </xf>
    <xf numFmtId="0" fontId="12" fillId="2" borderId="63" xfId="0" quotePrefix="1" applyFont="1" applyFill="1" applyBorder="1">
      <alignment vertical="center"/>
    </xf>
    <xf numFmtId="0" fontId="3" fillId="2" borderId="63" xfId="0" quotePrefix="1" applyFont="1" applyFill="1" applyBorder="1" applyAlignment="1">
      <alignment vertical="center"/>
    </xf>
    <xf numFmtId="0" fontId="3" fillId="2" borderId="67" xfId="0" applyFont="1" applyFill="1" applyBorder="1">
      <alignment vertical="center"/>
    </xf>
    <xf numFmtId="0" fontId="3" fillId="2" borderId="53" xfId="0" applyFont="1" applyFill="1" applyBorder="1">
      <alignment vertical="center"/>
    </xf>
    <xf numFmtId="0" fontId="3" fillId="2" borderId="54" xfId="0" applyFont="1" applyFill="1" applyBorder="1">
      <alignment vertical="center"/>
    </xf>
    <xf numFmtId="0" fontId="3" fillId="2" borderId="52" xfId="0" applyFont="1" applyFill="1" applyBorder="1">
      <alignment vertical="center"/>
    </xf>
    <xf numFmtId="0" fontId="3" fillId="2" borderId="68" xfId="0" applyFont="1" applyFill="1" applyBorder="1">
      <alignment vertical="center"/>
    </xf>
    <xf numFmtId="0" fontId="12" fillId="2" borderId="0" xfId="0" applyFont="1" applyFill="1">
      <alignment vertical="center"/>
    </xf>
    <xf numFmtId="0" fontId="3" fillId="2" borderId="69" xfId="0" applyFont="1" applyFill="1" applyBorder="1">
      <alignment vertical="center"/>
    </xf>
    <xf numFmtId="0" fontId="3" fillId="2" borderId="70" xfId="0" applyFont="1" applyFill="1" applyBorder="1">
      <alignment vertical="center"/>
    </xf>
    <xf numFmtId="0" fontId="3" fillId="2" borderId="71" xfId="0" applyFont="1" applyFill="1" applyBorder="1">
      <alignment vertical="center"/>
    </xf>
    <xf numFmtId="0" fontId="3" fillId="2" borderId="5" xfId="0" applyFont="1" applyFill="1" applyBorder="1">
      <alignment vertical="center"/>
    </xf>
    <xf numFmtId="0" fontId="3" fillId="2" borderId="5" xfId="0" quotePrefix="1" applyFont="1" applyFill="1" applyBorder="1">
      <alignment vertical="center"/>
    </xf>
    <xf numFmtId="0" fontId="3" fillId="2" borderId="72" xfId="0" applyFont="1" applyFill="1" applyBorder="1">
      <alignment vertical="center"/>
    </xf>
    <xf numFmtId="0" fontId="3" fillId="2" borderId="8" xfId="0" applyFont="1" applyFill="1" applyBorder="1">
      <alignment vertical="center"/>
    </xf>
    <xf numFmtId="0" fontId="3" fillId="2" borderId="44" xfId="0" applyFont="1" applyFill="1" applyBorder="1">
      <alignment vertical="center"/>
    </xf>
    <xf numFmtId="0" fontId="3" fillId="2" borderId="45" xfId="0" applyFont="1" applyFill="1" applyBorder="1">
      <alignment vertical="center"/>
    </xf>
    <xf numFmtId="0" fontId="3" fillId="2" borderId="46" xfId="0" applyFont="1" applyFill="1" applyBorder="1">
      <alignment vertical="center"/>
    </xf>
    <xf numFmtId="0" fontId="3" fillId="2" borderId="7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3" borderId="8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left" vertical="center"/>
    </xf>
    <xf numFmtId="0" fontId="3" fillId="5" borderId="21" xfId="0" applyFont="1" applyFill="1" applyBorder="1" applyAlignment="1">
      <alignment horizontal="center" vertical="center" wrapText="1"/>
    </xf>
    <xf numFmtId="0" fontId="3" fillId="5" borderId="22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/>
    </xf>
    <xf numFmtId="0" fontId="3" fillId="2" borderId="31" xfId="0" applyFont="1" applyFill="1" applyBorder="1" applyAlignment="1">
      <alignment horizontal="left" vertical="center"/>
    </xf>
    <xf numFmtId="3" fontId="3" fillId="2" borderId="5" xfId="0" applyNumberFormat="1" applyFont="1" applyFill="1" applyBorder="1" applyAlignment="1">
      <alignment horizontal="center" vertical="center"/>
    </xf>
    <xf numFmtId="14" fontId="3" fillId="2" borderId="51" xfId="0" applyNumberFormat="1" applyFont="1" applyFill="1" applyBorder="1" applyAlignment="1">
      <alignment horizontal="center" vertical="center" shrinkToFit="1"/>
    </xf>
    <xf numFmtId="0" fontId="3" fillId="2" borderId="51" xfId="0" applyFont="1" applyFill="1" applyBorder="1" applyAlignment="1">
      <alignment horizontal="center" vertical="center" shrinkToFit="1"/>
    </xf>
    <xf numFmtId="0" fontId="3" fillId="2" borderId="49" xfId="0" applyFont="1" applyFill="1" applyBorder="1" applyAlignment="1">
      <alignment horizontal="center" vertical="center" shrinkToFit="1"/>
    </xf>
    <xf numFmtId="0" fontId="3" fillId="2" borderId="55" xfId="0" applyFont="1" applyFill="1" applyBorder="1" applyAlignment="1">
      <alignment horizontal="center" vertical="center" shrinkToFit="1"/>
    </xf>
    <xf numFmtId="0" fontId="3" fillId="3" borderId="43" xfId="0" applyFont="1" applyFill="1" applyBorder="1" applyAlignment="1">
      <alignment horizontal="center" vertical="center"/>
    </xf>
    <xf numFmtId="0" fontId="3" fillId="3" borderId="47" xfId="0" applyFont="1" applyFill="1" applyBorder="1" applyAlignment="1">
      <alignment horizontal="center" vertical="center"/>
    </xf>
    <xf numFmtId="0" fontId="3" fillId="2" borderId="52" xfId="0" applyFont="1" applyFill="1" applyBorder="1" applyAlignment="1">
      <alignment horizontal="center" vertical="center" shrinkToFit="1"/>
    </xf>
    <xf numFmtId="0" fontId="3" fillId="2" borderId="53" xfId="0" applyFont="1" applyFill="1" applyBorder="1" applyAlignment="1">
      <alignment horizontal="center" vertical="center" shrinkToFit="1"/>
    </xf>
    <xf numFmtId="0" fontId="3" fillId="2" borderId="54" xfId="0" applyFont="1" applyFill="1" applyBorder="1" applyAlignment="1">
      <alignment horizontal="center" vertical="center" shrinkToFit="1"/>
    </xf>
    <xf numFmtId="0" fontId="3" fillId="3" borderId="42" xfId="0" applyFont="1" applyFill="1" applyBorder="1" applyAlignment="1">
      <alignment horizontal="center" vertical="center"/>
    </xf>
    <xf numFmtId="0" fontId="3" fillId="3" borderId="44" xfId="0" applyFont="1" applyFill="1" applyBorder="1" applyAlignment="1">
      <alignment horizontal="center" vertical="center"/>
    </xf>
    <xf numFmtId="0" fontId="3" fillId="3" borderId="45" xfId="0" applyFont="1" applyFill="1" applyBorder="1" applyAlignment="1">
      <alignment horizontal="center" vertical="center"/>
    </xf>
    <xf numFmtId="0" fontId="3" fillId="3" borderId="46" xfId="0" applyFont="1" applyFill="1" applyBorder="1" applyAlignment="1">
      <alignment horizontal="center" vertical="center"/>
    </xf>
    <xf numFmtId="0" fontId="3" fillId="2" borderId="48" xfId="0" applyFont="1" applyFill="1" applyBorder="1" applyAlignment="1">
      <alignment horizontal="center" vertical="center" shrinkToFit="1"/>
    </xf>
    <xf numFmtId="0" fontId="3" fillId="2" borderId="50" xfId="0" applyFont="1" applyFill="1" applyBorder="1" applyAlignment="1">
      <alignment horizontal="center" vertical="center" shrinkToFit="1"/>
    </xf>
    <xf numFmtId="0" fontId="11" fillId="0" borderId="5" xfId="2" applyFont="1" applyBorder="1" applyAlignment="1">
      <alignment horizontal="center" vertical="center" shrinkToFit="1"/>
    </xf>
    <xf numFmtId="0" fontId="11" fillId="0" borderId="7" xfId="2" applyFont="1" applyBorder="1" applyAlignment="1">
      <alignment horizontal="center" vertical="center" shrinkToFit="1"/>
    </xf>
  </cellXfs>
  <cellStyles count="4">
    <cellStyle name="桁区切り 2" xfId="3"/>
    <cellStyle name="標準" xfId="0" builtinId="0"/>
    <cellStyle name="標準 2" xfId="2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44824</xdr:colOff>
      <xdr:row>7</xdr:row>
      <xdr:rowOff>98611</xdr:rowOff>
    </xdr:from>
    <xdr:to>
      <xdr:col>58</xdr:col>
      <xdr:colOff>240285</xdr:colOff>
      <xdr:row>29</xdr:row>
      <xdr:rowOff>6360</xdr:rowOff>
    </xdr:to>
    <xdr:pic>
      <xdr:nvPicPr>
        <xdr:cNvPr id="8" name="図 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1318" y="1479176"/>
          <a:ext cx="15480285" cy="5430008"/>
        </a:xfrm>
        <a:prstGeom prst="rect">
          <a:avLst/>
        </a:prstGeom>
      </xdr:spPr>
    </xdr:pic>
    <xdr:clientData/>
  </xdr:twoCellAnchor>
  <xdr:twoCellAnchor>
    <xdr:from>
      <xdr:col>8</xdr:col>
      <xdr:colOff>80682</xdr:colOff>
      <xdr:row>10</xdr:row>
      <xdr:rowOff>242048</xdr:rowOff>
    </xdr:from>
    <xdr:to>
      <xdr:col>9</xdr:col>
      <xdr:colOff>143435</xdr:colOff>
      <xdr:row>12</xdr:row>
      <xdr:rowOff>62754</xdr:rowOff>
    </xdr:to>
    <xdr:sp macro="" textlink="">
      <xdr:nvSpPr>
        <xdr:cNvPr id="3" name="正方形/長方形 2"/>
        <xdr:cNvSpPr/>
      </xdr:nvSpPr>
      <xdr:spPr>
        <a:xfrm>
          <a:off x="2106706" y="2375648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34</xdr:col>
      <xdr:colOff>233083</xdr:colOff>
      <xdr:row>15</xdr:row>
      <xdr:rowOff>71718</xdr:rowOff>
    </xdr:from>
    <xdr:to>
      <xdr:col>36</xdr:col>
      <xdr:colOff>17929</xdr:colOff>
      <xdr:row>16</xdr:row>
      <xdr:rowOff>143436</xdr:rowOff>
    </xdr:to>
    <xdr:sp macro="" textlink="">
      <xdr:nvSpPr>
        <xdr:cNvPr id="5" name="正方形/長方形 4"/>
        <xdr:cNvSpPr/>
      </xdr:nvSpPr>
      <xdr:spPr>
        <a:xfrm>
          <a:off x="9484659" y="3460377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8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27</xdr:col>
      <xdr:colOff>215153</xdr:colOff>
      <xdr:row>15</xdr:row>
      <xdr:rowOff>80681</xdr:rowOff>
    </xdr:from>
    <xdr:to>
      <xdr:col>28</xdr:col>
      <xdr:colOff>277905</xdr:colOff>
      <xdr:row>16</xdr:row>
      <xdr:rowOff>134470</xdr:rowOff>
    </xdr:to>
    <xdr:sp macro="" textlink="">
      <xdr:nvSpPr>
        <xdr:cNvPr id="6" name="正方形/長方形 5"/>
        <xdr:cNvSpPr/>
      </xdr:nvSpPr>
      <xdr:spPr>
        <a:xfrm>
          <a:off x="7521388" y="3469340"/>
          <a:ext cx="340658" cy="304801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11</xdr:col>
      <xdr:colOff>0</xdr:colOff>
      <xdr:row>10</xdr:row>
      <xdr:rowOff>242048</xdr:rowOff>
    </xdr:from>
    <xdr:to>
      <xdr:col>12</xdr:col>
      <xdr:colOff>62752</xdr:colOff>
      <xdr:row>12</xdr:row>
      <xdr:rowOff>62754</xdr:rowOff>
    </xdr:to>
    <xdr:sp macro="" textlink="">
      <xdr:nvSpPr>
        <xdr:cNvPr id="7" name="正方形/長方形 6"/>
        <xdr:cNvSpPr/>
      </xdr:nvSpPr>
      <xdr:spPr>
        <a:xfrm>
          <a:off x="2859741" y="2375648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19</xdr:col>
      <xdr:colOff>170330</xdr:colOff>
      <xdr:row>15</xdr:row>
      <xdr:rowOff>80683</xdr:rowOff>
    </xdr:from>
    <xdr:to>
      <xdr:col>20</xdr:col>
      <xdr:colOff>233082</xdr:colOff>
      <xdr:row>16</xdr:row>
      <xdr:rowOff>152401</xdr:rowOff>
    </xdr:to>
    <xdr:sp macro="" textlink="">
      <xdr:nvSpPr>
        <xdr:cNvPr id="9" name="正方形/長方形 8"/>
        <xdr:cNvSpPr/>
      </xdr:nvSpPr>
      <xdr:spPr>
        <a:xfrm>
          <a:off x="5253318" y="3469342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8</xdr:col>
      <xdr:colOff>8964</xdr:colOff>
      <xdr:row>15</xdr:row>
      <xdr:rowOff>71719</xdr:rowOff>
    </xdr:from>
    <xdr:to>
      <xdr:col>9</xdr:col>
      <xdr:colOff>71717</xdr:colOff>
      <xdr:row>16</xdr:row>
      <xdr:rowOff>143437</xdr:rowOff>
    </xdr:to>
    <xdr:sp macro="" textlink="">
      <xdr:nvSpPr>
        <xdr:cNvPr id="10" name="正方形/長方形 9"/>
        <xdr:cNvSpPr/>
      </xdr:nvSpPr>
      <xdr:spPr>
        <a:xfrm>
          <a:off x="2034988" y="3460378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</xdr:col>
      <xdr:colOff>62753</xdr:colOff>
      <xdr:row>15</xdr:row>
      <xdr:rowOff>71719</xdr:rowOff>
    </xdr:from>
    <xdr:to>
      <xdr:col>6</xdr:col>
      <xdr:colOff>125505</xdr:colOff>
      <xdr:row>16</xdr:row>
      <xdr:rowOff>143437</xdr:rowOff>
    </xdr:to>
    <xdr:sp macro="" textlink="">
      <xdr:nvSpPr>
        <xdr:cNvPr id="11" name="正方形/長方形 10"/>
        <xdr:cNvSpPr/>
      </xdr:nvSpPr>
      <xdr:spPr>
        <a:xfrm>
          <a:off x="1255059" y="3460378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50</xdr:col>
      <xdr:colOff>26894</xdr:colOff>
      <xdr:row>11</xdr:row>
      <xdr:rowOff>26894</xdr:rowOff>
    </xdr:from>
    <xdr:to>
      <xdr:col>51</xdr:col>
      <xdr:colOff>89647</xdr:colOff>
      <xdr:row>12</xdr:row>
      <xdr:rowOff>98612</xdr:rowOff>
    </xdr:to>
    <xdr:sp macro="" textlink="">
      <xdr:nvSpPr>
        <xdr:cNvPr id="12" name="正方形/長方形 11"/>
        <xdr:cNvSpPr/>
      </xdr:nvSpPr>
      <xdr:spPr>
        <a:xfrm>
          <a:off x="13724965" y="2411506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41</xdr:col>
      <xdr:colOff>251012</xdr:colOff>
      <xdr:row>15</xdr:row>
      <xdr:rowOff>80683</xdr:rowOff>
    </xdr:from>
    <xdr:to>
      <xdr:col>43</xdr:col>
      <xdr:colOff>35859</xdr:colOff>
      <xdr:row>16</xdr:row>
      <xdr:rowOff>152401</xdr:rowOff>
    </xdr:to>
    <xdr:sp macro="" textlink="">
      <xdr:nvSpPr>
        <xdr:cNvPr id="13" name="正方形/長方形 12"/>
        <xdr:cNvSpPr/>
      </xdr:nvSpPr>
      <xdr:spPr>
        <a:xfrm>
          <a:off x="11447930" y="3469342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9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48</xdr:col>
      <xdr:colOff>268941</xdr:colOff>
      <xdr:row>15</xdr:row>
      <xdr:rowOff>80683</xdr:rowOff>
    </xdr:from>
    <xdr:to>
      <xdr:col>50</xdr:col>
      <xdr:colOff>53787</xdr:colOff>
      <xdr:row>16</xdr:row>
      <xdr:rowOff>152401</xdr:rowOff>
    </xdr:to>
    <xdr:sp macro="" textlink="">
      <xdr:nvSpPr>
        <xdr:cNvPr id="14" name="正方形/長方形 13"/>
        <xdr:cNvSpPr/>
      </xdr:nvSpPr>
      <xdr:spPr>
        <a:xfrm>
          <a:off x="13411200" y="3469342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429621</xdr:colOff>
      <xdr:row>45</xdr:row>
      <xdr:rowOff>29983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" y="228600"/>
          <a:ext cx="7135221" cy="100883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tabSelected="1" view="pageBreakPreview" topLeftCell="B1" zoomScaleNormal="100" zoomScaleSheetLayoutView="100" workbookViewId="0">
      <selection activeCell="B2" sqref="B2:G2"/>
    </sheetView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177" t="s">
        <v>0</v>
      </c>
      <c r="C2" s="160"/>
      <c r="D2" s="160"/>
      <c r="E2" s="160"/>
      <c r="F2" s="160"/>
      <c r="G2" s="160"/>
      <c r="H2" s="160" t="s">
        <v>17</v>
      </c>
      <c r="I2" s="160"/>
      <c r="J2" s="160"/>
      <c r="K2" s="160"/>
      <c r="L2" s="160" t="s">
        <v>148</v>
      </c>
      <c r="M2" s="160"/>
      <c r="N2" s="160"/>
      <c r="O2" s="160"/>
      <c r="P2" s="160"/>
      <c r="Q2" s="160"/>
      <c r="R2" s="160" t="s">
        <v>2</v>
      </c>
      <c r="S2" s="160"/>
      <c r="T2" s="160"/>
      <c r="U2" s="160"/>
      <c r="V2" s="160"/>
      <c r="W2" s="160"/>
      <c r="X2" s="172" t="s">
        <v>3</v>
      </c>
      <c r="Y2" s="173"/>
      <c r="Z2" s="173"/>
      <c r="AA2" s="173"/>
      <c r="AB2" s="173"/>
      <c r="AC2" s="173"/>
      <c r="AD2" s="173"/>
      <c r="AE2" s="173"/>
      <c r="AF2" s="173"/>
      <c r="AG2" s="173"/>
      <c r="AH2" s="173"/>
      <c r="AI2" s="173"/>
      <c r="AJ2" s="174"/>
      <c r="AK2" s="172" t="s">
        <v>31</v>
      </c>
      <c r="AL2" s="173"/>
      <c r="AM2" s="173"/>
      <c r="AN2" s="173"/>
      <c r="AO2" s="173"/>
      <c r="AP2" s="173"/>
      <c r="AQ2" s="173"/>
      <c r="AR2" s="173"/>
      <c r="AS2" s="173"/>
      <c r="AT2" s="173"/>
      <c r="AU2" s="173"/>
      <c r="AV2" s="173"/>
      <c r="AW2" s="174"/>
      <c r="AX2" s="160" t="s">
        <v>5</v>
      </c>
      <c r="AY2" s="160"/>
      <c r="AZ2" s="160"/>
      <c r="BA2" s="160"/>
      <c r="BB2" s="160" t="s">
        <v>4</v>
      </c>
      <c r="BC2" s="160"/>
      <c r="BD2" s="160"/>
      <c r="BE2" s="160"/>
      <c r="BF2" s="160" t="s">
        <v>6</v>
      </c>
      <c r="BG2" s="160"/>
      <c r="BH2" s="160"/>
      <c r="BI2" s="160"/>
      <c r="BJ2" s="160" t="s">
        <v>7</v>
      </c>
      <c r="BK2" s="160"/>
      <c r="BL2" s="160"/>
      <c r="BM2" s="161"/>
      <c r="BN2" s="14"/>
    </row>
    <row r="3" spans="1:66" ht="20.100000000000001" customHeight="1" x14ac:dyDescent="0.45">
      <c r="A3" s="8"/>
      <c r="B3" s="175" t="s">
        <v>149</v>
      </c>
      <c r="C3" s="163"/>
      <c r="D3" s="163"/>
      <c r="E3" s="163"/>
      <c r="F3" s="163"/>
      <c r="G3" s="163"/>
      <c r="H3" s="163" t="str">
        <f ca="1">LEFT($X$3,FIND("_",$X$3)-1)</f>
        <v>SS0600</v>
      </c>
      <c r="I3" s="163"/>
      <c r="J3" s="163"/>
      <c r="K3" s="163"/>
      <c r="L3" s="163" t="s">
        <v>150</v>
      </c>
      <c r="M3" s="163"/>
      <c r="N3" s="163"/>
      <c r="O3" s="163"/>
      <c r="P3" s="163"/>
      <c r="Q3" s="163"/>
      <c r="R3" s="176" t="str">
        <f ca="1">MID($X$3,FIND("_",$X$3,FIND("_",$X$3)+1)+1,LEN($X$3)-FIND("_",$X$3,FIND("_",$X$3)+1))</f>
        <v>帳票設計書</v>
      </c>
      <c r="S3" s="163"/>
      <c r="T3" s="163"/>
      <c r="U3" s="163"/>
      <c r="V3" s="163"/>
      <c r="W3" s="163"/>
      <c r="X3" s="166" t="str">
        <f ca="1">REPLACE(LEFT(CELL("filename",$B$2),FIND(".x",CELL("filename",$B$2))-1),1,FIND("[",CELL("filename",$B$2)),)</f>
        <v>SS0600_支払予定表_帳票設計書</v>
      </c>
      <c r="Y3" s="167"/>
      <c r="Z3" s="167"/>
      <c r="AA3" s="167"/>
      <c r="AB3" s="167"/>
      <c r="AC3" s="167"/>
      <c r="AD3" s="167"/>
      <c r="AE3" s="167"/>
      <c r="AF3" s="167"/>
      <c r="AG3" s="167"/>
      <c r="AH3" s="167"/>
      <c r="AI3" s="167"/>
      <c r="AJ3" s="168"/>
      <c r="AK3" s="166" t="str">
        <f ca="1">MID($X$3,FIND("_",$X$3)+1,FIND("_",$X$3,FIND("_",$X$3)+1)-FIND("_",$X$3)-1)</f>
        <v>支払予定表</v>
      </c>
      <c r="AL3" s="167"/>
      <c r="AM3" s="167"/>
      <c r="AN3" s="167"/>
      <c r="AO3" s="167"/>
      <c r="AP3" s="167"/>
      <c r="AQ3" s="167"/>
      <c r="AR3" s="167"/>
      <c r="AS3" s="167"/>
      <c r="AT3" s="167"/>
      <c r="AU3" s="167"/>
      <c r="AV3" s="167"/>
      <c r="AW3" s="168"/>
      <c r="AX3" s="162">
        <v>45581</v>
      </c>
      <c r="AY3" s="163"/>
      <c r="AZ3" s="163"/>
      <c r="BA3" s="163"/>
      <c r="BB3" s="163" t="s">
        <v>147</v>
      </c>
      <c r="BC3" s="163"/>
      <c r="BD3" s="163"/>
      <c r="BE3" s="163"/>
      <c r="BF3" s="162">
        <v>45581</v>
      </c>
      <c r="BG3" s="163"/>
      <c r="BH3" s="163"/>
      <c r="BI3" s="163"/>
      <c r="BJ3" s="163" t="s">
        <v>147</v>
      </c>
      <c r="BK3" s="163"/>
      <c r="BL3" s="163"/>
      <c r="BM3" s="165"/>
      <c r="BN3" s="14"/>
    </row>
    <row r="4" spans="1:66" ht="20.100000000000001" customHeight="1" thickBot="1" x14ac:dyDescent="0.5">
      <c r="A4" s="8"/>
      <c r="B4" s="168"/>
      <c r="C4" s="164"/>
      <c r="D4" s="164"/>
      <c r="E4" s="164"/>
      <c r="F4" s="164"/>
      <c r="G4" s="164"/>
      <c r="H4" s="164"/>
      <c r="I4" s="164"/>
      <c r="J4" s="164"/>
      <c r="K4" s="164"/>
      <c r="L4" s="164"/>
      <c r="M4" s="164"/>
      <c r="N4" s="164"/>
      <c r="O4" s="164"/>
      <c r="P4" s="164"/>
      <c r="Q4" s="164"/>
      <c r="R4" s="164"/>
      <c r="S4" s="164"/>
      <c r="T4" s="164"/>
      <c r="U4" s="164"/>
      <c r="V4" s="164"/>
      <c r="W4" s="164"/>
      <c r="X4" s="169"/>
      <c r="Y4" s="170"/>
      <c r="Z4" s="170"/>
      <c r="AA4" s="170"/>
      <c r="AB4" s="170"/>
      <c r="AC4" s="170"/>
      <c r="AD4" s="170"/>
      <c r="AE4" s="170"/>
      <c r="AF4" s="170"/>
      <c r="AG4" s="170"/>
      <c r="AH4" s="170"/>
      <c r="AI4" s="170"/>
      <c r="AJ4" s="171"/>
      <c r="AK4" s="169"/>
      <c r="AL4" s="170"/>
      <c r="AM4" s="170"/>
      <c r="AN4" s="170"/>
      <c r="AO4" s="170"/>
      <c r="AP4" s="170"/>
      <c r="AQ4" s="170"/>
      <c r="AR4" s="170"/>
      <c r="AS4" s="170"/>
      <c r="AT4" s="170"/>
      <c r="AU4" s="170"/>
      <c r="AV4" s="170"/>
      <c r="AW4" s="171"/>
      <c r="AX4" s="164"/>
      <c r="AY4" s="164"/>
      <c r="AZ4" s="164"/>
      <c r="BA4" s="164"/>
      <c r="BB4" s="164"/>
      <c r="BC4" s="164"/>
      <c r="BD4" s="164"/>
      <c r="BE4" s="164"/>
      <c r="BF4" s="164"/>
      <c r="BG4" s="164"/>
      <c r="BH4" s="164"/>
      <c r="BI4" s="164"/>
      <c r="BJ4" s="164"/>
      <c r="BK4" s="164"/>
      <c r="BL4" s="164"/>
      <c r="BM4" s="166"/>
      <c r="BN4" s="14"/>
    </row>
    <row r="5" spans="1:66" ht="5.25" customHeight="1" thickTop="1" thickBot="1" x14ac:dyDescent="0.5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7" t="s">
        <v>15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159" t="s">
        <v>8</v>
      </c>
      <c r="D8" s="159"/>
      <c r="E8" s="159"/>
      <c r="F8" s="159"/>
      <c r="G8" s="159" t="s">
        <v>9</v>
      </c>
      <c r="H8" s="159"/>
      <c r="I8" s="159"/>
      <c r="J8" s="159"/>
      <c r="K8" s="159" t="s">
        <v>10</v>
      </c>
      <c r="L8" s="159"/>
      <c r="M8" s="159"/>
      <c r="N8" s="159"/>
      <c r="O8" s="159" t="s">
        <v>11</v>
      </c>
      <c r="P8" s="159"/>
      <c r="Q8" s="159"/>
      <c r="R8" s="159"/>
      <c r="S8" s="159"/>
      <c r="T8" s="159"/>
      <c r="U8" s="159"/>
      <c r="V8" s="159"/>
      <c r="W8" s="159"/>
      <c r="X8" s="159"/>
      <c r="Y8" s="159" t="s">
        <v>12</v>
      </c>
      <c r="Z8" s="159"/>
      <c r="AA8" s="159"/>
      <c r="AB8" s="159"/>
      <c r="AC8" s="159"/>
      <c r="AD8" s="159"/>
      <c r="AE8" s="159"/>
      <c r="AF8" s="159"/>
      <c r="AG8" s="159"/>
      <c r="AH8" s="159"/>
      <c r="AI8" s="159"/>
      <c r="AJ8" s="159"/>
      <c r="AK8" s="159"/>
      <c r="AL8" s="159"/>
      <c r="AM8" s="159"/>
      <c r="AN8" s="159"/>
      <c r="AO8" s="159"/>
      <c r="AP8" s="159"/>
      <c r="AQ8" s="159"/>
      <c r="AR8" s="159"/>
      <c r="AS8" s="159"/>
      <c r="AT8" s="159"/>
      <c r="AU8" s="159"/>
      <c r="AV8" s="159"/>
      <c r="AW8" s="159"/>
      <c r="AX8" s="159"/>
      <c r="AY8" s="159"/>
      <c r="AZ8" s="159"/>
      <c r="BA8" s="159"/>
      <c r="BB8" s="159"/>
      <c r="BC8" s="159"/>
      <c r="BD8" s="159"/>
      <c r="BE8" s="159"/>
      <c r="BF8" s="159"/>
      <c r="BG8" s="159"/>
      <c r="BH8" s="159"/>
      <c r="BI8" s="159"/>
      <c r="BJ8" s="159"/>
      <c r="BK8" s="159"/>
      <c r="BL8" s="159"/>
      <c r="BM8" s="7"/>
      <c r="BN8" s="14"/>
    </row>
    <row r="9" spans="1:66" ht="20.100000000000001" customHeight="1" x14ac:dyDescent="0.45">
      <c r="A9" s="8"/>
      <c r="B9" s="7"/>
      <c r="C9" s="158">
        <v>45581</v>
      </c>
      <c r="D9" s="156"/>
      <c r="E9" s="156"/>
      <c r="F9" s="157"/>
      <c r="G9" s="152" t="s">
        <v>16</v>
      </c>
      <c r="H9" s="153"/>
      <c r="I9" s="153"/>
      <c r="J9" s="154"/>
      <c r="K9" s="155" t="s">
        <v>147</v>
      </c>
      <c r="L9" s="156"/>
      <c r="M9" s="156"/>
      <c r="N9" s="157"/>
      <c r="O9" s="3" t="s">
        <v>14</v>
      </c>
      <c r="P9" s="4"/>
      <c r="Q9" s="4"/>
      <c r="R9" s="4"/>
      <c r="S9" s="4"/>
      <c r="T9" s="4"/>
      <c r="U9" s="4"/>
      <c r="V9" s="4"/>
      <c r="W9" s="4"/>
      <c r="X9" s="2"/>
      <c r="Y9" s="3" t="s">
        <v>13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158"/>
      <c r="D10" s="156"/>
      <c r="E10" s="156"/>
      <c r="F10" s="157"/>
      <c r="G10" s="152"/>
      <c r="H10" s="153"/>
      <c r="I10" s="153"/>
      <c r="J10" s="154"/>
      <c r="K10" s="155"/>
      <c r="L10" s="156"/>
      <c r="M10" s="156"/>
      <c r="N10" s="157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158"/>
      <c r="D11" s="156"/>
      <c r="E11" s="156"/>
      <c r="F11" s="157"/>
      <c r="G11" s="152"/>
      <c r="H11" s="153"/>
      <c r="I11" s="153"/>
      <c r="J11" s="154"/>
      <c r="K11" s="155"/>
      <c r="L11" s="156"/>
      <c r="M11" s="156"/>
      <c r="N11" s="157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4"/>
      <c r="D12" s="22"/>
      <c r="E12" s="22"/>
      <c r="F12" s="23"/>
      <c r="G12" s="18"/>
      <c r="H12" s="19"/>
      <c r="I12" s="19"/>
      <c r="J12" s="20"/>
      <c r="K12" s="21"/>
      <c r="L12" s="22"/>
      <c r="M12" s="22"/>
      <c r="N12" s="23"/>
      <c r="O12" s="25"/>
      <c r="P12" s="4"/>
      <c r="Q12" s="4"/>
      <c r="R12" s="4"/>
      <c r="S12" s="4"/>
      <c r="T12" s="4"/>
      <c r="U12" s="4"/>
      <c r="V12" s="4"/>
      <c r="W12" s="4"/>
      <c r="X12" s="26"/>
      <c r="Y12" s="2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6"/>
      <c r="BM12" s="7"/>
      <c r="BN12" s="14"/>
    </row>
    <row r="13" spans="1:66" ht="20.100000000000001" customHeight="1" x14ac:dyDescent="0.45">
      <c r="A13" s="8"/>
      <c r="B13" s="7"/>
      <c r="C13" s="24"/>
      <c r="D13" s="22"/>
      <c r="E13" s="22"/>
      <c r="F13" s="23"/>
      <c r="G13" s="18"/>
      <c r="H13" s="19"/>
      <c r="I13" s="19"/>
      <c r="J13" s="20"/>
      <c r="K13" s="21"/>
      <c r="L13" s="22"/>
      <c r="M13" s="22"/>
      <c r="N13" s="23"/>
      <c r="O13" s="25"/>
      <c r="P13" s="4"/>
      <c r="Q13" s="4"/>
      <c r="R13" s="4"/>
      <c r="S13" s="4"/>
      <c r="T13" s="4"/>
      <c r="U13" s="4"/>
      <c r="V13" s="4"/>
      <c r="W13" s="4"/>
      <c r="X13" s="26"/>
      <c r="Y13" s="2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6"/>
      <c r="BM13" s="7"/>
      <c r="BN13" s="14"/>
    </row>
    <row r="14" spans="1:66" ht="20.100000000000001" customHeight="1" x14ac:dyDescent="0.45">
      <c r="A14" s="8"/>
      <c r="B14" s="7"/>
      <c r="C14" s="24"/>
      <c r="D14" s="22"/>
      <c r="E14" s="22"/>
      <c r="F14" s="23"/>
      <c r="G14" s="18"/>
      <c r="H14" s="19"/>
      <c r="I14" s="19"/>
      <c r="J14" s="20"/>
      <c r="K14" s="21"/>
      <c r="L14" s="22"/>
      <c r="M14" s="22"/>
      <c r="N14" s="23"/>
      <c r="O14" s="25"/>
      <c r="P14" s="4"/>
      <c r="Q14" s="4"/>
      <c r="R14" s="4"/>
      <c r="S14" s="4"/>
      <c r="T14" s="4"/>
      <c r="U14" s="4"/>
      <c r="V14" s="4"/>
      <c r="W14" s="4"/>
      <c r="X14" s="26"/>
      <c r="Y14" s="2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6"/>
      <c r="BM14" s="7"/>
      <c r="BN14" s="14"/>
    </row>
    <row r="15" spans="1:66" ht="20.100000000000001" customHeight="1" x14ac:dyDescent="0.45">
      <c r="A15" s="8"/>
      <c r="B15" s="7"/>
      <c r="C15" s="24"/>
      <c r="D15" s="22"/>
      <c r="E15" s="22"/>
      <c r="F15" s="23"/>
      <c r="G15" s="18"/>
      <c r="H15" s="19"/>
      <c r="I15" s="19"/>
      <c r="J15" s="20"/>
      <c r="K15" s="21"/>
      <c r="L15" s="22"/>
      <c r="M15" s="22"/>
      <c r="N15" s="23"/>
      <c r="O15" s="25"/>
      <c r="P15" s="4"/>
      <c r="Q15" s="4"/>
      <c r="R15" s="4"/>
      <c r="S15" s="4"/>
      <c r="T15" s="4"/>
      <c r="U15" s="4"/>
      <c r="V15" s="4"/>
      <c r="W15" s="4"/>
      <c r="X15" s="26"/>
      <c r="Y15" s="2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6"/>
      <c r="BM15" s="7"/>
      <c r="BN15" s="14"/>
    </row>
    <row r="16" spans="1:66" ht="20.100000000000001" customHeight="1" x14ac:dyDescent="0.45">
      <c r="A16" s="8"/>
      <c r="B16" s="7"/>
      <c r="C16" s="24"/>
      <c r="D16" s="22"/>
      <c r="E16" s="22"/>
      <c r="F16" s="23"/>
      <c r="G16" s="18"/>
      <c r="H16" s="19"/>
      <c r="I16" s="19"/>
      <c r="J16" s="20"/>
      <c r="K16" s="21"/>
      <c r="L16" s="22"/>
      <c r="M16" s="22"/>
      <c r="N16" s="23"/>
      <c r="O16" s="25"/>
      <c r="P16" s="4"/>
      <c r="Q16" s="4"/>
      <c r="R16" s="4"/>
      <c r="S16" s="4"/>
      <c r="T16" s="4"/>
      <c r="U16" s="4"/>
      <c r="V16" s="4"/>
      <c r="W16" s="4"/>
      <c r="X16" s="26"/>
      <c r="Y16" s="2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6"/>
      <c r="BM16" s="7"/>
      <c r="BN16" s="14"/>
    </row>
    <row r="17" spans="1:66" ht="20.100000000000001" customHeight="1" x14ac:dyDescent="0.45">
      <c r="A17" s="8"/>
      <c r="B17" s="7"/>
      <c r="C17" s="24"/>
      <c r="D17" s="22"/>
      <c r="E17" s="22"/>
      <c r="F17" s="23"/>
      <c r="G17" s="18"/>
      <c r="H17" s="19"/>
      <c r="I17" s="19"/>
      <c r="J17" s="20"/>
      <c r="K17" s="21"/>
      <c r="L17" s="22"/>
      <c r="M17" s="22"/>
      <c r="N17" s="23"/>
      <c r="O17" s="25"/>
      <c r="P17" s="4"/>
      <c r="Q17" s="4"/>
      <c r="R17" s="4"/>
      <c r="S17" s="4"/>
      <c r="T17" s="4"/>
      <c r="U17" s="4"/>
      <c r="V17" s="4"/>
      <c r="W17" s="4"/>
      <c r="X17" s="26"/>
      <c r="Y17" s="2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6"/>
      <c r="BM17" s="7"/>
      <c r="BN17" s="14"/>
    </row>
    <row r="18" spans="1:66" ht="20.100000000000001" customHeight="1" x14ac:dyDescent="0.45">
      <c r="A18" s="8"/>
      <c r="B18" s="7"/>
      <c r="C18" s="24"/>
      <c r="D18" s="22"/>
      <c r="E18" s="22"/>
      <c r="F18" s="23"/>
      <c r="G18" s="18"/>
      <c r="H18" s="19"/>
      <c r="I18" s="19"/>
      <c r="J18" s="20"/>
      <c r="K18" s="21"/>
      <c r="L18" s="22"/>
      <c r="M18" s="22"/>
      <c r="N18" s="23"/>
      <c r="O18" s="25"/>
      <c r="P18" s="4"/>
      <c r="Q18" s="4"/>
      <c r="R18" s="4"/>
      <c r="S18" s="4"/>
      <c r="T18" s="4"/>
      <c r="U18" s="4"/>
      <c r="V18" s="4"/>
      <c r="W18" s="4"/>
      <c r="X18" s="26"/>
      <c r="Y18" s="2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6"/>
      <c r="BM18" s="7"/>
      <c r="BN18" s="14"/>
    </row>
    <row r="19" spans="1:66" ht="20.100000000000001" customHeight="1" x14ac:dyDescent="0.45">
      <c r="A19" s="8"/>
      <c r="B19" s="7"/>
      <c r="C19" s="24"/>
      <c r="D19" s="22"/>
      <c r="E19" s="22"/>
      <c r="F19" s="23"/>
      <c r="G19" s="18"/>
      <c r="H19" s="19"/>
      <c r="I19" s="19"/>
      <c r="J19" s="20"/>
      <c r="K19" s="21"/>
      <c r="L19" s="22"/>
      <c r="M19" s="22"/>
      <c r="N19" s="23"/>
      <c r="O19" s="25"/>
      <c r="P19" s="4"/>
      <c r="Q19" s="4"/>
      <c r="R19" s="4"/>
      <c r="S19" s="4"/>
      <c r="T19" s="4"/>
      <c r="U19" s="4"/>
      <c r="V19" s="4"/>
      <c r="W19" s="4"/>
      <c r="X19" s="26"/>
      <c r="Y19" s="2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6"/>
      <c r="BM19" s="7"/>
      <c r="BN19" s="14"/>
    </row>
    <row r="20" spans="1:66" ht="20.100000000000001" customHeight="1" x14ac:dyDescent="0.45">
      <c r="A20" s="8"/>
      <c r="B20" s="7"/>
      <c r="C20" s="24"/>
      <c r="D20" s="22"/>
      <c r="E20" s="22"/>
      <c r="F20" s="23"/>
      <c r="G20" s="18"/>
      <c r="H20" s="19"/>
      <c r="I20" s="19"/>
      <c r="J20" s="20"/>
      <c r="K20" s="21"/>
      <c r="L20" s="22"/>
      <c r="M20" s="22"/>
      <c r="N20" s="23"/>
      <c r="O20" s="25"/>
      <c r="P20" s="4"/>
      <c r="Q20" s="4"/>
      <c r="R20" s="4"/>
      <c r="S20" s="4"/>
      <c r="T20" s="4"/>
      <c r="U20" s="4"/>
      <c r="V20" s="4"/>
      <c r="W20" s="4"/>
      <c r="X20" s="26"/>
      <c r="Y20" s="2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6"/>
      <c r="BM20" s="7"/>
      <c r="BN20" s="14"/>
    </row>
    <row r="21" spans="1:66" ht="20.100000000000001" customHeight="1" x14ac:dyDescent="0.45">
      <c r="A21" s="8"/>
      <c r="B21" s="7"/>
      <c r="C21" s="24"/>
      <c r="D21" s="22"/>
      <c r="E21" s="22"/>
      <c r="F21" s="23"/>
      <c r="G21" s="18"/>
      <c r="H21" s="19"/>
      <c r="I21" s="19"/>
      <c r="J21" s="20"/>
      <c r="K21" s="21"/>
      <c r="L21" s="22"/>
      <c r="M21" s="22"/>
      <c r="N21" s="23"/>
      <c r="O21" s="25"/>
      <c r="P21" s="4"/>
      <c r="Q21" s="4"/>
      <c r="R21" s="4"/>
      <c r="S21" s="4"/>
      <c r="T21" s="4"/>
      <c r="U21" s="4"/>
      <c r="V21" s="4"/>
      <c r="W21" s="4"/>
      <c r="X21" s="26"/>
      <c r="Y21" s="2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6"/>
      <c r="BM21" s="7"/>
      <c r="BN21" s="14"/>
    </row>
    <row r="22" spans="1:66" ht="20.100000000000001" customHeight="1" x14ac:dyDescent="0.45">
      <c r="A22" s="8"/>
      <c r="B22" s="7"/>
      <c r="C22" s="24"/>
      <c r="D22" s="22"/>
      <c r="E22" s="22"/>
      <c r="F22" s="23"/>
      <c r="G22" s="18"/>
      <c r="H22" s="19"/>
      <c r="I22" s="19"/>
      <c r="J22" s="20"/>
      <c r="K22" s="21"/>
      <c r="L22" s="22"/>
      <c r="M22" s="22"/>
      <c r="N22" s="23"/>
      <c r="O22" s="25"/>
      <c r="P22" s="4"/>
      <c r="Q22" s="4"/>
      <c r="R22" s="4"/>
      <c r="S22" s="4"/>
      <c r="T22" s="4"/>
      <c r="U22" s="4"/>
      <c r="V22" s="4"/>
      <c r="W22" s="4"/>
      <c r="X22" s="26"/>
      <c r="Y22" s="2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6"/>
      <c r="BM22" s="7"/>
      <c r="BN22" s="14"/>
    </row>
    <row r="23" spans="1:66" ht="20.100000000000001" customHeight="1" x14ac:dyDescent="0.45">
      <c r="A23" s="8"/>
      <c r="B23" s="7"/>
      <c r="C23" s="24"/>
      <c r="D23" s="22"/>
      <c r="E23" s="22"/>
      <c r="F23" s="23"/>
      <c r="G23" s="18"/>
      <c r="H23" s="19"/>
      <c r="I23" s="19"/>
      <c r="J23" s="20"/>
      <c r="K23" s="21"/>
      <c r="L23" s="22"/>
      <c r="M23" s="22"/>
      <c r="N23" s="23"/>
      <c r="O23" s="25"/>
      <c r="P23" s="4"/>
      <c r="Q23" s="4"/>
      <c r="R23" s="4"/>
      <c r="S23" s="4"/>
      <c r="T23" s="4"/>
      <c r="U23" s="4"/>
      <c r="V23" s="4"/>
      <c r="W23" s="4"/>
      <c r="X23" s="26"/>
      <c r="Y23" s="2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6"/>
      <c r="BM23" s="7"/>
      <c r="BN23" s="14"/>
    </row>
    <row r="24" spans="1:66" ht="20.100000000000001" customHeight="1" x14ac:dyDescent="0.45">
      <c r="A24" s="8"/>
      <c r="B24" s="7"/>
      <c r="C24" s="24"/>
      <c r="D24" s="22"/>
      <c r="E24" s="22"/>
      <c r="F24" s="23"/>
      <c r="G24" s="18"/>
      <c r="H24" s="19"/>
      <c r="I24" s="19"/>
      <c r="J24" s="20"/>
      <c r="K24" s="21"/>
      <c r="L24" s="22"/>
      <c r="M24" s="22"/>
      <c r="N24" s="23"/>
      <c r="O24" s="25"/>
      <c r="P24" s="4"/>
      <c r="Q24" s="4"/>
      <c r="R24" s="4"/>
      <c r="S24" s="4"/>
      <c r="T24" s="4"/>
      <c r="U24" s="4"/>
      <c r="V24" s="4"/>
      <c r="W24" s="4"/>
      <c r="X24" s="26"/>
      <c r="Y24" s="2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6"/>
      <c r="BM24" s="7"/>
      <c r="BN24" s="14"/>
    </row>
    <row r="25" spans="1:66" ht="20.100000000000001" customHeight="1" x14ac:dyDescent="0.45">
      <c r="A25" s="8"/>
      <c r="B25" s="7"/>
      <c r="C25" s="24"/>
      <c r="D25" s="22"/>
      <c r="E25" s="22"/>
      <c r="F25" s="23"/>
      <c r="G25" s="18"/>
      <c r="H25" s="19"/>
      <c r="I25" s="19"/>
      <c r="J25" s="20"/>
      <c r="K25" s="21"/>
      <c r="L25" s="22"/>
      <c r="M25" s="22"/>
      <c r="N25" s="23"/>
      <c r="O25" s="25"/>
      <c r="P25" s="4"/>
      <c r="Q25" s="4"/>
      <c r="R25" s="4"/>
      <c r="S25" s="4"/>
      <c r="T25" s="4"/>
      <c r="U25" s="4"/>
      <c r="V25" s="4"/>
      <c r="W25" s="4"/>
      <c r="X25" s="26"/>
      <c r="Y25" s="2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6"/>
      <c r="BM25" s="7"/>
      <c r="BN25" s="14"/>
    </row>
    <row r="26" spans="1:66" ht="20.100000000000001" customHeight="1" x14ac:dyDescent="0.45">
      <c r="A26" s="8"/>
      <c r="B26" s="7"/>
      <c r="C26" s="24"/>
      <c r="D26" s="22"/>
      <c r="E26" s="22"/>
      <c r="F26" s="23"/>
      <c r="G26" s="18"/>
      <c r="H26" s="19"/>
      <c r="I26" s="19"/>
      <c r="J26" s="20"/>
      <c r="K26" s="21"/>
      <c r="L26" s="22"/>
      <c r="M26" s="22"/>
      <c r="N26" s="23"/>
      <c r="O26" s="25"/>
      <c r="P26" s="4"/>
      <c r="Q26" s="4"/>
      <c r="R26" s="4"/>
      <c r="S26" s="4"/>
      <c r="T26" s="4"/>
      <c r="U26" s="4"/>
      <c r="V26" s="4"/>
      <c r="W26" s="4"/>
      <c r="X26" s="26"/>
      <c r="Y26" s="2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6"/>
      <c r="BM26" s="7"/>
      <c r="BN26" s="14"/>
    </row>
    <row r="27" spans="1:66" ht="20.100000000000001" customHeight="1" x14ac:dyDescent="0.45">
      <c r="A27" s="8"/>
      <c r="B27" s="7"/>
      <c r="C27" s="24"/>
      <c r="D27" s="22"/>
      <c r="E27" s="22"/>
      <c r="F27" s="23"/>
      <c r="G27" s="18"/>
      <c r="H27" s="19"/>
      <c r="I27" s="19"/>
      <c r="J27" s="20"/>
      <c r="K27" s="21"/>
      <c r="L27" s="22"/>
      <c r="M27" s="22"/>
      <c r="N27" s="23"/>
      <c r="O27" s="25"/>
      <c r="P27" s="4"/>
      <c r="Q27" s="4"/>
      <c r="R27" s="4"/>
      <c r="S27" s="4"/>
      <c r="T27" s="4"/>
      <c r="U27" s="4"/>
      <c r="V27" s="4"/>
      <c r="W27" s="4"/>
      <c r="X27" s="26"/>
      <c r="Y27" s="2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6"/>
      <c r="BM27" s="7"/>
      <c r="BN27" s="14"/>
    </row>
    <row r="28" spans="1:66" ht="20.100000000000001" customHeight="1" x14ac:dyDescent="0.45">
      <c r="A28" s="8"/>
      <c r="B28" s="7"/>
      <c r="C28" s="24"/>
      <c r="D28" s="22"/>
      <c r="E28" s="22"/>
      <c r="F28" s="23"/>
      <c r="G28" s="18"/>
      <c r="H28" s="19"/>
      <c r="I28" s="19"/>
      <c r="J28" s="20"/>
      <c r="K28" s="21"/>
      <c r="L28" s="22"/>
      <c r="M28" s="22"/>
      <c r="N28" s="23"/>
      <c r="O28" s="25"/>
      <c r="P28" s="4"/>
      <c r="Q28" s="4"/>
      <c r="R28" s="4"/>
      <c r="S28" s="4"/>
      <c r="T28" s="4"/>
      <c r="U28" s="4"/>
      <c r="V28" s="4"/>
      <c r="W28" s="4"/>
      <c r="X28" s="26"/>
      <c r="Y28" s="2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6"/>
      <c r="BM28" s="7"/>
      <c r="BN28" s="14"/>
    </row>
    <row r="29" spans="1:66" ht="20.100000000000001" customHeight="1" x14ac:dyDescent="0.45">
      <c r="A29" s="8"/>
      <c r="B29" s="7"/>
      <c r="C29" s="24"/>
      <c r="D29" s="22"/>
      <c r="E29" s="22"/>
      <c r="F29" s="23"/>
      <c r="G29" s="18"/>
      <c r="H29" s="19"/>
      <c r="I29" s="19"/>
      <c r="J29" s="20"/>
      <c r="K29" s="21"/>
      <c r="L29" s="22"/>
      <c r="M29" s="22"/>
      <c r="N29" s="23"/>
      <c r="O29" s="25"/>
      <c r="P29" s="4"/>
      <c r="Q29" s="4"/>
      <c r="R29" s="4"/>
      <c r="S29" s="4"/>
      <c r="T29" s="4"/>
      <c r="U29" s="4"/>
      <c r="V29" s="4"/>
      <c r="W29" s="4"/>
      <c r="X29" s="26"/>
      <c r="Y29" s="2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6"/>
      <c r="BM29" s="7"/>
      <c r="BN29" s="14"/>
    </row>
    <row r="30" spans="1:66" ht="20.100000000000001" customHeight="1" x14ac:dyDescent="0.45">
      <c r="A30" s="8"/>
      <c r="B30" s="7"/>
      <c r="C30" s="24"/>
      <c r="D30" s="22"/>
      <c r="E30" s="22"/>
      <c r="F30" s="23"/>
      <c r="G30" s="18"/>
      <c r="H30" s="19"/>
      <c r="I30" s="19"/>
      <c r="J30" s="20"/>
      <c r="K30" s="21"/>
      <c r="L30" s="22"/>
      <c r="M30" s="22"/>
      <c r="N30" s="23"/>
      <c r="O30" s="25"/>
      <c r="P30" s="4"/>
      <c r="Q30" s="4"/>
      <c r="R30" s="4"/>
      <c r="S30" s="4"/>
      <c r="T30" s="4"/>
      <c r="U30" s="4"/>
      <c r="V30" s="4"/>
      <c r="W30" s="4"/>
      <c r="X30" s="26"/>
      <c r="Y30" s="2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6"/>
      <c r="BM30" s="7"/>
      <c r="BN30" s="14"/>
    </row>
    <row r="31" spans="1:66" ht="20.100000000000001" customHeight="1" x14ac:dyDescent="0.45">
      <c r="A31" s="8"/>
      <c r="B31" s="7"/>
      <c r="C31" s="24"/>
      <c r="D31" s="22"/>
      <c r="E31" s="22"/>
      <c r="F31" s="23"/>
      <c r="G31" s="18"/>
      <c r="H31" s="19"/>
      <c r="I31" s="19"/>
      <c r="J31" s="20"/>
      <c r="K31" s="21"/>
      <c r="L31" s="22"/>
      <c r="M31" s="22"/>
      <c r="N31" s="23"/>
      <c r="O31" s="25"/>
      <c r="P31" s="4"/>
      <c r="Q31" s="4"/>
      <c r="R31" s="4"/>
      <c r="S31" s="4"/>
      <c r="T31" s="4"/>
      <c r="U31" s="4"/>
      <c r="V31" s="4"/>
      <c r="W31" s="4"/>
      <c r="X31" s="26"/>
      <c r="Y31" s="25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6"/>
      <c r="BM31" s="7"/>
      <c r="BN31" s="14"/>
    </row>
    <row r="32" spans="1:66" ht="20.100000000000001" customHeight="1" x14ac:dyDescent="0.45">
      <c r="A32" s="8"/>
      <c r="B32" s="7"/>
      <c r="C32" s="24"/>
      <c r="D32" s="22"/>
      <c r="E32" s="22"/>
      <c r="F32" s="23"/>
      <c r="G32" s="18"/>
      <c r="H32" s="19"/>
      <c r="I32" s="19"/>
      <c r="J32" s="20"/>
      <c r="K32" s="21"/>
      <c r="L32" s="22"/>
      <c r="M32" s="22"/>
      <c r="N32" s="23"/>
      <c r="O32" s="25"/>
      <c r="P32" s="4"/>
      <c r="Q32" s="4"/>
      <c r="R32" s="4"/>
      <c r="S32" s="4"/>
      <c r="T32" s="4"/>
      <c r="U32" s="4"/>
      <c r="V32" s="4"/>
      <c r="W32" s="4"/>
      <c r="X32" s="26"/>
      <c r="Y32" s="25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6"/>
      <c r="BM32" s="7"/>
      <c r="BN32" s="14"/>
    </row>
    <row r="33" spans="1:66" ht="20.100000000000001" customHeight="1" x14ac:dyDescent="0.45">
      <c r="A33" s="8"/>
      <c r="B33" s="7"/>
      <c r="C33" s="24"/>
      <c r="D33" s="22"/>
      <c r="E33" s="22"/>
      <c r="F33" s="23"/>
      <c r="G33" s="18"/>
      <c r="H33" s="19"/>
      <c r="I33" s="19"/>
      <c r="J33" s="20"/>
      <c r="K33" s="21"/>
      <c r="L33" s="22"/>
      <c r="M33" s="22"/>
      <c r="N33" s="23"/>
      <c r="O33" s="25"/>
      <c r="P33" s="4"/>
      <c r="Q33" s="4"/>
      <c r="R33" s="4"/>
      <c r="S33" s="4"/>
      <c r="T33" s="4"/>
      <c r="U33" s="4"/>
      <c r="V33" s="4"/>
      <c r="W33" s="4"/>
      <c r="X33" s="26"/>
      <c r="Y33" s="2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6"/>
      <c r="BM33" s="7"/>
      <c r="BN33" s="14"/>
    </row>
    <row r="34" spans="1:66" ht="20.100000000000001" customHeight="1" x14ac:dyDescent="0.45">
      <c r="A34" s="8"/>
      <c r="B34" s="7"/>
      <c r="C34" s="24"/>
      <c r="D34" s="22"/>
      <c r="E34" s="22"/>
      <c r="F34" s="23"/>
      <c r="G34" s="18"/>
      <c r="H34" s="19"/>
      <c r="I34" s="19"/>
      <c r="J34" s="20"/>
      <c r="K34" s="21"/>
      <c r="L34" s="22"/>
      <c r="M34" s="22"/>
      <c r="N34" s="23"/>
      <c r="O34" s="25"/>
      <c r="P34" s="4"/>
      <c r="Q34" s="4"/>
      <c r="R34" s="4"/>
      <c r="S34" s="4"/>
      <c r="T34" s="4"/>
      <c r="U34" s="4"/>
      <c r="V34" s="4"/>
      <c r="W34" s="4"/>
      <c r="X34" s="26"/>
      <c r="Y34" s="25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6"/>
      <c r="BM34" s="7"/>
      <c r="BN34" s="14"/>
    </row>
    <row r="35" spans="1:66" ht="20.100000000000001" customHeight="1" x14ac:dyDescent="0.45">
      <c r="A35" s="8"/>
      <c r="B35" s="7"/>
      <c r="C35" s="24"/>
      <c r="D35" s="22"/>
      <c r="E35" s="22"/>
      <c r="F35" s="23"/>
      <c r="G35" s="18"/>
      <c r="H35" s="19"/>
      <c r="I35" s="19"/>
      <c r="J35" s="20"/>
      <c r="K35" s="21"/>
      <c r="L35" s="22"/>
      <c r="M35" s="22"/>
      <c r="N35" s="23"/>
      <c r="O35" s="25"/>
      <c r="P35" s="4"/>
      <c r="Q35" s="4"/>
      <c r="R35" s="4"/>
      <c r="S35" s="4"/>
      <c r="T35" s="4"/>
      <c r="U35" s="4"/>
      <c r="V35" s="4"/>
      <c r="W35" s="4"/>
      <c r="X35" s="26"/>
      <c r="Y35" s="25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6"/>
      <c r="BM35" s="7"/>
      <c r="BN35" s="14"/>
    </row>
    <row r="36" spans="1:66" ht="20.100000000000001" customHeight="1" x14ac:dyDescent="0.45">
      <c r="A36" s="8"/>
      <c r="B36" s="7"/>
      <c r="C36" s="158"/>
      <c r="D36" s="156"/>
      <c r="E36" s="156"/>
      <c r="F36" s="157"/>
      <c r="G36" s="152"/>
      <c r="H36" s="153"/>
      <c r="I36" s="153"/>
      <c r="J36" s="154"/>
      <c r="K36" s="155"/>
      <c r="L36" s="156"/>
      <c r="M36" s="156"/>
      <c r="N36" s="157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158"/>
      <c r="D37" s="156"/>
      <c r="E37" s="156"/>
      <c r="F37" s="157"/>
      <c r="G37" s="152"/>
      <c r="H37" s="153"/>
      <c r="I37" s="153"/>
      <c r="J37" s="154"/>
      <c r="K37" s="155"/>
      <c r="L37" s="156"/>
      <c r="M37" s="156"/>
      <c r="N37" s="157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158"/>
      <c r="D38" s="156"/>
      <c r="E38" s="156"/>
      <c r="F38" s="157"/>
      <c r="G38" s="152"/>
      <c r="H38" s="153"/>
      <c r="I38" s="153"/>
      <c r="J38" s="154"/>
      <c r="K38" s="155"/>
      <c r="L38" s="156"/>
      <c r="M38" s="156"/>
      <c r="N38" s="157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158"/>
      <c r="D39" s="156"/>
      <c r="E39" s="156"/>
      <c r="F39" s="157"/>
      <c r="G39" s="152"/>
      <c r="H39" s="153"/>
      <c r="I39" s="153"/>
      <c r="J39" s="154"/>
      <c r="K39" s="155"/>
      <c r="L39" s="156"/>
      <c r="M39" s="156"/>
      <c r="N39" s="157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158"/>
      <c r="D40" s="156"/>
      <c r="E40" s="156"/>
      <c r="F40" s="157"/>
      <c r="G40" s="152"/>
      <c r="H40" s="153"/>
      <c r="I40" s="153"/>
      <c r="J40" s="154"/>
      <c r="K40" s="155"/>
      <c r="L40" s="156"/>
      <c r="M40" s="156"/>
      <c r="N40" s="157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158"/>
      <c r="D41" s="156"/>
      <c r="E41" s="156"/>
      <c r="F41" s="157"/>
      <c r="G41" s="152"/>
      <c r="H41" s="153"/>
      <c r="I41" s="153"/>
      <c r="J41" s="154"/>
      <c r="K41" s="155"/>
      <c r="L41" s="156"/>
      <c r="M41" s="156"/>
      <c r="N41" s="157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158"/>
      <c r="D42" s="156"/>
      <c r="E42" s="156"/>
      <c r="F42" s="157"/>
      <c r="G42" s="152"/>
      <c r="H42" s="153"/>
      <c r="I42" s="153"/>
      <c r="J42" s="154"/>
      <c r="K42" s="155"/>
      <c r="L42" s="156"/>
      <c r="M42" s="156"/>
      <c r="N42" s="157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158"/>
      <c r="D43" s="156"/>
      <c r="E43" s="156"/>
      <c r="F43" s="157"/>
      <c r="G43" s="152"/>
      <c r="H43" s="153"/>
      <c r="I43" s="153"/>
      <c r="J43" s="154"/>
      <c r="K43" s="155"/>
      <c r="L43" s="156"/>
      <c r="M43" s="156"/>
      <c r="N43" s="157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158"/>
      <c r="D44" s="156"/>
      <c r="E44" s="156"/>
      <c r="F44" s="157"/>
      <c r="G44" s="152"/>
      <c r="H44" s="153"/>
      <c r="I44" s="153"/>
      <c r="J44" s="154"/>
      <c r="K44" s="155"/>
      <c r="L44" s="156"/>
      <c r="M44" s="156"/>
      <c r="N44" s="157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158"/>
      <c r="D45" s="156"/>
      <c r="E45" s="156"/>
      <c r="F45" s="157"/>
      <c r="G45" s="152"/>
      <c r="H45" s="153"/>
      <c r="I45" s="153"/>
      <c r="J45" s="154"/>
      <c r="K45" s="155"/>
      <c r="L45" s="156"/>
      <c r="M45" s="156"/>
      <c r="N45" s="157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158"/>
      <c r="D46" s="156"/>
      <c r="E46" s="156"/>
      <c r="F46" s="157"/>
      <c r="G46" s="152"/>
      <c r="H46" s="153"/>
      <c r="I46" s="153"/>
      <c r="J46" s="154"/>
      <c r="K46" s="155"/>
      <c r="L46" s="156"/>
      <c r="M46" s="156"/>
      <c r="N46" s="157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158"/>
      <c r="D47" s="156"/>
      <c r="E47" s="156"/>
      <c r="F47" s="157"/>
      <c r="G47" s="152"/>
      <c r="H47" s="153"/>
      <c r="I47" s="153"/>
      <c r="J47" s="154"/>
      <c r="K47" s="155"/>
      <c r="L47" s="156"/>
      <c r="M47" s="156"/>
      <c r="N47" s="157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C9:F9"/>
    <mergeCell ref="G9:J9"/>
    <mergeCell ref="K9:N9"/>
    <mergeCell ref="C8:F8"/>
    <mergeCell ref="G8:J8"/>
    <mergeCell ref="K8:N8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6:F46"/>
    <mergeCell ref="G46:J46"/>
    <mergeCell ref="K46:N46"/>
    <mergeCell ref="C47:F47"/>
    <mergeCell ref="G47:J47"/>
    <mergeCell ref="K47:N47"/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N32"/>
  <sheetViews>
    <sheetView showGridLines="0" view="pageBreakPreview" zoomScaleNormal="100" zoomScaleSheetLayoutView="100" workbookViewId="0">
      <selection activeCell="L2" sqref="L2:Q2"/>
    </sheetView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</row>
    <row r="2" spans="1:66" ht="20.100000000000001" customHeight="1" thickTop="1" x14ac:dyDescent="0.45">
      <c r="A2" s="32"/>
      <c r="B2" s="177" t="s">
        <v>0</v>
      </c>
      <c r="C2" s="160"/>
      <c r="D2" s="160"/>
      <c r="E2" s="160"/>
      <c r="F2" s="160"/>
      <c r="G2" s="160"/>
      <c r="H2" s="160" t="s">
        <v>17</v>
      </c>
      <c r="I2" s="160"/>
      <c r="J2" s="160"/>
      <c r="K2" s="160"/>
      <c r="L2" s="160" t="s">
        <v>148</v>
      </c>
      <c r="M2" s="160"/>
      <c r="N2" s="160"/>
      <c r="O2" s="160"/>
      <c r="P2" s="160"/>
      <c r="Q2" s="160"/>
      <c r="R2" s="160" t="s">
        <v>2</v>
      </c>
      <c r="S2" s="160"/>
      <c r="T2" s="160"/>
      <c r="U2" s="160"/>
      <c r="V2" s="160"/>
      <c r="W2" s="160"/>
      <c r="X2" s="172" t="s">
        <v>3</v>
      </c>
      <c r="Y2" s="173"/>
      <c r="Z2" s="173"/>
      <c r="AA2" s="173"/>
      <c r="AB2" s="173"/>
      <c r="AC2" s="173"/>
      <c r="AD2" s="173"/>
      <c r="AE2" s="173"/>
      <c r="AF2" s="173"/>
      <c r="AG2" s="173"/>
      <c r="AH2" s="173"/>
      <c r="AI2" s="173"/>
      <c r="AJ2" s="174"/>
      <c r="AK2" s="172" t="s">
        <v>32</v>
      </c>
      <c r="AL2" s="173"/>
      <c r="AM2" s="173"/>
      <c r="AN2" s="173"/>
      <c r="AO2" s="173"/>
      <c r="AP2" s="173"/>
      <c r="AQ2" s="173"/>
      <c r="AR2" s="173"/>
      <c r="AS2" s="173"/>
      <c r="AT2" s="173"/>
      <c r="AU2" s="173"/>
      <c r="AV2" s="173"/>
      <c r="AW2" s="174"/>
      <c r="AX2" s="160" t="s">
        <v>5</v>
      </c>
      <c r="AY2" s="160"/>
      <c r="AZ2" s="160"/>
      <c r="BA2" s="160"/>
      <c r="BB2" s="160" t="s">
        <v>4</v>
      </c>
      <c r="BC2" s="160"/>
      <c r="BD2" s="160"/>
      <c r="BE2" s="160"/>
      <c r="BF2" s="160" t="s">
        <v>6</v>
      </c>
      <c r="BG2" s="160"/>
      <c r="BH2" s="160"/>
      <c r="BI2" s="160"/>
      <c r="BJ2" s="160" t="s">
        <v>7</v>
      </c>
      <c r="BK2" s="160"/>
      <c r="BL2" s="160"/>
      <c r="BM2" s="161"/>
      <c r="BN2" s="35"/>
    </row>
    <row r="3" spans="1:66" ht="20.100000000000001" customHeight="1" x14ac:dyDescent="0.45">
      <c r="A3" s="32"/>
      <c r="B3" s="175" t="str">
        <f>変更履歴!B3</f>
        <v>受発注</v>
      </c>
      <c r="C3" s="163"/>
      <c r="D3" s="163"/>
      <c r="E3" s="163"/>
      <c r="F3" s="163"/>
      <c r="G3" s="163"/>
      <c r="H3" s="163" t="str">
        <f ca="1">変更履歴!H3</f>
        <v>SS0600</v>
      </c>
      <c r="I3" s="163"/>
      <c r="J3" s="163"/>
      <c r="K3" s="163"/>
      <c r="L3" s="163" t="str">
        <f>変更履歴!L3</f>
        <v>受発注</v>
      </c>
      <c r="M3" s="163"/>
      <c r="N3" s="163"/>
      <c r="O3" s="163"/>
      <c r="P3" s="163"/>
      <c r="Q3" s="163"/>
      <c r="R3" s="163" t="str">
        <f ca="1">変更履歴!R3</f>
        <v>帳票設計書</v>
      </c>
      <c r="S3" s="163"/>
      <c r="T3" s="163"/>
      <c r="U3" s="163"/>
      <c r="V3" s="163"/>
      <c r="W3" s="163"/>
      <c r="X3" s="166" t="str">
        <f ca="1">変更履歴!X3</f>
        <v>SS0600_支払予定表_帳票設計書</v>
      </c>
      <c r="Y3" s="167"/>
      <c r="Z3" s="167"/>
      <c r="AA3" s="167"/>
      <c r="AB3" s="167"/>
      <c r="AC3" s="167"/>
      <c r="AD3" s="167"/>
      <c r="AE3" s="167"/>
      <c r="AF3" s="167"/>
      <c r="AG3" s="167"/>
      <c r="AH3" s="167"/>
      <c r="AI3" s="167"/>
      <c r="AJ3" s="168"/>
      <c r="AK3" s="166" t="str">
        <f ca="1">変更履歴!AK3</f>
        <v>支払予定表</v>
      </c>
      <c r="AL3" s="167"/>
      <c r="AM3" s="167"/>
      <c r="AN3" s="167"/>
      <c r="AO3" s="167"/>
      <c r="AP3" s="167"/>
      <c r="AQ3" s="167"/>
      <c r="AR3" s="167"/>
      <c r="AS3" s="167"/>
      <c r="AT3" s="167"/>
      <c r="AU3" s="167"/>
      <c r="AV3" s="167"/>
      <c r="AW3" s="168"/>
      <c r="AX3" s="162">
        <f>変更履歴!AX3</f>
        <v>45581</v>
      </c>
      <c r="AY3" s="162"/>
      <c r="AZ3" s="162"/>
      <c r="BA3" s="162"/>
      <c r="BB3" s="163" t="str">
        <f>変更履歴!BB3</f>
        <v>大谷</v>
      </c>
      <c r="BC3" s="163"/>
      <c r="BD3" s="163"/>
      <c r="BE3" s="163"/>
      <c r="BF3" s="162">
        <f>変更履歴!BF3</f>
        <v>45581</v>
      </c>
      <c r="BG3" s="162"/>
      <c r="BH3" s="162"/>
      <c r="BI3" s="162"/>
      <c r="BJ3" s="163" t="str">
        <f>変更履歴!BJ3</f>
        <v>大谷</v>
      </c>
      <c r="BK3" s="163"/>
      <c r="BL3" s="163"/>
      <c r="BM3" s="165"/>
      <c r="BN3" s="35"/>
    </row>
    <row r="4" spans="1:66" ht="20.100000000000001" customHeight="1" thickBot="1" x14ac:dyDescent="0.5">
      <c r="A4" s="32"/>
      <c r="B4" s="168"/>
      <c r="C4" s="164"/>
      <c r="D4" s="164"/>
      <c r="E4" s="164"/>
      <c r="F4" s="164"/>
      <c r="G4" s="164"/>
      <c r="H4" s="164"/>
      <c r="I4" s="164"/>
      <c r="J4" s="164"/>
      <c r="K4" s="164"/>
      <c r="L4" s="164"/>
      <c r="M4" s="164"/>
      <c r="N4" s="164"/>
      <c r="O4" s="164"/>
      <c r="P4" s="164"/>
      <c r="Q4" s="164"/>
      <c r="R4" s="164"/>
      <c r="S4" s="164"/>
      <c r="T4" s="164"/>
      <c r="U4" s="164"/>
      <c r="V4" s="164"/>
      <c r="W4" s="164"/>
      <c r="X4" s="169"/>
      <c r="Y4" s="170"/>
      <c r="Z4" s="170"/>
      <c r="AA4" s="170"/>
      <c r="AB4" s="170"/>
      <c r="AC4" s="170"/>
      <c r="AD4" s="170"/>
      <c r="AE4" s="170"/>
      <c r="AF4" s="170"/>
      <c r="AG4" s="170"/>
      <c r="AH4" s="170"/>
      <c r="AI4" s="170"/>
      <c r="AJ4" s="171"/>
      <c r="AK4" s="169"/>
      <c r="AL4" s="170"/>
      <c r="AM4" s="170"/>
      <c r="AN4" s="170"/>
      <c r="AO4" s="170"/>
      <c r="AP4" s="170"/>
      <c r="AQ4" s="170"/>
      <c r="AR4" s="170"/>
      <c r="AS4" s="170"/>
      <c r="AT4" s="170"/>
      <c r="AU4" s="170"/>
      <c r="AV4" s="170"/>
      <c r="AW4" s="171"/>
      <c r="AX4" s="178"/>
      <c r="AY4" s="178"/>
      <c r="AZ4" s="178"/>
      <c r="BA4" s="178"/>
      <c r="BB4" s="164"/>
      <c r="BC4" s="164"/>
      <c r="BD4" s="164"/>
      <c r="BE4" s="164"/>
      <c r="BF4" s="178"/>
      <c r="BG4" s="178"/>
      <c r="BH4" s="178"/>
      <c r="BI4" s="178"/>
      <c r="BJ4" s="164"/>
      <c r="BK4" s="164"/>
      <c r="BL4" s="164"/>
      <c r="BM4" s="166"/>
      <c r="BN4" s="35"/>
    </row>
    <row r="5" spans="1:66" ht="5.25" customHeight="1" thickTop="1" thickBot="1" x14ac:dyDescent="0.5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</row>
    <row r="6" spans="1:66" ht="20.100000000000001" customHeight="1" thickTop="1" thickBot="1" x14ac:dyDescent="0.5">
      <c r="A6" s="32"/>
      <c r="B6" s="31"/>
      <c r="C6" s="31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31"/>
      <c r="BK6" s="31"/>
      <c r="BL6" s="31"/>
      <c r="BM6" s="31"/>
      <c r="BN6" s="35"/>
    </row>
    <row r="7" spans="1:66" ht="20.100000000000001" customHeight="1" thickTop="1" x14ac:dyDescent="0.45">
      <c r="A7" s="32"/>
      <c r="B7" s="31"/>
      <c r="C7" s="32"/>
      <c r="D7" s="66" t="s">
        <v>22</v>
      </c>
      <c r="E7" s="47"/>
      <c r="F7" s="47"/>
      <c r="G7" s="67"/>
      <c r="H7" s="48" t="str">
        <f ca="1">AK3</f>
        <v>支払予定表</v>
      </c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51"/>
      <c r="AJ7" s="51"/>
      <c r="AK7" s="51"/>
      <c r="AL7" s="51"/>
      <c r="AM7" s="51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9"/>
      <c r="BF7" s="49"/>
      <c r="BG7" s="49"/>
      <c r="BH7" s="49"/>
      <c r="BI7" s="49"/>
      <c r="BJ7" s="35"/>
      <c r="BK7" s="31"/>
      <c r="BL7" s="31"/>
      <c r="BM7" s="31"/>
      <c r="BN7" s="35"/>
    </row>
    <row r="8" spans="1:66" ht="20.100000000000001" customHeight="1" x14ac:dyDescent="0.45">
      <c r="A8" s="32"/>
      <c r="B8" s="31"/>
      <c r="C8" s="32"/>
      <c r="D8" s="59" t="s">
        <v>25</v>
      </c>
      <c r="E8" s="50"/>
      <c r="F8" s="50"/>
      <c r="G8" s="56"/>
      <c r="H8" s="51" t="s">
        <v>52</v>
      </c>
      <c r="I8" s="51"/>
      <c r="J8" s="51"/>
      <c r="K8" s="51"/>
      <c r="L8" s="51"/>
      <c r="M8" s="51"/>
      <c r="N8" s="51"/>
      <c r="O8" s="51"/>
      <c r="P8" s="64"/>
      <c r="Q8" s="62"/>
      <c r="R8" s="64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2"/>
      <c r="BF8" s="52"/>
      <c r="BG8" s="52"/>
      <c r="BH8" s="52"/>
      <c r="BI8" s="52"/>
      <c r="BJ8" s="35"/>
      <c r="BK8" s="31"/>
      <c r="BL8" s="31"/>
      <c r="BM8" s="31"/>
      <c r="BN8" s="35"/>
    </row>
    <row r="9" spans="1:66" ht="20.100000000000001" customHeight="1" x14ac:dyDescent="0.45">
      <c r="A9" s="32"/>
      <c r="B9" s="31"/>
      <c r="C9" s="32"/>
      <c r="D9" s="59" t="s">
        <v>23</v>
      </c>
      <c r="E9" s="50"/>
      <c r="F9" s="50"/>
      <c r="G9" s="56"/>
      <c r="H9" s="51" t="s">
        <v>53</v>
      </c>
      <c r="I9" s="51"/>
      <c r="J9" s="51"/>
      <c r="K9" s="51"/>
      <c r="M9" s="51"/>
      <c r="N9" s="51"/>
      <c r="O9" s="51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2"/>
      <c r="BF9" s="52"/>
      <c r="BG9" s="52"/>
      <c r="BH9" s="52"/>
      <c r="BI9" s="52"/>
      <c r="BJ9" s="35"/>
      <c r="BK9" s="31"/>
      <c r="BL9" s="31"/>
      <c r="BM9" s="31"/>
      <c r="BN9" s="35"/>
    </row>
    <row r="10" spans="1:66" ht="20.100000000000001" customHeight="1" x14ac:dyDescent="0.45">
      <c r="A10" s="32"/>
      <c r="B10" s="31"/>
      <c r="C10" s="32"/>
      <c r="D10" s="59" t="s">
        <v>26</v>
      </c>
      <c r="E10" s="50"/>
      <c r="F10" s="50"/>
      <c r="G10" s="56"/>
      <c r="H10" s="54" t="s">
        <v>54</v>
      </c>
      <c r="I10" s="54"/>
      <c r="J10" s="54"/>
      <c r="K10" s="54"/>
      <c r="L10" s="54"/>
      <c r="M10" s="54"/>
      <c r="N10" s="54"/>
      <c r="O10" s="54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5"/>
      <c r="BF10" s="55"/>
      <c r="BG10" s="55"/>
      <c r="BH10" s="55"/>
      <c r="BI10" s="55"/>
      <c r="BJ10" s="35"/>
      <c r="BK10" s="31"/>
      <c r="BL10" s="31"/>
      <c r="BM10" s="31"/>
      <c r="BN10" s="35"/>
    </row>
    <row r="11" spans="1:66" ht="20.100000000000001" customHeight="1" x14ac:dyDescent="0.45">
      <c r="A11" s="32"/>
      <c r="B11" s="31"/>
      <c r="C11" s="31"/>
      <c r="D11" s="59" t="s">
        <v>27</v>
      </c>
      <c r="E11" s="50"/>
      <c r="F11" s="50"/>
      <c r="G11" s="56"/>
      <c r="H11" s="54" t="s">
        <v>55</v>
      </c>
      <c r="I11" s="54"/>
      <c r="J11" s="54"/>
      <c r="K11" s="54"/>
      <c r="L11" s="54"/>
      <c r="M11" s="54"/>
      <c r="N11" s="54"/>
      <c r="O11" s="54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5"/>
      <c r="BF11" s="55"/>
      <c r="BG11" s="55"/>
      <c r="BH11" s="55"/>
      <c r="BI11" s="65"/>
      <c r="BJ11" s="31"/>
      <c r="BK11" s="31"/>
      <c r="BL11" s="31"/>
      <c r="BM11" s="31"/>
      <c r="BN11" s="35"/>
    </row>
    <row r="12" spans="1:66" ht="20.100000000000001" customHeight="1" x14ac:dyDescent="0.45">
      <c r="A12" s="32"/>
      <c r="B12" s="31"/>
      <c r="C12" s="31"/>
      <c r="D12" s="59" t="s">
        <v>28</v>
      </c>
      <c r="E12" s="50"/>
      <c r="F12" s="50"/>
      <c r="G12" s="56"/>
      <c r="H12" s="54" t="s">
        <v>56</v>
      </c>
      <c r="I12" s="54"/>
      <c r="J12" s="54"/>
      <c r="K12" s="54"/>
      <c r="L12" s="54"/>
      <c r="M12" s="54"/>
      <c r="N12" s="54"/>
      <c r="O12" s="54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5"/>
      <c r="BF12" s="55"/>
      <c r="BG12" s="55"/>
      <c r="BH12" s="55"/>
      <c r="BI12" s="65"/>
      <c r="BJ12" s="31"/>
      <c r="BK12" s="31"/>
      <c r="BL12" s="31"/>
      <c r="BM12" s="31"/>
      <c r="BN12" s="35"/>
    </row>
    <row r="13" spans="1:66" ht="20.100000000000001" customHeight="1" x14ac:dyDescent="0.45">
      <c r="A13" s="32"/>
      <c r="B13" s="31"/>
      <c r="C13" s="31"/>
      <c r="D13" s="59" t="s">
        <v>29</v>
      </c>
      <c r="E13" s="50"/>
      <c r="F13" s="50"/>
      <c r="G13" s="56"/>
      <c r="H13" s="54" t="s">
        <v>55</v>
      </c>
      <c r="I13" s="54"/>
      <c r="J13" s="54"/>
      <c r="K13" s="54"/>
      <c r="L13" s="54"/>
      <c r="M13" s="54"/>
      <c r="N13" s="54"/>
      <c r="O13" s="54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5"/>
      <c r="BF13" s="55"/>
      <c r="BG13" s="55"/>
      <c r="BH13" s="52"/>
      <c r="BI13" s="60"/>
      <c r="BJ13" s="31"/>
      <c r="BK13" s="31"/>
      <c r="BL13" s="31"/>
      <c r="BM13" s="31"/>
      <c r="BN13" s="35"/>
    </row>
    <row r="14" spans="1:66" ht="20.100000000000001" customHeight="1" x14ac:dyDescent="0.45">
      <c r="A14" s="32"/>
      <c r="B14" s="31"/>
      <c r="C14" s="31"/>
      <c r="D14" s="59" t="s">
        <v>30</v>
      </c>
      <c r="E14" s="50"/>
      <c r="F14" s="50"/>
      <c r="G14" s="56"/>
      <c r="H14" s="51" t="s">
        <v>57</v>
      </c>
      <c r="I14" s="51"/>
      <c r="J14" s="51"/>
      <c r="K14" s="51"/>
      <c r="L14" s="51"/>
      <c r="M14" s="51"/>
      <c r="N14" s="51"/>
      <c r="O14" s="51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2"/>
      <c r="BF14" s="52"/>
      <c r="BG14" s="52"/>
      <c r="BH14" s="52"/>
      <c r="BI14" s="60"/>
      <c r="BJ14" s="31"/>
      <c r="BK14" s="31"/>
      <c r="BL14" s="31"/>
      <c r="BM14" s="31"/>
      <c r="BN14" s="35"/>
    </row>
    <row r="15" spans="1:66" ht="20.100000000000001" customHeight="1" x14ac:dyDescent="0.45">
      <c r="A15" s="32"/>
      <c r="B15" s="31"/>
      <c r="C15" s="31"/>
      <c r="D15" s="59" t="s">
        <v>44</v>
      </c>
      <c r="E15" s="50"/>
      <c r="F15" s="50"/>
      <c r="G15" s="56"/>
      <c r="H15" s="54" t="s">
        <v>146</v>
      </c>
      <c r="I15" s="54"/>
      <c r="J15" s="54"/>
      <c r="K15" s="54"/>
      <c r="L15" s="54"/>
      <c r="M15" s="54"/>
      <c r="N15" s="54"/>
      <c r="O15" s="54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5"/>
      <c r="BF15" s="55"/>
      <c r="BG15" s="55"/>
      <c r="BH15" s="55"/>
      <c r="BI15" s="65"/>
      <c r="BJ15" s="31"/>
      <c r="BK15" s="31"/>
      <c r="BL15" s="31"/>
      <c r="BM15" s="31"/>
      <c r="BN15" s="35"/>
    </row>
    <row r="16" spans="1:66" ht="20.100000000000001" customHeight="1" x14ac:dyDescent="0.45">
      <c r="A16" s="32"/>
      <c r="B16" s="31"/>
      <c r="C16" s="31"/>
      <c r="D16" s="61" t="s">
        <v>21</v>
      </c>
      <c r="E16" s="53"/>
      <c r="F16" s="53"/>
      <c r="G16" s="68"/>
      <c r="H16" s="54"/>
      <c r="I16" s="54"/>
      <c r="J16" s="54"/>
      <c r="K16" s="54"/>
      <c r="L16" s="54"/>
      <c r="M16" s="54"/>
      <c r="N16" s="54"/>
      <c r="O16" s="54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5"/>
      <c r="BF16" s="55"/>
      <c r="BG16" s="55"/>
      <c r="BH16" s="55"/>
      <c r="BI16" s="65"/>
      <c r="BJ16" s="31"/>
      <c r="BK16" s="31"/>
      <c r="BL16" s="31"/>
      <c r="BM16" s="31"/>
      <c r="BN16" s="35"/>
    </row>
    <row r="17" spans="1:66" ht="20.100000000000001" customHeight="1" thickBot="1" x14ac:dyDescent="0.5">
      <c r="A17" s="32"/>
      <c r="B17" s="31"/>
      <c r="C17" s="31"/>
      <c r="D17" s="57"/>
      <c r="E17" s="58"/>
      <c r="F17" s="58"/>
      <c r="G17" s="69"/>
      <c r="H17" s="75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34"/>
      <c r="BF17" s="34"/>
      <c r="BG17" s="34"/>
      <c r="BH17" s="34"/>
      <c r="BI17" s="28"/>
      <c r="BJ17" s="31"/>
      <c r="BK17" s="31"/>
      <c r="BL17" s="31"/>
      <c r="BM17" s="31"/>
      <c r="BN17" s="35"/>
    </row>
    <row r="18" spans="1:66" ht="20.100000000000001" customHeight="1" thickTop="1" x14ac:dyDescent="0.45">
      <c r="A18" s="32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5"/>
    </row>
    <row r="19" spans="1:66" ht="20.100000000000001" customHeight="1" x14ac:dyDescent="0.45">
      <c r="A19" s="32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5"/>
    </row>
    <row r="20" spans="1:66" ht="20.100000000000001" customHeight="1" x14ac:dyDescent="0.45">
      <c r="A20" s="32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5"/>
    </row>
    <row r="21" spans="1:66" ht="20.100000000000001" customHeight="1" x14ac:dyDescent="0.45">
      <c r="A21" s="32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5"/>
    </row>
    <row r="22" spans="1:66" ht="20.100000000000001" customHeight="1" x14ac:dyDescent="0.45">
      <c r="A22" s="32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5"/>
    </row>
    <row r="23" spans="1:66" ht="20.100000000000001" customHeight="1" x14ac:dyDescent="0.45">
      <c r="A23" s="32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5"/>
    </row>
    <row r="24" spans="1:66" ht="20.100000000000001" customHeight="1" x14ac:dyDescent="0.45">
      <c r="A24" s="32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5"/>
    </row>
    <row r="25" spans="1:66" ht="20.100000000000001" customHeight="1" x14ac:dyDescent="0.45">
      <c r="A25" s="32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5"/>
    </row>
    <row r="26" spans="1:66" ht="20.100000000000001" customHeight="1" thickBot="1" x14ac:dyDescent="0.5">
      <c r="A26" s="32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5"/>
    </row>
    <row r="27" spans="1:66" ht="20.100000000000001" customHeight="1" thickTop="1" x14ac:dyDescent="0.45">
      <c r="A27" s="31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1"/>
    </row>
    <row r="28" spans="1:66" ht="20.100000000000001" customHeight="1" x14ac:dyDescent="0.4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</row>
    <row r="29" spans="1:66" ht="20.100000000000001" customHeight="1" x14ac:dyDescent="0.4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</row>
    <row r="30" spans="1:66" ht="20.100000000000001" customHeight="1" x14ac:dyDescent="0.4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</row>
    <row r="31" spans="1:66" ht="5.0999999999999996" customHeight="1" x14ac:dyDescent="0.45"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</row>
    <row r="32" spans="1:66" ht="20.100000000000001" customHeight="1" x14ac:dyDescent="0.45"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</row>
  </sheetData>
  <mergeCells count="20"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  <mergeCell ref="AX3:BA4"/>
    <mergeCell ref="BB3:BE4"/>
    <mergeCell ref="BF3:BI4"/>
    <mergeCell ref="BJ3:BM4"/>
    <mergeCell ref="AX2:BA2"/>
    <mergeCell ref="BB2:BE2"/>
    <mergeCell ref="BF2:BI2"/>
    <mergeCell ref="BJ2:BM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BN48"/>
  <sheetViews>
    <sheetView showGridLines="0" view="pageBreakPreview" zoomScale="85" zoomScaleNormal="100" zoomScaleSheetLayoutView="85" workbookViewId="0">
      <selection activeCell="L2" sqref="L2:Q2"/>
    </sheetView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177" t="s">
        <v>0</v>
      </c>
      <c r="C2" s="160"/>
      <c r="D2" s="160"/>
      <c r="E2" s="160"/>
      <c r="F2" s="160"/>
      <c r="G2" s="160"/>
      <c r="H2" s="160" t="s">
        <v>17</v>
      </c>
      <c r="I2" s="160"/>
      <c r="J2" s="160"/>
      <c r="K2" s="160"/>
      <c r="L2" s="160" t="s">
        <v>148</v>
      </c>
      <c r="M2" s="160"/>
      <c r="N2" s="160"/>
      <c r="O2" s="160"/>
      <c r="P2" s="160"/>
      <c r="Q2" s="160"/>
      <c r="R2" s="160" t="s">
        <v>2</v>
      </c>
      <c r="S2" s="160"/>
      <c r="T2" s="160"/>
      <c r="U2" s="160"/>
      <c r="V2" s="160"/>
      <c r="W2" s="160"/>
      <c r="X2" s="172" t="s">
        <v>3</v>
      </c>
      <c r="Y2" s="173"/>
      <c r="Z2" s="173"/>
      <c r="AA2" s="173"/>
      <c r="AB2" s="173"/>
      <c r="AC2" s="173"/>
      <c r="AD2" s="173"/>
      <c r="AE2" s="173"/>
      <c r="AF2" s="173"/>
      <c r="AG2" s="173"/>
      <c r="AH2" s="173"/>
      <c r="AI2" s="173"/>
      <c r="AJ2" s="174"/>
      <c r="AK2" s="172" t="s">
        <v>32</v>
      </c>
      <c r="AL2" s="173"/>
      <c r="AM2" s="173"/>
      <c r="AN2" s="173"/>
      <c r="AO2" s="173"/>
      <c r="AP2" s="173"/>
      <c r="AQ2" s="173"/>
      <c r="AR2" s="173"/>
      <c r="AS2" s="173"/>
      <c r="AT2" s="173"/>
      <c r="AU2" s="173"/>
      <c r="AV2" s="173"/>
      <c r="AW2" s="174"/>
      <c r="AX2" s="160" t="s">
        <v>5</v>
      </c>
      <c r="AY2" s="160"/>
      <c r="AZ2" s="160"/>
      <c r="BA2" s="160"/>
      <c r="BB2" s="160" t="s">
        <v>4</v>
      </c>
      <c r="BC2" s="160"/>
      <c r="BD2" s="160"/>
      <c r="BE2" s="160"/>
      <c r="BF2" s="160" t="s">
        <v>6</v>
      </c>
      <c r="BG2" s="160"/>
      <c r="BH2" s="160"/>
      <c r="BI2" s="160"/>
      <c r="BJ2" s="160" t="s">
        <v>7</v>
      </c>
      <c r="BK2" s="160"/>
      <c r="BL2" s="160"/>
      <c r="BM2" s="161"/>
      <c r="BN2" s="15"/>
    </row>
    <row r="3" spans="1:66" ht="20.100000000000001" customHeight="1" x14ac:dyDescent="0.45">
      <c r="A3" s="9"/>
      <c r="B3" s="175" t="str">
        <f>変更履歴!B3</f>
        <v>受発注</v>
      </c>
      <c r="C3" s="163"/>
      <c r="D3" s="163"/>
      <c r="E3" s="163"/>
      <c r="F3" s="163"/>
      <c r="G3" s="163"/>
      <c r="H3" s="163" t="str">
        <f ca="1">変更履歴!H3</f>
        <v>SS0600</v>
      </c>
      <c r="I3" s="163"/>
      <c r="J3" s="163"/>
      <c r="K3" s="163"/>
      <c r="L3" s="163" t="str">
        <f>変更履歴!L3</f>
        <v>受発注</v>
      </c>
      <c r="M3" s="163"/>
      <c r="N3" s="163"/>
      <c r="O3" s="163"/>
      <c r="P3" s="163"/>
      <c r="Q3" s="163"/>
      <c r="R3" s="163" t="str">
        <f ca="1">変更履歴!R3</f>
        <v>帳票設計書</v>
      </c>
      <c r="S3" s="163"/>
      <c r="T3" s="163"/>
      <c r="U3" s="163"/>
      <c r="V3" s="163"/>
      <c r="W3" s="163"/>
      <c r="X3" s="166" t="str">
        <f ca="1">変更履歴!X3</f>
        <v>SS0600_支払予定表_帳票設計書</v>
      </c>
      <c r="Y3" s="167"/>
      <c r="Z3" s="167"/>
      <c r="AA3" s="167"/>
      <c r="AB3" s="167"/>
      <c r="AC3" s="167"/>
      <c r="AD3" s="167"/>
      <c r="AE3" s="167"/>
      <c r="AF3" s="167"/>
      <c r="AG3" s="167"/>
      <c r="AH3" s="167"/>
      <c r="AI3" s="167"/>
      <c r="AJ3" s="168"/>
      <c r="AK3" s="166" t="str">
        <f ca="1">変更履歴!AK3</f>
        <v>支払予定表</v>
      </c>
      <c r="AL3" s="167"/>
      <c r="AM3" s="167"/>
      <c r="AN3" s="167"/>
      <c r="AO3" s="167"/>
      <c r="AP3" s="167"/>
      <c r="AQ3" s="167"/>
      <c r="AR3" s="167"/>
      <c r="AS3" s="167"/>
      <c r="AT3" s="167"/>
      <c r="AU3" s="167"/>
      <c r="AV3" s="167"/>
      <c r="AW3" s="168"/>
      <c r="AX3" s="162">
        <f>変更履歴!AX3</f>
        <v>45581</v>
      </c>
      <c r="AY3" s="162"/>
      <c r="AZ3" s="162"/>
      <c r="BA3" s="162"/>
      <c r="BB3" s="163" t="str">
        <f>変更履歴!BB3</f>
        <v>大谷</v>
      </c>
      <c r="BC3" s="163"/>
      <c r="BD3" s="163"/>
      <c r="BE3" s="163"/>
      <c r="BF3" s="162">
        <f>変更履歴!BF3</f>
        <v>45581</v>
      </c>
      <c r="BG3" s="162"/>
      <c r="BH3" s="162"/>
      <c r="BI3" s="162"/>
      <c r="BJ3" s="163" t="str">
        <f>変更履歴!BJ3</f>
        <v>大谷</v>
      </c>
      <c r="BK3" s="163"/>
      <c r="BL3" s="163"/>
      <c r="BM3" s="165"/>
      <c r="BN3" s="15"/>
    </row>
    <row r="4" spans="1:66" ht="20.100000000000001" customHeight="1" thickBot="1" x14ac:dyDescent="0.5">
      <c r="A4" s="9"/>
      <c r="B4" s="168"/>
      <c r="C4" s="164"/>
      <c r="D4" s="164"/>
      <c r="E4" s="164"/>
      <c r="F4" s="164"/>
      <c r="G4" s="164"/>
      <c r="H4" s="164"/>
      <c r="I4" s="164"/>
      <c r="J4" s="164"/>
      <c r="K4" s="164"/>
      <c r="L4" s="164"/>
      <c r="M4" s="164"/>
      <c r="N4" s="164"/>
      <c r="O4" s="164"/>
      <c r="P4" s="164"/>
      <c r="Q4" s="164"/>
      <c r="R4" s="164"/>
      <c r="S4" s="164"/>
      <c r="T4" s="164"/>
      <c r="U4" s="164"/>
      <c r="V4" s="164"/>
      <c r="W4" s="164"/>
      <c r="X4" s="169"/>
      <c r="Y4" s="170"/>
      <c r="Z4" s="170"/>
      <c r="AA4" s="170"/>
      <c r="AB4" s="170"/>
      <c r="AC4" s="170"/>
      <c r="AD4" s="170"/>
      <c r="AE4" s="170"/>
      <c r="AF4" s="170"/>
      <c r="AG4" s="170"/>
      <c r="AH4" s="170"/>
      <c r="AI4" s="170"/>
      <c r="AJ4" s="171"/>
      <c r="AK4" s="169"/>
      <c r="AL4" s="170"/>
      <c r="AM4" s="170"/>
      <c r="AN4" s="170"/>
      <c r="AO4" s="170"/>
      <c r="AP4" s="170"/>
      <c r="AQ4" s="170"/>
      <c r="AR4" s="170"/>
      <c r="AS4" s="170"/>
      <c r="AT4" s="170"/>
      <c r="AU4" s="170"/>
      <c r="AV4" s="170"/>
      <c r="AW4" s="171"/>
      <c r="AX4" s="178"/>
      <c r="AY4" s="178"/>
      <c r="AZ4" s="178"/>
      <c r="BA4" s="178"/>
      <c r="BB4" s="164"/>
      <c r="BC4" s="164"/>
      <c r="BD4" s="164"/>
      <c r="BE4" s="164"/>
      <c r="BF4" s="178"/>
      <c r="BG4" s="178"/>
      <c r="BH4" s="178"/>
      <c r="BI4" s="178"/>
      <c r="BJ4" s="164"/>
      <c r="BK4" s="164"/>
      <c r="BL4" s="164"/>
      <c r="BM4" s="166"/>
      <c r="BN4" s="15"/>
    </row>
    <row r="5" spans="1:66" ht="5.25" customHeight="1" thickTop="1" x14ac:dyDescent="0.45"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</row>
    <row r="6" spans="1:66" ht="20.100000000000001" customHeight="1" thickBot="1" x14ac:dyDescent="0.5">
      <c r="A6" s="31"/>
      <c r="B6" s="45" t="s">
        <v>45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1"/>
    </row>
    <row r="7" spans="1:66" ht="20.100000000000001" customHeight="1" thickTop="1" x14ac:dyDescent="0.45">
      <c r="A7" s="9"/>
      <c r="B7" s="7"/>
      <c r="C7" s="1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5"/>
    </row>
    <row r="8" spans="1:66" ht="20.100000000000001" customHeight="1" x14ac:dyDescent="0.45">
      <c r="A8" s="9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/>
      <c r="BH8"/>
      <c r="BI8"/>
      <c r="BJ8"/>
      <c r="BK8" s="7"/>
      <c r="BL8" s="7"/>
      <c r="BM8" s="7"/>
      <c r="BN8" s="15"/>
    </row>
    <row r="9" spans="1:66" ht="20.100000000000001" customHeight="1" x14ac:dyDescent="0.45">
      <c r="A9" s="9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/>
      <c r="BH9"/>
      <c r="BI9"/>
      <c r="BJ9"/>
      <c r="BK9" s="7"/>
      <c r="BL9" s="7"/>
      <c r="BM9" s="7"/>
      <c r="BN9" s="15"/>
    </row>
    <row r="10" spans="1:66" ht="20.100000000000001" customHeight="1" x14ac:dyDescent="0.45">
      <c r="A10" s="9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/>
      <c r="BH10"/>
      <c r="BI10"/>
      <c r="BJ10"/>
      <c r="BK10" s="7"/>
      <c r="BL10" s="7"/>
      <c r="BM10" s="7"/>
      <c r="BN10" s="15"/>
    </row>
    <row r="11" spans="1:66" ht="20.100000000000001" customHeight="1" x14ac:dyDescent="0.45">
      <c r="A11" s="9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/>
      <c r="BH11"/>
      <c r="BI11"/>
      <c r="BJ11"/>
      <c r="BK11" s="7"/>
      <c r="BL11" s="7"/>
      <c r="BM11" s="7"/>
      <c r="BN11" s="15"/>
    </row>
    <row r="12" spans="1:66" ht="20.100000000000001" customHeight="1" x14ac:dyDescent="0.45">
      <c r="A12" s="9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/>
      <c r="BH12"/>
      <c r="BI12"/>
      <c r="BJ12"/>
      <c r="BK12" s="7"/>
      <c r="BL12" s="7"/>
      <c r="BM12" s="7"/>
      <c r="BN12" s="15"/>
    </row>
    <row r="13" spans="1:66" ht="20.100000000000001" customHeight="1" x14ac:dyDescent="0.45">
      <c r="A13" s="9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/>
      <c r="BH13"/>
      <c r="BI13"/>
      <c r="BJ13"/>
      <c r="BK13" s="7"/>
      <c r="BL13" s="7"/>
      <c r="BM13" s="7"/>
      <c r="BN13" s="15"/>
    </row>
    <row r="14" spans="1:66" ht="20.100000000000001" customHeight="1" x14ac:dyDescent="0.45">
      <c r="A14" s="9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/>
      <c r="BH14"/>
      <c r="BI14"/>
      <c r="BJ14"/>
      <c r="BK14" s="7"/>
      <c r="BL14" s="7"/>
      <c r="BM14" s="7"/>
      <c r="BN14" s="15"/>
    </row>
    <row r="15" spans="1:66" ht="20.100000000000001" customHeight="1" x14ac:dyDescent="0.45">
      <c r="A15" s="9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/>
      <c r="BH15"/>
      <c r="BI15"/>
      <c r="BJ15"/>
      <c r="BK15" s="7"/>
      <c r="BL15" s="7"/>
      <c r="BM15" s="7"/>
      <c r="BN15" s="15"/>
    </row>
    <row r="16" spans="1:66" ht="20.100000000000001" customHeight="1" x14ac:dyDescent="0.45">
      <c r="A16" s="9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/>
      <c r="BH16"/>
      <c r="BI16"/>
      <c r="BJ16"/>
      <c r="BK16" s="7"/>
      <c r="BL16" s="7"/>
      <c r="BM16" s="7"/>
      <c r="BN16" s="15"/>
    </row>
    <row r="17" spans="1:66" ht="20.100000000000001" customHeight="1" x14ac:dyDescent="0.45">
      <c r="A17" s="9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/>
      <c r="BH17"/>
      <c r="BI17"/>
      <c r="BJ17"/>
      <c r="BK17" s="7"/>
      <c r="BL17" s="7"/>
      <c r="BM17" s="7"/>
      <c r="BN17" s="15"/>
    </row>
    <row r="18" spans="1:66" ht="20.100000000000001" customHeight="1" x14ac:dyDescent="0.45">
      <c r="A18" s="9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/>
      <c r="BH18"/>
      <c r="BI18"/>
      <c r="BJ18"/>
      <c r="BK18" s="7"/>
      <c r="BL18" s="7"/>
      <c r="BM18" s="7"/>
      <c r="BN18" s="15"/>
    </row>
    <row r="19" spans="1:66" ht="20.100000000000001" customHeight="1" x14ac:dyDescent="0.45">
      <c r="A19" s="9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/>
      <c r="BH19"/>
      <c r="BI19"/>
      <c r="BJ19"/>
      <c r="BK19" s="7"/>
      <c r="BL19" s="7"/>
      <c r="BM19" s="7"/>
      <c r="BN19" s="15"/>
    </row>
    <row r="20" spans="1:66" ht="20.100000000000001" customHeight="1" x14ac:dyDescent="0.45">
      <c r="A20" s="9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/>
      <c r="BH20"/>
      <c r="BI20"/>
      <c r="BJ20"/>
      <c r="BK20" s="7"/>
      <c r="BL20" s="7"/>
      <c r="BM20" s="7"/>
      <c r="BN20" s="15"/>
    </row>
    <row r="21" spans="1:66" ht="20.100000000000001" customHeight="1" x14ac:dyDescent="0.45">
      <c r="A21" s="9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/>
      <c r="BH21"/>
      <c r="BI21"/>
      <c r="BJ21"/>
      <c r="BK21" s="7"/>
      <c r="BL21" s="7"/>
      <c r="BM21" s="7"/>
      <c r="BN21" s="15"/>
    </row>
    <row r="22" spans="1:66" ht="20.100000000000001" customHeight="1" x14ac:dyDescent="0.45">
      <c r="A22" s="9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/>
      <c r="BH22"/>
      <c r="BI22"/>
      <c r="BJ22"/>
      <c r="BK22" s="7"/>
      <c r="BL22" s="7"/>
      <c r="BM22" s="7"/>
      <c r="BN22" s="15"/>
    </row>
    <row r="23" spans="1:66" ht="20.100000000000001" customHeight="1" x14ac:dyDescent="0.45">
      <c r="A23" s="9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/>
      <c r="BH23"/>
      <c r="BI23"/>
      <c r="BJ23"/>
      <c r="BK23" s="7"/>
      <c r="BL23" s="7"/>
      <c r="BM23" s="7"/>
      <c r="BN23" s="15"/>
    </row>
    <row r="24" spans="1:66" ht="20.100000000000001" customHeight="1" x14ac:dyDescent="0.45">
      <c r="A24" s="9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/>
      <c r="BH24"/>
      <c r="BI24"/>
      <c r="BJ24"/>
      <c r="BK24" s="7"/>
      <c r="BL24" s="7"/>
      <c r="BM24" s="7"/>
      <c r="BN24" s="15"/>
    </row>
    <row r="25" spans="1:66" ht="20.100000000000001" customHeight="1" x14ac:dyDescent="0.45">
      <c r="A25" s="9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/>
      <c r="BH25"/>
      <c r="BI25"/>
      <c r="BJ25"/>
      <c r="BK25" s="7"/>
      <c r="BL25" s="7"/>
      <c r="BM25" s="7"/>
      <c r="BN25" s="15"/>
    </row>
    <row r="26" spans="1:66" ht="20.100000000000001" customHeight="1" x14ac:dyDescent="0.45">
      <c r="A26" s="9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/>
      <c r="BH26"/>
      <c r="BI26"/>
      <c r="BJ26"/>
      <c r="BK26" s="7"/>
      <c r="BL26" s="7"/>
      <c r="BM26" s="7"/>
      <c r="BN26" s="15"/>
    </row>
    <row r="27" spans="1:66" ht="20.100000000000001" customHeight="1" x14ac:dyDescent="0.45">
      <c r="A27" s="9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/>
      <c r="BH27"/>
      <c r="BI27"/>
      <c r="BJ27"/>
      <c r="BK27" s="7"/>
      <c r="BL27" s="7"/>
      <c r="BM27" s="7"/>
      <c r="BN27" s="15"/>
    </row>
    <row r="28" spans="1:66" ht="20.100000000000001" customHeight="1" x14ac:dyDescent="0.45">
      <c r="A28" s="9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/>
      <c r="BH28"/>
      <c r="BI28"/>
      <c r="BJ28"/>
      <c r="BK28" s="7"/>
      <c r="BL28" s="7"/>
      <c r="BM28" s="7"/>
      <c r="BN28" s="15"/>
    </row>
    <row r="29" spans="1:66" ht="20.100000000000001" customHeight="1" x14ac:dyDescent="0.45">
      <c r="A29" s="9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/>
      <c r="BH29"/>
      <c r="BI29"/>
      <c r="BJ29"/>
      <c r="BK29" s="7"/>
      <c r="BL29" s="7"/>
      <c r="BM29" s="7"/>
      <c r="BN29" s="15"/>
    </row>
    <row r="30" spans="1:66" ht="20.100000000000001" customHeight="1" x14ac:dyDescent="0.45">
      <c r="A30" s="9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/>
      <c r="BH30"/>
      <c r="BI30"/>
      <c r="BJ30"/>
      <c r="BK30" s="7"/>
      <c r="BL30" s="7"/>
      <c r="BM30" s="7"/>
      <c r="BN30" s="15"/>
    </row>
    <row r="31" spans="1:66" ht="20.100000000000001" customHeight="1" x14ac:dyDescent="0.45">
      <c r="A31" s="9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/>
      <c r="BH31"/>
      <c r="BI31"/>
      <c r="BJ31"/>
      <c r="BK31" s="7"/>
      <c r="BL31" s="7"/>
      <c r="BM31" s="7"/>
      <c r="BN31" s="15"/>
    </row>
    <row r="32" spans="1:66" ht="20.100000000000001" customHeight="1" x14ac:dyDescent="0.45">
      <c r="A32" s="9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/>
      <c r="BH32"/>
      <c r="BI32"/>
      <c r="BJ32"/>
      <c r="BK32" s="7"/>
      <c r="BL32" s="7"/>
      <c r="BM32" s="7"/>
      <c r="BN32" s="15"/>
    </row>
    <row r="33" spans="1:66" ht="20.100000000000001" customHeight="1" x14ac:dyDescent="0.45">
      <c r="A33" s="9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/>
      <c r="BH33"/>
      <c r="BI33"/>
      <c r="BJ33"/>
      <c r="BK33" s="7"/>
      <c r="BL33" s="7"/>
      <c r="BM33" s="7"/>
      <c r="BN33" s="15"/>
    </row>
    <row r="34" spans="1:66" ht="20.100000000000001" customHeight="1" x14ac:dyDescent="0.45">
      <c r="A34" s="9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15"/>
    </row>
    <row r="35" spans="1:66" ht="20.100000000000001" customHeight="1" x14ac:dyDescent="0.45">
      <c r="A35" s="9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15"/>
    </row>
    <row r="36" spans="1:66" ht="20.100000000000001" customHeight="1" x14ac:dyDescent="0.45">
      <c r="A36" s="9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15"/>
    </row>
    <row r="37" spans="1:66" ht="20.100000000000001" customHeight="1" x14ac:dyDescent="0.45">
      <c r="A37" s="9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15"/>
    </row>
    <row r="38" spans="1:66" ht="20.100000000000001" customHeight="1" x14ac:dyDescent="0.45">
      <c r="A38" s="9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15"/>
    </row>
    <row r="39" spans="1:66" ht="20.100000000000001" customHeight="1" x14ac:dyDescent="0.45">
      <c r="B39" s="15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9"/>
    </row>
    <row r="40" spans="1:66" ht="20.100000000000001" customHeight="1" x14ac:dyDescent="0.45">
      <c r="B40" s="15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9"/>
    </row>
    <row r="41" spans="1:66" ht="20.100000000000001" customHeight="1" x14ac:dyDescent="0.45">
      <c r="B41" s="15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9"/>
    </row>
    <row r="42" spans="1:66" ht="20.100000000000001" customHeight="1" x14ac:dyDescent="0.45">
      <c r="B42" s="15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9"/>
    </row>
    <row r="43" spans="1:66" ht="20.100000000000001" customHeight="1" x14ac:dyDescent="0.45">
      <c r="B43" s="15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9"/>
    </row>
    <row r="44" spans="1:66" ht="20.100000000000001" customHeight="1" x14ac:dyDescent="0.45">
      <c r="B44" s="15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9"/>
    </row>
    <row r="45" spans="1:66" ht="20.100000000000001" customHeight="1" x14ac:dyDescent="0.45">
      <c r="B45" s="15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9"/>
    </row>
    <row r="46" spans="1:66" ht="20.100000000000001" customHeight="1" x14ac:dyDescent="0.45">
      <c r="B46" s="15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9"/>
    </row>
    <row r="47" spans="1:66" ht="20.100000000000001" customHeight="1" thickBot="1" x14ac:dyDescent="0.5">
      <c r="B47" s="27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28"/>
    </row>
    <row r="48" spans="1:66" ht="20.100000000000001" customHeight="1" thickTop="1" x14ac:dyDescent="0.45"/>
  </sheetData>
  <mergeCells count="20">
    <mergeCell ref="BB2:BE2"/>
    <mergeCell ref="BF2:BI2"/>
    <mergeCell ref="BJ2:BM2"/>
    <mergeCell ref="AX2:BA2"/>
    <mergeCell ref="X2:AJ2"/>
    <mergeCell ref="AK2:AW2"/>
    <mergeCell ref="B2:G2"/>
    <mergeCell ref="B3:G4"/>
    <mergeCell ref="H2:K2"/>
    <mergeCell ref="L2:Q2"/>
    <mergeCell ref="R2:W2"/>
    <mergeCell ref="L3:Q4"/>
    <mergeCell ref="H3:K4"/>
    <mergeCell ref="BJ3:BM4"/>
    <mergeCell ref="BF3:BI4"/>
    <mergeCell ref="BB3:BE4"/>
    <mergeCell ref="AX3:BA4"/>
    <mergeCell ref="R3:W4"/>
    <mergeCell ref="X3:AJ4"/>
    <mergeCell ref="AK3:AW4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CG53"/>
  <sheetViews>
    <sheetView showGridLines="0" view="pageBreakPreview" zoomScaleNormal="100" zoomScaleSheetLayoutView="100" workbookViewId="0">
      <selection activeCell="L2" sqref="L2:Q2"/>
    </sheetView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3.59765625" style="6" customWidth="1"/>
    <col min="67" max="16384" width="3.59765625" style="6"/>
  </cols>
  <sheetData>
    <row r="1" spans="1:85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85" ht="20.100000000000001" customHeight="1" thickTop="1" x14ac:dyDescent="0.45">
      <c r="A2" s="9"/>
      <c r="B2" s="177" t="s">
        <v>0</v>
      </c>
      <c r="C2" s="160"/>
      <c r="D2" s="160"/>
      <c r="E2" s="160"/>
      <c r="F2" s="160"/>
      <c r="G2" s="160"/>
      <c r="H2" s="160" t="s">
        <v>17</v>
      </c>
      <c r="I2" s="160"/>
      <c r="J2" s="160"/>
      <c r="K2" s="160"/>
      <c r="L2" s="160" t="s">
        <v>148</v>
      </c>
      <c r="M2" s="160"/>
      <c r="N2" s="160"/>
      <c r="O2" s="160"/>
      <c r="P2" s="160"/>
      <c r="Q2" s="160"/>
      <c r="R2" s="160" t="s">
        <v>2</v>
      </c>
      <c r="S2" s="160"/>
      <c r="T2" s="160"/>
      <c r="U2" s="160"/>
      <c r="V2" s="160"/>
      <c r="W2" s="160"/>
      <c r="X2" s="172" t="s">
        <v>3</v>
      </c>
      <c r="Y2" s="173"/>
      <c r="Z2" s="173"/>
      <c r="AA2" s="173"/>
      <c r="AB2" s="173"/>
      <c r="AC2" s="173"/>
      <c r="AD2" s="173"/>
      <c r="AE2" s="173"/>
      <c r="AF2" s="173"/>
      <c r="AG2" s="173"/>
      <c r="AH2" s="173"/>
      <c r="AI2" s="173"/>
      <c r="AJ2" s="174"/>
      <c r="AK2" s="172" t="s">
        <v>32</v>
      </c>
      <c r="AL2" s="173"/>
      <c r="AM2" s="173"/>
      <c r="AN2" s="173"/>
      <c r="AO2" s="173"/>
      <c r="AP2" s="173"/>
      <c r="AQ2" s="173"/>
      <c r="AR2" s="173"/>
      <c r="AS2" s="173"/>
      <c r="AT2" s="173"/>
      <c r="AU2" s="173"/>
      <c r="AV2" s="173"/>
      <c r="AW2" s="174"/>
      <c r="AX2" s="160" t="s">
        <v>5</v>
      </c>
      <c r="AY2" s="160"/>
      <c r="AZ2" s="160"/>
      <c r="BA2" s="160"/>
      <c r="BB2" s="160" t="s">
        <v>4</v>
      </c>
      <c r="BC2" s="160"/>
      <c r="BD2" s="160"/>
      <c r="BE2" s="160"/>
      <c r="BF2" s="160" t="s">
        <v>6</v>
      </c>
      <c r="BG2" s="160"/>
      <c r="BH2" s="160"/>
      <c r="BI2" s="160"/>
      <c r="BJ2" s="160" t="s">
        <v>7</v>
      </c>
      <c r="BK2" s="160"/>
      <c r="BL2" s="160"/>
      <c r="BM2" s="161"/>
      <c r="BN2" s="15"/>
    </row>
    <row r="3" spans="1:85" ht="20.100000000000001" customHeight="1" x14ac:dyDescent="0.45">
      <c r="A3" s="9"/>
      <c r="B3" s="175" t="str">
        <f>変更履歴!B3</f>
        <v>受発注</v>
      </c>
      <c r="C3" s="163"/>
      <c r="D3" s="163"/>
      <c r="E3" s="163"/>
      <c r="F3" s="163"/>
      <c r="G3" s="163"/>
      <c r="H3" s="163" t="str">
        <f ca="1">変更履歴!H3</f>
        <v>SS0600</v>
      </c>
      <c r="I3" s="163"/>
      <c r="J3" s="163"/>
      <c r="K3" s="163"/>
      <c r="L3" s="163" t="str">
        <f>変更履歴!L3</f>
        <v>受発注</v>
      </c>
      <c r="M3" s="163"/>
      <c r="N3" s="163"/>
      <c r="O3" s="163"/>
      <c r="P3" s="163"/>
      <c r="Q3" s="163"/>
      <c r="R3" s="163" t="str">
        <f ca="1">変更履歴!R3</f>
        <v>帳票設計書</v>
      </c>
      <c r="S3" s="163"/>
      <c r="T3" s="163"/>
      <c r="U3" s="163"/>
      <c r="V3" s="163"/>
      <c r="W3" s="163"/>
      <c r="X3" s="166" t="str">
        <f ca="1">変更履歴!X3</f>
        <v>SS0600_支払予定表_帳票設計書</v>
      </c>
      <c r="Y3" s="167"/>
      <c r="Z3" s="167"/>
      <c r="AA3" s="167"/>
      <c r="AB3" s="167"/>
      <c r="AC3" s="167"/>
      <c r="AD3" s="167"/>
      <c r="AE3" s="167"/>
      <c r="AF3" s="167"/>
      <c r="AG3" s="167"/>
      <c r="AH3" s="167"/>
      <c r="AI3" s="167"/>
      <c r="AJ3" s="168"/>
      <c r="AK3" s="166" t="str">
        <f ca="1">変更履歴!AK3</f>
        <v>支払予定表</v>
      </c>
      <c r="AL3" s="167"/>
      <c r="AM3" s="167"/>
      <c r="AN3" s="167"/>
      <c r="AO3" s="167"/>
      <c r="AP3" s="167"/>
      <c r="AQ3" s="167"/>
      <c r="AR3" s="167"/>
      <c r="AS3" s="167"/>
      <c r="AT3" s="167"/>
      <c r="AU3" s="167"/>
      <c r="AV3" s="167"/>
      <c r="AW3" s="168"/>
      <c r="AX3" s="162">
        <f>変更履歴!AX3</f>
        <v>45581</v>
      </c>
      <c r="AY3" s="162"/>
      <c r="AZ3" s="162"/>
      <c r="BA3" s="162"/>
      <c r="BB3" s="163" t="str">
        <f>変更履歴!BB3</f>
        <v>大谷</v>
      </c>
      <c r="BC3" s="163"/>
      <c r="BD3" s="163"/>
      <c r="BE3" s="163"/>
      <c r="BF3" s="162">
        <f>変更履歴!BF3</f>
        <v>45581</v>
      </c>
      <c r="BG3" s="162"/>
      <c r="BH3" s="162"/>
      <c r="BI3" s="162"/>
      <c r="BJ3" s="163" t="str">
        <f>変更履歴!BJ3</f>
        <v>大谷</v>
      </c>
      <c r="BK3" s="163"/>
      <c r="BL3" s="163"/>
      <c r="BM3" s="165"/>
      <c r="BN3" s="15"/>
    </row>
    <row r="4" spans="1:85" ht="20.100000000000001" customHeight="1" thickBot="1" x14ac:dyDescent="0.5">
      <c r="A4" s="9"/>
      <c r="B4" s="168"/>
      <c r="C4" s="164"/>
      <c r="D4" s="164"/>
      <c r="E4" s="164"/>
      <c r="F4" s="164"/>
      <c r="G4" s="164"/>
      <c r="H4" s="164"/>
      <c r="I4" s="164"/>
      <c r="J4" s="164"/>
      <c r="K4" s="164"/>
      <c r="L4" s="164"/>
      <c r="M4" s="164"/>
      <c r="N4" s="164"/>
      <c r="O4" s="164"/>
      <c r="P4" s="164"/>
      <c r="Q4" s="164"/>
      <c r="R4" s="164"/>
      <c r="S4" s="164"/>
      <c r="T4" s="164"/>
      <c r="U4" s="164"/>
      <c r="V4" s="164"/>
      <c r="W4" s="164"/>
      <c r="X4" s="169"/>
      <c r="Y4" s="170"/>
      <c r="Z4" s="170"/>
      <c r="AA4" s="170"/>
      <c r="AB4" s="170"/>
      <c r="AC4" s="170"/>
      <c r="AD4" s="170"/>
      <c r="AE4" s="170"/>
      <c r="AF4" s="170"/>
      <c r="AG4" s="170"/>
      <c r="AH4" s="170"/>
      <c r="AI4" s="170"/>
      <c r="AJ4" s="171"/>
      <c r="AK4" s="169"/>
      <c r="AL4" s="170"/>
      <c r="AM4" s="170"/>
      <c r="AN4" s="170"/>
      <c r="AO4" s="170"/>
      <c r="AP4" s="170"/>
      <c r="AQ4" s="170"/>
      <c r="AR4" s="170"/>
      <c r="AS4" s="170"/>
      <c r="AT4" s="170"/>
      <c r="AU4" s="170"/>
      <c r="AV4" s="170"/>
      <c r="AW4" s="171"/>
      <c r="AX4" s="178"/>
      <c r="AY4" s="178"/>
      <c r="AZ4" s="178"/>
      <c r="BA4" s="178"/>
      <c r="BB4" s="164"/>
      <c r="BC4" s="164"/>
      <c r="BD4" s="164"/>
      <c r="BE4" s="164"/>
      <c r="BF4" s="178"/>
      <c r="BG4" s="178"/>
      <c r="BH4" s="178"/>
      <c r="BI4" s="178"/>
      <c r="BJ4" s="164"/>
      <c r="BK4" s="164"/>
      <c r="BL4" s="164"/>
      <c r="BM4" s="166"/>
      <c r="BN4" s="15"/>
    </row>
    <row r="5" spans="1:85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</row>
    <row r="6" spans="1:85" ht="19.5" customHeight="1" x14ac:dyDescent="0.45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</row>
    <row r="7" spans="1:85" ht="20.100000000000001" customHeight="1" thickBot="1" x14ac:dyDescent="0.5">
      <c r="A7" s="31"/>
      <c r="B7" s="45" t="s">
        <v>18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</row>
    <row r="8" spans="1:85" ht="20.100000000000001" customHeight="1" thickTop="1" x14ac:dyDescent="0.45">
      <c r="A8" s="31"/>
      <c r="B8" s="4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72"/>
    </row>
    <row r="9" spans="1:85" ht="20.100000000000001" customHeight="1" thickBot="1" x14ac:dyDescent="0.5">
      <c r="A9" s="30"/>
      <c r="B9" s="35"/>
      <c r="C9" s="39" t="s">
        <v>46</v>
      </c>
      <c r="D9" s="34"/>
      <c r="E9" s="34"/>
      <c r="F9" s="91" t="s">
        <v>70</v>
      </c>
      <c r="G9" s="34"/>
      <c r="H9" s="34"/>
      <c r="I9" s="34"/>
      <c r="J9" s="34"/>
      <c r="K9" s="34"/>
      <c r="L9" s="34"/>
      <c r="M9" s="34"/>
      <c r="N9" s="34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29"/>
      <c r="AU9" s="29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31"/>
      <c r="BP9" s="31"/>
      <c r="BQ9" s="31"/>
      <c r="BR9" s="31"/>
      <c r="BS9" s="31"/>
      <c r="BT9" s="31"/>
      <c r="BU9" s="32"/>
    </row>
    <row r="10" spans="1:85" s="5" customFormat="1" ht="18.600000000000001" customHeight="1" thickTop="1" x14ac:dyDescent="0.45">
      <c r="A10" s="30"/>
      <c r="B10" s="44"/>
      <c r="C10" s="32"/>
      <c r="D10" s="38" t="s">
        <v>19</v>
      </c>
      <c r="E10" s="188" t="s">
        <v>20</v>
      </c>
      <c r="F10" s="189"/>
      <c r="G10" s="189"/>
      <c r="H10" s="189"/>
      <c r="I10" s="189"/>
      <c r="J10" s="189"/>
      <c r="K10" s="189"/>
      <c r="L10" s="190"/>
      <c r="M10" s="191" t="s">
        <v>24</v>
      </c>
      <c r="N10" s="192"/>
      <c r="O10" s="192"/>
      <c r="P10" s="191" t="s">
        <v>33</v>
      </c>
      <c r="Q10" s="192"/>
      <c r="R10" s="192"/>
      <c r="S10" s="191" t="s">
        <v>34</v>
      </c>
      <c r="T10" s="192"/>
      <c r="U10" s="192"/>
      <c r="V10" s="191" t="s">
        <v>36</v>
      </c>
      <c r="W10" s="192"/>
      <c r="X10" s="192"/>
      <c r="Y10" s="192"/>
      <c r="Z10" s="192"/>
      <c r="AA10" s="200"/>
      <c r="AB10" s="191" t="s">
        <v>35</v>
      </c>
      <c r="AC10" s="192"/>
      <c r="AD10" s="192"/>
      <c r="AE10" s="192"/>
      <c r="AF10" s="192"/>
      <c r="AG10" s="192"/>
      <c r="AH10" s="192"/>
      <c r="AI10" s="192"/>
      <c r="AJ10" s="192"/>
      <c r="AK10" s="192"/>
      <c r="AL10" s="192"/>
      <c r="AM10" s="192"/>
      <c r="AN10" s="192"/>
      <c r="AO10" s="192"/>
      <c r="AP10" s="192"/>
      <c r="AQ10" s="200"/>
      <c r="AR10" s="191" t="s">
        <v>42</v>
      </c>
      <c r="AS10" s="192"/>
      <c r="AT10" s="192"/>
      <c r="AU10" s="192"/>
      <c r="AV10" s="192"/>
      <c r="AW10" s="200"/>
      <c r="AX10" s="191" t="s">
        <v>43</v>
      </c>
      <c r="AY10" s="192"/>
      <c r="AZ10" s="192"/>
      <c r="BA10" s="192"/>
      <c r="BB10" s="192"/>
      <c r="BC10" s="192"/>
      <c r="BD10" s="192"/>
      <c r="BE10" s="192"/>
      <c r="BF10" s="192"/>
      <c r="BG10" s="192"/>
      <c r="BH10" s="192"/>
      <c r="BI10" s="192"/>
      <c r="BJ10" s="192"/>
      <c r="BK10" s="192"/>
      <c r="BL10" s="192"/>
      <c r="BM10" s="192"/>
      <c r="BN10" s="192"/>
      <c r="BO10" s="192"/>
      <c r="BP10" s="192"/>
      <c r="BQ10" s="192"/>
      <c r="BR10" s="192"/>
      <c r="BS10" s="192"/>
      <c r="BT10" s="201"/>
      <c r="BU10" s="41"/>
      <c r="BV10" s="40"/>
      <c r="BW10" s="41"/>
      <c r="BX10" s="41"/>
      <c r="BY10" s="41"/>
      <c r="BZ10" s="41"/>
      <c r="CA10" s="41"/>
      <c r="CB10" s="30"/>
      <c r="CC10" s="30"/>
      <c r="CD10" s="30"/>
      <c r="CE10" s="30"/>
      <c r="CF10" s="30"/>
      <c r="CG10" s="30"/>
    </row>
    <row r="11" spans="1:85" s="5" customFormat="1" ht="20.100000000000001" customHeight="1" x14ac:dyDescent="0.45">
      <c r="A11" s="30"/>
      <c r="B11" s="44"/>
      <c r="C11" s="32"/>
      <c r="D11" s="37">
        <v>1</v>
      </c>
      <c r="E11" s="185" t="s">
        <v>58</v>
      </c>
      <c r="F11" s="186"/>
      <c r="G11" s="186"/>
      <c r="H11" s="186"/>
      <c r="I11" s="186"/>
      <c r="J11" s="186"/>
      <c r="K11" s="186"/>
      <c r="L11" s="187"/>
      <c r="M11" s="155" t="s">
        <v>8</v>
      </c>
      <c r="N11" s="156"/>
      <c r="O11" s="156"/>
      <c r="P11" s="155" t="s">
        <v>66</v>
      </c>
      <c r="Q11" s="156"/>
      <c r="R11" s="156"/>
      <c r="S11" s="155">
        <v>8</v>
      </c>
      <c r="T11" s="156"/>
      <c r="U11" s="156"/>
      <c r="V11" s="194" t="s">
        <v>67</v>
      </c>
      <c r="W11" s="195"/>
      <c r="X11" s="195"/>
      <c r="Y11" s="195"/>
      <c r="Z11" s="195"/>
      <c r="AA11" s="196"/>
      <c r="AB11" s="197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9"/>
      <c r="AR11" s="155"/>
      <c r="AS11" s="156"/>
      <c r="AT11" s="156"/>
      <c r="AU11" s="156"/>
      <c r="AV11" s="156"/>
      <c r="AW11" s="157"/>
      <c r="AX11" s="194"/>
      <c r="AY11" s="195"/>
      <c r="AZ11" s="195"/>
      <c r="BA11" s="195"/>
      <c r="BB11" s="195"/>
      <c r="BC11" s="195"/>
      <c r="BD11" s="195"/>
      <c r="BE11" s="195"/>
      <c r="BF11" s="195"/>
      <c r="BG11" s="195"/>
      <c r="BH11" s="195"/>
      <c r="BI11" s="195"/>
      <c r="BJ11" s="195"/>
      <c r="BK11" s="195"/>
      <c r="BL11" s="195"/>
      <c r="BM11" s="195"/>
      <c r="BN11" s="195"/>
      <c r="BO11" s="195"/>
      <c r="BP11" s="195"/>
      <c r="BQ11" s="195"/>
      <c r="BR11" s="195"/>
      <c r="BS11" s="195"/>
      <c r="BT11" s="202"/>
      <c r="BU11" s="41"/>
      <c r="BV11" s="40"/>
      <c r="BW11" s="41"/>
      <c r="BX11" s="41"/>
      <c r="BY11" s="41"/>
      <c r="BZ11" s="41"/>
      <c r="CA11" s="41"/>
      <c r="CB11" s="30"/>
      <c r="CC11" s="30"/>
      <c r="CD11" s="30"/>
      <c r="CE11" s="30"/>
      <c r="CF11" s="30"/>
      <c r="CG11" s="30"/>
    </row>
    <row r="12" spans="1:85" s="5" customFormat="1" ht="20.100000000000001" customHeight="1" x14ac:dyDescent="0.45">
      <c r="A12" s="30"/>
      <c r="B12" s="44"/>
      <c r="C12" s="32"/>
      <c r="D12" s="37">
        <v>2</v>
      </c>
      <c r="E12" s="185" t="s">
        <v>59</v>
      </c>
      <c r="F12" s="186"/>
      <c r="G12" s="186"/>
      <c r="H12" s="186"/>
      <c r="I12" s="186"/>
      <c r="J12" s="186"/>
      <c r="K12" s="186"/>
      <c r="L12" s="187"/>
      <c r="M12" s="155" t="s">
        <v>8</v>
      </c>
      <c r="N12" s="156"/>
      <c r="O12" s="156"/>
      <c r="P12" s="155" t="s">
        <v>66</v>
      </c>
      <c r="Q12" s="156"/>
      <c r="R12" s="156"/>
      <c r="S12" s="155">
        <v>8</v>
      </c>
      <c r="T12" s="156"/>
      <c r="U12" s="156"/>
      <c r="V12" s="194" t="s">
        <v>68</v>
      </c>
      <c r="W12" s="195"/>
      <c r="X12" s="195"/>
      <c r="Y12" s="195"/>
      <c r="Z12" s="195"/>
      <c r="AA12" s="196"/>
      <c r="AB12" s="197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9"/>
      <c r="AR12" s="155"/>
      <c r="AS12" s="156"/>
      <c r="AT12" s="156"/>
      <c r="AU12" s="156"/>
      <c r="AV12" s="156"/>
      <c r="AW12" s="157"/>
      <c r="AX12" s="194"/>
      <c r="AY12" s="195"/>
      <c r="AZ12" s="195"/>
      <c r="BA12" s="195"/>
      <c r="BB12" s="195"/>
      <c r="BC12" s="195"/>
      <c r="BD12" s="195"/>
      <c r="BE12" s="195"/>
      <c r="BF12" s="195"/>
      <c r="BG12" s="195"/>
      <c r="BH12" s="195"/>
      <c r="BI12" s="195"/>
      <c r="BJ12" s="195"/>
      <c r="BK12" s="195"/>
      <c r="BL12" s="195"/>
      <c r="BM12" s="195"/>
      <c r="BN12" s="195"/>
      <c r="BO12" s="195"/>
      <c r="BP12" s="195"/>
      <c r="BQ12" s="195"/>
      <c r="BR12" s="195"/>
      <c r="BS12" s="195"/>
      <c r="BT12" s="202"/>
      <c r="BU12" s="41"/>
      <c r="BV12" s="40"/>
      <c r="BW12" s="41"/>
      <c r="BX12" s="41"/>
      <c r="BY12" s="41"/>
      <c r="BZ12" s="41"/>
      <c r="CA12" s="41"/>
      <c r="CB12" s="30"/>
      <c r="CC12" s="30"/>
      <c r="CD12" s="30"/>
      <c r="CE12" s="30"/>
      <c r="CF12" s="30"/>
      <c r="CG12" s="30"/>
    </row>
    <row r="13" spans="1:85" s="5" customFormat="1" ht="20.100000000000001" customHeight="1" x14ac:dyDescent="0.45">
      <c r="A13" s="30"/>
      <c r="B13" s="44"/>
      <c r="C13" s="36"/>
      <c r="D13" s="37">
        <v>3</v>
      </c>
      <c r="E13" s="185" t="s">
        <v>60</v>
      </c>
      <c r="F13" s="186"/>
      <c r="G13" s="186"/>
      <c r="H13" s="186"/>
      <c r="I13" s="186"/>
      <c r="J13" s="186"/>
      <c r="K13" s="186"/>
      <c r="L13" s="187"/>
      <c r="M13" s="155" t="s">
        <v>8</v>
      </c>
      <c r="N13" s="156"/>
      <c r="O13" s="156"/>
      <c r="P13" s="155" t="s">
        <v>66</v>
      </c>
      <c r="Q13" s="156"/>
      <c r="R13" s="156"/>
      <c r="S13" s="155">
        <v>8</v>
      </c>
      <c r="T13" s="156"/>
      <c r="U13" s="156"/>
      <c r="V13" s="194" t="s">
        <v>71</v>
      </c>
      <c r="W13" s="195"/>
      <c r="X13" s="195"/>
      <c r="Y13" s="195"/>
      <c r="Z13" s="195"/>
      <c r="AA13" s="196"/>
      <c r="AB13" s="197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9"/>
      <c r="AR13" s="155"/>
      <c r="AS13" s="156"/>
      <c r="AT13" s="156"/>
      <c r="AU13" s="156"/>
      <c r="AV13" s="156"/>
      <c r="AW13" s="157"/>
      <c r="AX13" s="194"/>
      <c r="AY13" s="195"/>
      <c r="AZ13" s="195"/>
      <c r="BA13" s="195"/>
      <c r="BB13" s="195"/>
      <c r="BC13" s="195"/>
      <c r="BD13" s="195"/>
      <c r="BE13" s="195"/>
      <c r="BF13" s="195"/>
      <c r="BG13" s="195"/>
      <c r="BH13" s="195"/>
      <c r="BI13" s="195"/>
      <c r="BJ13" s="195"/>
      <c r="BK13" s="195"/>
      <c r="BL13" s="195"/>
      <c r="BM13" s="195"/>
      <c r="BN13" s="195"/>
      <c r="BO13" s="195"/>
      <c r="BP13" s="195"/>
      <c r="BQ13" s="195"/>
      <c r="BR13" s="195"/>
      <c r="BS13" s="195"/>
      <c r="BT13" s="202"/>
      <c r="BU13" s="41"/>
      <c r="BV13" s="40"/>
      <c r="BW13" s="41"/>
      <c r="BX13" s="41"/>
      <c r="BY13" s="41"/>
      <c r="BZ13" s="41"/>
      <c r="CA13" s="41"/>
      <c r="CB13" s="41"/>
      <c r="CC13" s="30"/>
      <c r="CD13" s="30"/>
      <c r="CE13" s="30"/>
      <c r="CF13" s="30"/>
      <c r="CG13" s="30"/>
    </row>
    <row r="14" spans="1:85" s="5" customFormat="1" ht="20.100000000000001" customHeight="1" x14ac:dyDescent="0.45">
      <c r="A14" s="30"/>
      <c r="B14" s="44"/>
      <c r="C14" s="36"/>
      <c r="D14" s="37">
        <v>4</v>
      </c>
      <c r="E14" s="185" t="s">
        <v>61</v>
      </c>
      <c r="F14" s="186"/>
      <c r="G14" s="186"/>
      <c r="H14" s="186"/>
      <c r="I14" s="186"/>
      <c r="J14" s="186"/>
      <c r="K14" s="186"/>
      <c r="L14" s="187"/>
      <c r="M14" s="155" t="s">
        <v>38</v>
      </c>
      <c r="N14" s="156"/>
      <c r="O14" s="156"/>
      <c r="P14" s="155" t="s">
        <v>66</v>
      </c>
      <c r="Q14" s="156"/>
      <c r="R14" s="156"/>
      <c r="S14" s="155">
        <v>4</v>
      </c>
      <c r="T14" s="156"/>
      <c r="U14" s="156"/>
      <c r="V14" s="194" t="s">
        <v>137</v>
      </c>
      <c r="W14" s="195"/>
      <c r="X14" s="195"/>
      <c r="Y14" s="195"/>
      <c r="Z14" s="195"/>
      <c r="AA14" s="196"/>
      <c r="AB14" s="197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9"/>
      <c r="AR14" s="155"/>
      <c r="AS14" s="156"/>
      <c r="AT14" s="156"/>
      <c r="AU14" s="156"/>
      <c r="AV14" s="156"/>
      <c r="AW14" s="157"/>
      <c r="AX14" s="194"/>
      <c r="AY14" s="195"/>
      <c r="AZ14" s="195"/>
      <c r="BA14" s="195"/>
      <c r="BB14" s="195"/>
      <c r="BC14" s="195"/>
      <c r="BD14" s="195"/>
      <c r="BE14" s="195"/>
      <c r="BF14" s="195"/>
      <c r="BG14" s="195"/>
      <c r="BH14" s="195"/>
      <c r="BI14" s="195"/>
      <c r="BJ14" s="195"/>
      <c r="BK14" s="195"/>
      <c r="BL14" s="195"/>
      <c r="BM14" s="195"/>
      <c r="BN14" s="195"/>
      <c r="BO14" s="195"/>
      <c r="BP14" s="195"/>
      <c r="BQ14" s="195"/>
      <c r="BR14" s="195"/>
      <c r="BS14" s="195"/>
      <c r="BT14" s="202"/>
      <c r="BU14" s="41"/>
      <c r="BV14" s="40"/>
      <c r="BW14" s="41"/>
      <c r="BX14" s="41"/>
      <c r="BY14" s="41"/>
      <c r="BZ14" s="41"/>
      <c r="CA14" s="41"/>
      <c r="CB14" s="41"/>
      <c r="CC14" s="30"/>
      <c r="CD14" s="30"/>
      <c r="CE14" s="30"/>
      <c r="CF14" s="30"/>
      <c r="CG14" s="30"/>
    </row>
    <row r="15" spans="1:85" s="5" customFormat="1" ht="20.100000000000001" customHeight="1" x14ac:dyDescent="0.45">
      <c r="A15" s="30"/>
      <c r="B15" s="44"/>
      <c r="C15" s="36"/>
      <c r="D15" s="37">
        <v>5</v>
      </c>
      <c r="E15" s="185" t="s">
        <v>80</v>
      </c>
      <c r="F15" s="186"/>
      <c r="G15" s="186"/>
      <c r="H15" s="186"/>
      <c r="I15" s="186"/>
      <c r="J15" s="186"/>
      <c r="K15" s="186"/>
      <c r="L15" s="187"/>
      <c r="M15" s="155" t="s">
        <v>38</v>
      </c>
      <c r="N15" s="156"/>
      <c r="O15" s="156"/>
      <c r="P15" s="165" t="s">
        <v>82</v>
      </c>
      <c r="Q15" s="193"/>
      <c r="R15" s="193"/>
      <c r="S15" s="165" t="s">
        <v>83</v>
      </c>
      <c r="T15" s="193"/>
      <c r="U15" s="193"/>
      <c r="V15" s="194" t="s">
        <v>141</v>
      </c>
      <c r="W15" s="195"/>
      <c r="X15" s="195"/>
      <c r="Y15" s="195"/>
      <c r="Z15" s="195"/>
      <c r="AA15" s="196"/>
      <c r="AB15" s="197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9"/>
      <c r="AR15" s="155"/>
      <c r="AS15" s="156"/>
      <c r="AT15" s="156"/>
      <c r="AU15" s="156"/>
      <c r="AV15" s="156"/>
      <c r="AW15" s="157"/>
      <c r="AX15" s="194"/>
      <c r="AY15" s="195"/>
      <c r="AZ15" s="195"/>
      <c r="BA15" s="195"/>
      <c r="BB15" s="195"/>
      <c r="BC15" s="195"/>
      <c r="BD15" s="195"/>
      <c r="BE15" s="195"/>
      <c r="BF15" s="195"/>
      <c r="BG15" s="195"/>
      <c r="BH15" s="195"/>
      <c r="BI15" s="195"/>
      <c r="BJ15" s="195"/>
      <c r="BK15" s="195"/>
      <c r="BL15" s="195"/>
      <c r="BM15" s="195"/>
      <c r="BN15" s="195"/>
      <c r="BO15" s="195"/>
      <c r="BP15" s="195"/>
      <c r="BQ15" s="195"/>
      <c r="BR15" s="195"/>
      <c r="BS15" s="195"/>
      <c r="BT15" s="202"/>
      <c r="BU15" s="41"/>
      <c r="BV15" s="40"/>
      <c r="BW15" s="41"/>
      <c r="BX15" s="41"/>
      <c r="BY15" s="41"/>
      <c r="BZ15" s="41"/>
      <c r="CA15" s="41"/>
      <c r="CB15" s="41"/>
      <c r="CC15" s="30"/>
      <c r="CD15" s="30"/>
      <c r="CE15" s="30"/>
      <c r="CF15" s="30"/>
      <c r="CG15" s="30"/>
    </row>
    <row r="16" spans="1:85" s="5" customFormat="1" ht="20.100000000000001" customHeight="1" x14ac:dyDescent="0.45">
      <c r="A16" s="30"/>
      <c r="B16" s="44"/>
      <c r="C16" s="30"/>
      <c r="D16" s="37">
        <v>6</v>
      </c>
      <c r="E16" s="88" t="s">
        <v>81</v>
      </c>
      <c r="F16" s="89"/>
      <c r="G16" s="89"/>
      <c r="H16" s="89"/>
      <c r="I16" s="89"/>
      <c r="J16" s="89"/>
      <c r="K16" s="89"/>
      <c r="L16" s="90"/>
      <c r="M16" s="155" t="s">
        <v>38</v>
      </c>
      <c r="N16" s="156"/>
      <c r="O16" s="156"/>
      <c r="P16" s="165" t="s">
        <v>82</v>
      </c>
      <c r="Q16" s="193"/>
      <c r="R16" s="193"/>
      <c r="S16" s="165" t="s">
        <v>83</v>
      </c>
      <c r="T16" s="193"/>
      <c r="U16" s="193"/>
      <c r="V16" s="194" t="s">
        <v>142</v>
      </c>
      <c r="W16" s="195"/>
      <c r="X16" s="195"/>
      <c r="Y16" s="195"/>
      <c r="Z16" s="195"/>
      <c r="AA16" s="196"/>
      <c r="AB16" s="197"/>
      <c r="AC16" s="198"/>
      <c r="AD16" s="198"/>
      <c r="AE16" s="198"/>
      <c r="AF16" s="198"/>
      <c r="AG16" s="198"/>
      <c r="AH16" s="198"/>
      <c r="AI16" s="198"/>
      <c r="AJ16" s="198"/>
      <c r="AK16" s="198"/>
      <c r="AL16" s="198"/>
      <c r="AM16" s="198"/>
      <c r="AN16" s="198"/>
      <c r="AO16" s="198"/>
      <c r="AP16" s="198"/>
      <c r="AQ16" s="199"/>
      <c r="AR16" s="155"/>
      <c r="AS16" s="156"/>
      <c r="AT16" s="156"/>
      <c r="AU16" s="156"/>
      <c r="AV16" s="156"/>
      <c r="AW16" s="157"/>
      <c r="AX16" s="194"/>
      <c r="AY16" s="195"/>
      <c r="AZ16" s="195"/>
      <c r="BA16" s="195"/>
      <c r="BB16" s="195"/>
      <c r="BC16" s="195"/>
      <c r="BD16" s="195"/>
      <c r="BE16" s="195"/>
      <c r="BF16" s="195"/>
      <c r="BG16" s="195"/>
      <c r="BH16" s="195"/>
      <c r="BI16" s="195"/>
      <c r="BJ16" s="195"/>
      <c r="BK16" s="195"/>
      <c r="BL16" s="195"/>
      <c r="BM16" s="195"/>
      <c r="BN16" s="195"/>
      <c r="BO16" s="195"/>
      <c r="BP16" s="195"/>
      <c r="BQ16" s="195"/>
      <c r="BR16" s="195"/>
      <c r="BS16" s="195"/>
      <c r="BT16" s="202"/>
      <c r="BU16" s="41"/>
      <c r="BV16" s="40"/>
      <c r="BW16" s="41"/>
      <c r="BX16" s="41"/>
      <c r="BY16" s="41"/>
      <c r="BZ16" s="41"/>
      <c r="CA16" s="41"/>
      <c r="CB16" s="41"/>
      <c r="CC16" s="30"/>
      <c r="CD16" s="30"/>
      <c r="CE16" s="30"/>
      <c r="CF16" s="30"/>
      <c r="CG16" s="30"/>
    </row>
    <row r="17" spans="1:85" s="5" customFormat="1" ht="20.100000000000001" customHeight="1" x14ac:dyDescent="0.45">
      <c r="A17" s="30"/>
      <c r="B17" s="44"/>
      <c r="C17" s="30"/>
      <c r="D17" s="37">
        <v>7</v>
      </c>
      <c r="E17" s="185" t="s">
        <v>62</v>
      </c>
      <c r="F17" s="186"/>
      <c r="G17" s="186"/>
      <c r="H17" s="186"/>
      <c r="I17" s="186"/>
      <c r="J17" s="186"/>
      <c r="K17" s="186"/>
      <c r="L17" s="187"/>
      <c r="M17" s="155" t="s">
        <v>8</v>
      </c>
      <c r="N17" s="156"/>
      <c r="O17" s="156"/>
      <c r="P17" s="155" t="s">
        <v>66</v>
      </c>
      <c r="Q17" s="156"/>
      <c r="R17" s="156"/>
      <c r="S17" s="155">
        <v>8</v>
      </c>
      <c r="T17" s="156"/>
      <c r="U17" s="156"/>
      <c r="V17" s="194" t="s">
        <v>143</v>
      </c>
      <c r="W17" s="195"/>
      <c r="X17" s="195"/>
      <c r="Y17" s="195"/>
      <c r="Z17" s="195"/>
      <c r="AA17" s="196"/>
      <c r="AB17" s="197"/>
      <c r="AC17" s="198"/>
      <c r="AD17" s="198"/>
      <c r="AE17" s="198"/>
      <c r="AF17" s="198"/>
      <c r="AG17" s="198"/>
      <c r="AH17" s="198"/>
      <c r="AI17" s="198"/>
      <c r="AJ17" s="198"/>
      <c r="AK17" s="198"/>
      <c r="AL17" s="198"/>
      <c r="AM17" s="198"/>
      <c r="AN17" s="198"/>
      <c r="AO17" s="198"/>
      <c r="AP17" s="198"/>
      <c r="AQ17" s="199"/>
      <c r="AR17" s="155"/>
      <c r="AS17" s="156"/>
      <c r="AT17" s="156"/>
      <c r="AU17" s="156"/>
      <c r="AV17" s="156"/>
      <c r="AW17" s="157"/>
      <c r="AX17" s="194"/>
      <c r="AY17" s="195"/>
      <c r="AZ17" s="195"/>
      <c r="BA17" s="195"/>
      <c r="BB17" s="195"/>
      <c r="BC17" s="195"/>
      <c r="BD17" s="195"/>
      <c r="BE17" s="195"/>
      <c r="BF17" s="195"/>
      <c r="BG17" s="195"/>
      <c r="BH17" s="195"/>
      <c r="BI17" s="195"/>
      <c r="BJ17" s="195"/>
      <c r="BK17" s="195"/>
      <c r="BL17" s="195"/>
      <c r="BM17" s="195"/>
      <c r="BN17" s="195"/>
      <c r="BO17" s="195"/>
      <c r="BP17" s="195"/>
      <c r="BQ17" s="195"/>
      <c r="BR17" s="195"/>
      <c r="BS17" s="195"/>
      <c r="BT17" s="202"/>
      <c r="BU17" s="41"/>
      <c r="BV17" s="40"/>
      <c r="BW17" s="41"/>
      <c r="BX17" s="41"/>
      <c r="BY17" s="41"/>
      <c r="BZ17" s="41"/>
      <c r="CA17" s="41"/>
      <c r="CB17" s="41"/>
      <c r="CC17" s="30"/>
      <c r="CD17" s="30"/>
      <c r="CE17" s="30"/>
      <c r="CF17" s="30"/>
      <c r="CG17" s="30"/>
    </row>
    <row r="18" spans="1:85" s="5" customFormat="1" ht="20.100000000000001" customHeight="1" x14ac:dyDescent="0.45">
      <c r="A18" s="30"/>
      <c r="B18" s="44"/>
      <c r="C18"/>
      <c r="D18" s="37">
        <v>8</v>
      </c>
      <c r="E18" s="185" t="s">
        <v>63</v>
      </c>
      <c r="F18" s="186"/>
      <c r="G18" s="186"/>
      <c r="H18" s="186"/>
      <c r="I18" s="186"/>
      <c r="J18" s="186"/>
      <c r="K18" s="186"/>
      <c r="L18" s="187"/>
      <c r="M18" s="155" t="s">
        <v>47</v>
      </c>
      <c r="N18" s="156"/>
      <c r="O18" s="156"/>
      <c r="P18" s="155" t="s">
        <v>66</v>
      </c>
      <c r="Q18" s="156"/>
      <c r="R18" s="156"/>
      <c r="S18" s="155">
        <v>9</v>
      </c>
      <c r="T18" s="156"/>
      <c r="U18" s="156"/>
      <c r="V18" s="194" t="s">
        <v>144</v>
      </c>
      <c r="W18" s="195"/>
      <c r="X18" s="195"/>
      <c r="Y18" s="195"/>
      <c r="Z18" s="195"/>
      <c r="AA18" s="196"/>
      <c r="AB18" s="197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9"/>
      <c r="AR18" s="210">
        <v>9999</v>
      </c>
      <c r="AS18" s="156"/>
      <c r="AT18" s="156"/>
      <c r="AU18" s="156"/>
      <c r="AV18" s="156"/>
      <c r="AW18" s="157"/>
      <c r="AX18" s="194"/>
      <c r="AY18" s="195"/>
      <c r="AZ18" s="195"/>
      <c r="BA18" s="195"/>
      <c r="BB18" s="195"/>
      <c r="BC18" s="195"/>
      <c r="BD18" s="195"/>
      <c r="BE18" s="195"/>
      <c r="BF18" s="195"/>
      <c r="BG18" s="195"/>
      <c r="BH18" s="195"/>
      <c r="BI18" s="195"/>
      <c r="BJ18" s="195"/>
      <c r="BK18" s="195"/>
      <c r="BL18" s="195"/>
      <c r="BM18" s="195"/>
      <c r="BN18" s="195"/>
      <c r="BO18" s="195"/>
      <c r="BP18" s="195"/>
      <c r="BQ18" s="195"/>
      <c r="BR18" s="195"/>
      <c r="BS18" s="195"/>
      <c r="BT18" s="202"/>
      <c r="BU18" s="41"/>
      <c r="BV18" s="40"/>
      <c r="BW18" s="41"/>
      <c r="BX18" s="41"/>
      <c r="BY18" s="41"/>
      <c r="BZ18" s="41"/>
      <c r="CA18" s="41"/>
      <c r="CB18" s="41"/>
      <c r="CC18" s="30"/>
      <c r="CD18" s="30"/>
      <c r="CE18" s="30"/>
      <c r="CF18" s="30"/>
      <c r="CG18" s="30"/>
    </row>
    <row r="19" spans="1:85" s="5" customFormat="1" ht="20.100000000000001" customHeight="1" x14ac:dyDescent="0.45">
      <c r="A19" s="29"/>
      <c r="B19" s="35"/>
      <c r="C19"/>
      <c r="D19" s="37">
        <v>9</v>
      </c>
      <c r="E19" s="185" t="s">
        <v>64</v>
      </c>
      <c r="F19" s="186"/>
      <c r="G19" s="186"/>
      <c r="H19" s="186"/>
      <c r="I19" s="186"/>
      <c r="J19" s="186"/>
      <c r="K19" s="186"/>
      <c r="L19" s="187"/>
      <c r="M19" s="155" t="s">
        <v>8</v>
      </c>
      <c r="N19" s="156"/>
      <c r="O19" s="156"/>
      <c r="P19" s="155" t="s">
        <v>66</v>
      </c>
      <c r="Q19" s="156"/>
      <c r="R19" s="156"/>
      <c r="S19" s="155">
        <v>8</v>
      </c>
      <c r="T19" s="156"/>
      <c r="U19" s="156"/>
      <c r="V19" s="194" t="s">
        <v>145</v>
      </c>
      <c r="W19" s="195"/>
      <c r="X19" s="195"/>
      <c r="Y19" s="195"/>
      <c r="Z19" s="195"/>
      <c r="AA19" s="196"/>
      <c r="AB19" s="197"/>
      <c r="AC19" s="198"/>
      <c r="AD19" s="198"/>
      <c r="AE19" s="198"/>
      <c r="AF19" s="198"/>
      <c r="AG19" s="198"/>
      <c r="AH19" s="198"/>
      <c r="AI19" s="198"/>
      <c r="AJ19" s="198"/>
      <c r="AK19" s="198"/>
      <c r="AL19" s="198"/>
      <c r="AM19" s="198"/>
      <c r="AN19" s="198"/>
      <c r="AO19" s="198"/>
      <c r="AP19" s="198"/>
      <c r="AQ19" s="199"/>
      <c r="AR19" s="155"/>
      <c r="AS19" s="156"/>
      <c r="AT19" s="156"/>
      <c r="AU19" s="156"/>
      <c r="AV19" s="156"/>
      <c r="AW19" s="157"/>
      <c r="AX19" s="194"/>
      <c r="AY19" s="195"/>
      <c r="AZ19" s="195"/>
      <c r="BA19" s="195"/>
      <c r="BB19" s="195"/>
      <c r="BC19" s="195"/>
      <c r="BD19" s="195"/>
      <c r="BE19" s="195"/>
      <c r="BF19" s="195"/>
      <c r="BG19" s="195"/>
      <c r="BH19" s="195"/>
      <c r="BI19" s="195"/>
      <c r="BJ19" s="195"/>
      <c r="BK19" s="195"/>
      <c r="BL19" s="195"/>
      <c r="BM19" s="195"/>
      <c r="BN19" s="195"/>
      <c r="BO19" s="195"/>
      <c r="BP19" s="195"/>
      <c r="BQ19" s="195"/>
      <c r="BR19" s="195"/>
      <c r="BS19" s="195"/>
      <c r="BT19" s="202"/>
      <c r="BU19" s="29"/>
      <c r="BV19" s="40"/>
      <c r="BW19" s="41"/>
      <c r="BX19" s="41"/>
      <c r="BY19" s="41"/>
      <c r="BZ19" s="41"/>
      <c r="CA19" s="41"/>
      <c r="CB19" s="41"/>
      <c r="CC19" s="41"/>
      <c r="CD19" s="41"/>
      <c r="CE19" s="41"/>
      <c r="CF19" s="31"/>
      <c r="CG19" s="31"/>
    </row>
    <row r="20" spans="1:85" s="5" customFormat="1" ht="20.100000000000001" customHeight="1" x14ac:dyDescent="0.45">
      <c r="A20" s="29"/>
      <c r="B20" s="35"/>
      <c r="C20"/>
      <c r="D20" s="37">
        <v>10</v>
      </c>
      <c r="E20" s="185" t="s">
        <v>65</v>
      </c>
      <c r="F20" s="186"/>
      <c r="G20" s="186"/>
      <c r="H20" s="186"/>
      <c r="I20" s="186"/>
      <c r="J20" s="186"/>
      <c r="K20" s="186"/>
      <c r="L20" s="187"/>
      <c r="M20" s="155" t="s">
        <v>38</v>
      </c>
      <c r="N20" s="156"/>
      <c r="O20" s="156"/>
      <c r="P20" s="155" t="s">
        <v>69</v>
      </c>
      <c r="Q20" s="156"/>
      <c r="R20" s="156"/>
      <c r="S20" s="155">
        <v>8</v>
      </c>
      <c r="T20" s="156"/>
      <c r="U20" s="156"/>
      <c r="V20" s="194"/>
      <c r="W20" s="195"/>
      <c r="X20" s="195"/>
      <c r="Y20" s="195"/>
      <c r="Z20" s="195"/>
      <c r="AA20" s="196"/>
      <c r="AB20" s="197"/>
      <c r="AC20" s="198"/>
      <c r="AD20" s="198"/>
      <c r="AE20" s="198"/>
      <c r="AF20" s="198"/>
      <c r="AG20" s="198"/>
      <c r="AH20" s="198"/>
      <c r="AI20" s="198"/>
      <c r="AJ20" s="198"/>
      <c r="AK20" s="198"/>
      <c r="AL20" s="198"/>
      <c r="AM20" s="198"/>
      <c r="AN20" s="198"/>
      <c r="AO20" s="198"/>
      <c r="AP20" s="198"/>
      <c r="AQ20" s="199"/>
      <c r="AR20" s="155"/>
      <c r="AS20" s="156"/>
      <c r="AT20" s="156"/>
      <c r="AU20" s="156"/>
      <c r="AV20" s="156"/>
      <c r="AW20" s="157"/>
      <c r="AX20" s="194"/>
      <c r="AY20" s="195"/>
      <c r="AZ20" s="195"/>
      <c r="BA20" s="195"/>
      <c r="BB20" s="195"/>
      <c r="BC20" s="195"/>
      <c r="BD20" s="195"/>
      <c r="BE20" s="195"/>
      <c r="BF20" s="195"/>
      <c r="BG20" s="195"/>
      <c r="BH20" s="195"/>
      <c r="BI20" s="195"/>
      <c r="BJ20" s="195"/>
      <c r="BK20" s="195"/>
      <c r="BL20" s="195"/>
      <c r="BM20" s="195"/>
      <c r="BN20" s="195"/>
      <c r="BO20" s="195"/>
      <c r="BP20" s="195"/>
      <c r="BQ20" s="195"/>
      <c r="BR20" s="195"/>
      <c r="BS20" s="195"/>
      <c r="BT20" s="202"/>
      <c r="BU20" s="41"/>
      <c r="BV20" s="40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</row>
    <row r="21" spans="1:85" s="5" customFormat="1" ht="20.100000000000001" customHeight="1" x14ac:dyDescent="0.45">
      <c r="A21" s="29"/>
      <c r="B21" s="35"/>
      <c r="C21"/>
      <c r="D21" s="37">
        <v>11</v>
      </c>
      <c r="E21" s="185"/>
      <c r="F21" s="186"/>
      <c r="G21" s="186"/>
      <c r="H21" s="186"/>
      <c r="I21" s="186"/>
      <c r="J21" s="186"/>
      <c r="K21" s="186"/>
      <c r="L21" s="187"/>
      <c r="M21" s="155"/>
      <c r="N21" s="156"/>
      <c r="O21" s="156"/>
      <c r="P21" s="155"/>
      <c r="Q21" s="156"/>
      <c r="R21" s="156"/>
      <c r="S21" s="155"/>
      <c r="T21" s="156"/>
      <c r="U21" s="156"/>
      <c r="V21" s="194"/>
      <c r="W21" s="195"/>
      <c r="X21" s="195"/>
      <c r="Y21" s="195"/>
      <c r="Z21" s="195"/>
      <c r="AA21" s="196"/>
      <c r="AB21" s="197"/>
      <c r="AC21" s="198"/>
      <c r="AD21" s="198"/>
      <c r="AE21" s="198"/>
      <c r="AF21" s="198"/>
      <c r="AG21" s="198"/>
      <c r="AH21" s="198"/>
      <c r="AI21" s="198"/>
      <c r="AJ21" s="198"/>
      <c r="AK21" s="198"/>
      <c r="AL21" s="198"/>
      <c r="AM21" s="198"/>
      <c r="AN21" s="198"/>
      <c r="AO21" s="198"/>
      <c r="AP21" s="198"/>
      <c r="AQ21" s="199"/>
      <c r="AR21" s="155"/>
      <c r="AS21" s="156"/>
      <c r="AT21" s="156"/>
      <c r="AU21" s="156"/>
      <c r="AV21" s="156"/>
      <c r="AW21" s="157"/>
      <c r="AX21" s="194"/>
      <c r="AY21" s="195"/>
      <c r="AZ21" s="195"/>
      <c r="BA21" s="195"/>
      <c r="BB21" s="195"/>
      <c r="BC21" s="195"/>
      <c r="BD21" s="195"/>
      <c r="BE21" s="195"/>
      <c r="BF21" s="195"/>
      <c r="BG21" s="195"/>
      <c r="BH21" s="195"/>
      <c r="BI21" s="195"/>
      <c r="BJ21" s="195"/>
      <c r="BK21" s="195"/>
      <c r="BL21" s="195"/>
      <c r="BM21" s="195"/>
      <c r="BN21" s="195"/>
      <c r="BO21" s="195"/>
      <c r="BP21" s="195"/>
      <c r="BQ21" s="195"/>
      <c r="BR21" s="195"/>
      <c r="BS21" s="195"/>
      <c r="BT21" s="202"/>
      <c r="BU21" s="41"/>
      <c r="BV21" s="40"/>
      <c r="BW21" s="41"/>
      <c r="BX21" s="41"/>
      <c r="BY21" s="41"/>
      <c r="BZ21" s="41"/>
      <c r="CA21" s="41"/>
      <c r="CB21" s="41"/>
      <c r="CC21" s="41"/>
      <c r="CD21" s="41"/>
      <c r="CE21" s="41"/>
      <c r="CF21" s="41"/>
      <c r="CG21" s="41"/>
    </row>
    <row r="22" spans="1:85" s="5" customFormat="1" ht="20.100000000000001" customHeight="1" x14ac:dyDescent="0.45">
      <c r="A22" s="29"/>
      <c r="B22" s="35"/>
      <c r="C22"/>
      <c r="D22" s="37">
        <v>12</v>
      </c>
      <c r="E22" s="185"/>
      <c r="F22" s="186"/>
      <c r="G22" s="186"/>
      <c r="H22" s="186"/>
      <c r="I22" s="186"/>
      <c r="J22" s="186"/>
      <c r="K22" s="186"/>
      <c r="L22" s="187"/>
      <c r="M22" s="155"/>
      <c r="N22" s="156"/>
      <c r="O22" s="156"/>
      <c r="P22" s="155"/>
      <c r="Q22" s="156"/>
      <c r="R22" s="156"/>
      <c r="S22" s="155"/>
      <c r="T22" s="156"/>
      <c r="U22" s="156"/>
      <c r="V22" s="194"/>
      <c r="W22" s="195"/>
      <c r="X22" s="195"/>
      <c r="Y22" s="195"/>
      <c r="Z22" s="195"/>
      <c r="AA22" s="196"/>
      <c r="AB22" s="197"/>
      <c r="AC22" s="198"/>
      <c r="AD22" s="198"/>
      <c r="AE22" s="198"/>
      <c r="AF22" s="198"/>
      <c r="AG22" s="198"/>
      <c r="AH22" s="198"/>
      <c r="AI22" s="198"/>
      <c r="AJ22" s="198"/>
      <c r="AK22" s="198"/>
      <c r="AL22" s="198"/>
      <c r="AM22" s="198"/>
      <c r="AN22" s="198"/>
      <c r="AO22" s="198"/>
      <c r="AP22" s="198"/>
      <c r="AQ22" s="199"/>
      <c r="AR22" s="155"/>
      <c r="AS22" s="156"/>
      <c r="AT22" s="156"/>
      <c r="AU22" s="156"/>
      <c r="AV22" s="156"/>
      <c r="AW22" s="157"/>
      <c r="AX22" s="194"/>
      <c r="AY22" s="195"/>
      <c r="AZ22" s="195"/>
      <c r="BA22" s="195"/>
      <c r="BB22" s="195"/>
      <c r="BC22" s="195"/>
      <c r="BD22" s="195"/>
      <c r="BE22" s="195"/>
      <c r="BF22" s="195"/>
      <c r="BG22" s="195"/>
      <c r="BH22" s="195"/>
      <c r="BI22" s="195"/>
      <c r="BJ22" s="195"/>
      <c r="BK22" s="195"/>
      <c r="BL22" s="195"/>
      <c r="BM22" s="195"/>
      <c r="BN22" s="195"/>
      <c r="BO22" s="195"/>
      <c r="BP22" s="195"/>
      <c r="BQ22" s="195"/>
      <c r="BR22" s="195"/>
      <c r="BS22" s="195"/>
      <c r="BT22" s="202"/>
      <c r="BU22" s="41"/>
      <c r="BV22" s="40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</row>
    <row r="23" spans="1:85" s="5" customFormat="1" ht="20.100000000000001" customHeight="1" x14ac:dyDescent="0.45">
      <c r="A23" s="29"/>
      <c r="B23" s="35"/>
      <c r="C23"/>
      <c r="D23" s="37">
        <v>13</v>
      </c>
      <c r="E23" s="185"/>
      <c r="F23" s="186"/>
      <c r="G23" s="186"/>
      <c r="H23" s="186"/>
      <c r="I23" s="186"/>
      <c r="J23" s="186"/>
      <c r="K23" s="186"/>
      <c r="L23" s="187"/>
      <c r="M23" s="155"/>
      <c r="N23" s="156"/>
      <c r="O23" s="156"/>
      <c r="P23" s="155"/>
      <c r="Q23" s="156"/>
      <c r="R23" s="156"/>
      <c r="S23" s="155"/>
      <c r="T23" s="156"/>
      <c r="U23" s="156"/>
      <c r="V23" s="194"/>
      <c r="W23" s="195"/>
      <c r="X23" s="195"/>
      <c r="Y23" s="195"/>
      <c r="Z23" s="195"/>
      <c r="AA23" s="196"/>
      <c r="AB23" s="197"/>
      <c r="AC23" s="198"/>
      <c r="AD23" s="198"/>
      <c r="AE23" s="198"/>
      <c r="AF23" s="198"/>
      <c r="AG23" s="198"/>
      <c r="AH23" s="198"/>
      <c r="AI23" s="198"/>
      <c r="AJ23" s="198"/>
      <c r="AK23" s="198"/>
      <c r="AL23" s="198"/>
      <c r="AM23" s="198"/>
      <c r="AN23" s="198"/>
      <c r="AO23" s="198"/>
      <c r="AP23" s="198"/>
      <c r="AQ23" s="199"/>
      <c r="AR23" s="155"/>
      <c r="AS23" s="156"/>
      <c r="AT23" s="156"/>
      <c r="AU23" s="156"/>
      <c r="AV23" s="156"/>
      <c r="AW23" s="157"/>
      <c r="AX23" s="194"/>
      <c r="AY23" s="195"/>
      <c r="AZ23" s="195"/>
      <c r="BA23" s="195"/>
      <c r="BB23" s="195"/>
      <c r="BC23" s="195"/>
      <c r="BD23" s="195"/>
      <c r="BE23" s="195"/>
      <c r="BF23" s="195"/>
      <c r="BG23" s="195"/>
      <c r="BH23" s="195"/>
      <c r="BI23" s="195"/>
      <c r="BJ23" s="195"/>
      <c r="BK23" s="195"/>
      <c r="BL23" s="195"/>
      <c r="BM23" s="195"/>
      <c r="BN23" s="195"/>
      <c r="BO23" s="195"/>
      <c r="BP23" s="195"/>
      <c r="BQ23" s="195"/>
      <c r="BR23" s="195"/>
      <c r="BS23" s="195"/>
      <c r="BT23" s="202"/>
      <c r="BU23" s="41"/>
      <c r="BV23" s="40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</row>
    <row r="24" spans="1:85" s="5" customFormat="1" ht="20.100000000000001" customHeight="1" x14ac:dyDescent="0.45">
      <c r="A24" s="29"/>
      <c r="B24" s="35"/>
      <c r="C24"/>
      <c r="D24" s="37">
        <v>14</v>
      </c>
      <c r="E24" s="185"/>
      <c r="F24" s="186"/>
      <c r="G24" s="186"/>
      <c r="H24" s="186"/>
      <c r="I24" s="186"/>
      <c r="J24" s="186"/>
      <c r="K24" s="186"/>
      <c r="L24" s="187"/>
      <c r="M24" s="155"/>
      <c r="N24" s="156"/>
      <c r="O24" s="156"/>
      <c r="P24" s="155"/>
      <c r="Q24" s="156"/>
      <c r="R24" s="156"/>
      <c r="S24" s="155"/>
      <c r="T24" s="156"/>
      <c r="U24" s="156"/>
      <c r="V24" s="194"/>
      <c r="W24" s="195"/>
      <c r="X24" s="195"/>
      <c r="Y24" s="195"/>
      <c r="Z24" s="195"/>
      <c r="AA24" s="196"/>
      <c r="AB24" s="197"/>
      <c r="AC24" s="198"/>
      <c r="AD24" s="198"/>
      <c r="AE24" s="198"/>
      <c r="AF24" s="198"/>
      <c r="AG24" s="198"/>
      <c r="AH24" s="198"/>
      <c r="AI24" s="198"/>
      <c r="AJ24" s="198"/>
      <c r="AK24" s="198"/>
      <c r="AL24" s="198"/>
      <c r="AM24" s="198"/>
      <c r="AN24" s="198"/>
      <c r="AO24" s="198"/>
      <c r="AP24" s="198"/>
      <c r="AQ24" s="199"/>
      <c r="AR24" s="155"/>
      <c r="AS24" s="156"/>
      <c r="AT24" s="156"/>
      <c r="AU24" s="156"/>
      <c r="AV24" s="156"/>
      <c r="AW24" s="157"/>
      <c r="AX24" s="194"/>
      <c r="AY24" s="195"/>
      <c r="AZ24" s="195"/>
      <c r="BA24" s="195"/>
      <c r="BB24" s="195"/>
      <c r="BC24" s="195"/>
      <c r="BD24" s="195"/>
      <c r="BE24" s="195"/>
      <c r="BF24" s="195"/>
      <c r="BG24" s="195"/>
      <c r="BH24" s="195"/>
      <c r="BI24" s="195"/>
      <c r="BJ24" s="195"/>
      <c r="BK24" s="195"/>
      <c r="BL24" s="195"/>
      <c r="BM24" s="195"/>
      <c r="BN24" s="195"/>
      <c r="BO24" s="195"/>
      <c r="BP24" s="195"/>
      <c r="BQ24" s="195"/>
      <c r="BR24" s="195"/>
      <c r="BS24" s="195"/>
      <c r="BT24" s="202"/>
      <c r="BU24" s="41"/>
      <c r="BV24" s="40"/>
      <c r="BW24" s="41"/>
      <c r="BX24" s="41"/>
      <c r="BY24" s="41"/>
      <c r="BZ24" s="41"/>
      <c r="CA24" s="41"/>
      <c r="CB24" s="41"/>
      <c r="CC24" s="41"/>
      <c r="CD24" s="41"/>
      <c r="CE24" s="41"/>
      <c r="CF24" s="41"/>
      <c r="CG24" s="41"/>
    </row>
    <row r="25" spans="1:85" s="5" customFormat="1" ht="20.100000000000001" customHeight="1" x14ac:dyDescent="0.45">
      <c r="A25" s="29"/>
      <c r="B25" s="35"/>
      <c r="C25"/>
      <c r="D25" s="37">
        <v>15</v>
      </c>
      <c r="E25" s="185"/>
      <c r="F25" s="186"/>
      <c r="G25" s="186"/>
      <c r="H25" s="186"/>
      <c r="I25" s="186"/>
      <c r="J25" s="186"/>
      <c r="K25" s="186"/>
      <c r="L25" s="187"/>
      <c r="M25" s="155"/>
      <c r="N25" s="156"/>
      <c r="O25" s="156"/>
      <c r="P25" s="155"/>
      <c r="Q25" s="156"/>
      <c r="R25" s="156"/>
      <c r="S25" s="155"/>
      <c r="T25" s="156"/>
      <c r="U25" s="156"/>
      <c r="V25" s="194"/>
      <c r="W25" s="195"/>
      <c r="X25" s="195"/>
      <c r="Y25" s="195"/>
      <c r="Z25" s="195"/>
      <c r="AA25" s="196"/>
      <c r="AB25" s="197"/>
      <c r="AC25" s="198"/>
      <c r="AD25" s="198"/>
      <c r="AE25" s="198"/>
      <c r="AF25" s="198"/>
      <c r="AG25" s="198"/>
      <c r="AH25" s="198"/>
      <c r="AI25" s="198"/>
      <c r="AJ25" s="198"/>
      <c r="AK25" s="198"/>
      <c r="AL25" s="198"/>
      <c r="AM25" s="198"/>
      <c r="AN25" s="198"/>
      <c r="AO25" s="198"/>
      <c r="AP25" s="198"/>
      <c r="AQ25" s="199"/>
      <c r="AR25" s="155"/>
      <c r="AS25" s="156"/>
      <c r="AT25" s="156"/>
      <c r="AU25" s="156"/>
      <c r="AV25" s="156"/>
      <c r="AW25" s="157"/>
      <c r="AX25" s="194"/>
      <c r="AY25" s="195"/>
      <c r="AZ25" s="195"/>
      <c r="BA25" s="195"/>
      <c r="BB25" s="195"/>
      <c r="BC25" s="195"/>
      <c r="BD25" s="195"/>
      <c r="BE25" s="195"/>
      <c r="BF25" s="195"/>
      <c r="BG25" s="195"/>
      <c r="BH25" s="195"/>
      <c r="BI25" s="195"/>
      <c r="BJ25" s="195"/>
      <c r="BK25" s="195"/>
      <c r="BL25" s="195"/>
      <c r="BM25" s="195"/>
      <c r="BN25" s="195"/>
      <c r="BO25" s="195"/>
      <c r="BP25" s="195"/>
      <c r="BQ25" s="195"/>
      <c r="BR25" s="195"/>
      <c r="BS25" s="195"/>
      <c r="BT25" s="202"/>
      <c r="BU25" s="41"/>
      <c r="BV25" s="40"/>
      <c r="BW25" s="41"/>
      <c r="BX25" s="41"/>
      <c r="BY25" s="41"/>
      <c r="BZ25" s="41"/>
      <c r="CA25" s="41"/>
      <c r="CB25" s="41"/>
      <c r="CC25" s="41"/>
      <c r="CD25" s="41"/>
      <c r="CE25" s="41"/>
      <c r="CF25" s="41"/>
      <c r="CG25" s="41"/>
    </row>
    <row r="26" spans="1:85" s="5" customFormat="1" ht="20.100000000000001" customHeight="1" x14ac:dyDescent="0.45">
      <c r="A26" s="29"/>
      <c r="B26" s="35"/>
      <c r="C26"/>
      <c r="D26" s="37">
        <v>16</v>
      </c>
      <c r="E26" s="185"/>
      <c r="F26" s="186"/>
      <c r="G26" s="186"/>
      <c r="H26" s="186"/>
      <c r="I26" s="186"/>
      <c r="J26" s="186"/>
      <c r="K26" s="186"/>
      <c r="L26" s="187"/>
      <c r="M26" s="155"/>
      <c r="N26" s="156"/>
      <c r="O26" s="156"/>
      <c r="P26" s="155"/>
      <c r="Q26" s="156"/>
      <c r="R26" s="156"/>
      <c r="S26" s="155"/>
      <c r="T26" s="156"/>
      <c r="U26" s="156"/>
      <c r="V26" s="194"/>
      <c r="W26" s="195"/>
      <c r="X26" s="195"/>
      <c r="Y26" s="195"/>
      <c r="Z26" s="195"/>
      <c r="AA26" s="196"/>
      <c r="AB26" s="197"/>
      <c r="AC26" s="198"/>
      <c r="AD26" s="198"/>
      <c r="AE26" s="198"/>
      <c r="AF26" s="198"/>
      <c r="AG26" s="198"/>
      <c r="AH26" s="198"/>
      <c r="AI26" s="198"/>
      <c r="AJ26" s="198"/>
      <c r="AK26" s="198"/>
      <c r="AL26" s="198"/>
      <c r="AM26" s="198"/>
      <c r="AN26" s="198"/>
      <c r="AO26" s="198"/>
      <c r="AP26" s="198"/>
      <c r="AQ26" s="199"/>
      <c r="AR26" s="155"/>
      <c r="AS26" s="156"/>
      <c r="AT26" s="156"/>
      <c r="AU26" s="156"/>
      <c r="AV26" s="156"/>
      <c r="AW26" s="157"/>
      <c r="AX26" s="194"/>
      <c r="AY26" s="195"/>
      <c r="AZ26" s="195"/>
      <c r="BA26" s="195"/>
      <c r="BB26" s="195"/>
      <c r="BC26" s="195"/>
      <c r="BD26" s="195"/>
      <c r="BE26" s="195"/>
      <c r="BF26" s="195"/>
      <c r="BG26" s="195"/>
      <c r="BH26" s="195"/>
      <c r="BI26" s="195"/>
      <c r="BJ26" s="195"/>
      <c r="BK26" s="195"/>
      <c r="BL26" s="195"/>
      <c r="BM26" s="195"/>
      <c r="BN26" s="195"/>
      <c r="BO26" s="195"/>
      <c r="BP26" s="195"/>
      <c r="BQ26" s="195"/>
      <c r="BR26" s="195"/>
      <c r="BS26" s="195"/>
      <c r="BT26" s="202"/>
      <c r="BU26" s="41"/>
      <c r="BV26" s="40"/>
      <c r="BW26" s="41"/>
      <c r="BX26" s="41"/>
      <c r="BY26" s="41"/>
      <c r="BZ26" s="41"/>
      <c r="CA26" s="41"/>
      <c r="CB26" s="41"/>
      <c r="CC26" s="41"/>
      <c r="CD26" s="41"/>
      <c r="CE26" s="41"/>
      <c r="CF26" s="41"/>
      <c r="CG26" s="41"/>
    </row>
    <row r="27" spans="1:85" s="5" customFormat="1" ht="20.100000000000001" customHeight="1" x14ac:dyDescent="0.45">
      <c r="A27" s="29"/>
      <c r="B27" s="35"/>
      <c r="C27"/>
      <c r="D27" s="37">
        <v>17</v>
      </c>
      <c r="E27" s="185"/>
      <c r="F27" s="186"/>
      <c r="G27" s="186"/>
      <c r="H27" s="186"/>
      <c r="I27" s="186"/>
      <c r="J27" s="186"/>
      <c r="K27" s="186"/>
      <c r="L27" s="187"/>
      <c r="M27" s="155"/>
      <c r="N27" s="156"/>
      <c r="O27" s="156"/>
      <c r="P27" s="155"/>
      <c r="Q27" s="156"/>
      <c r="R27" s="156"/>
      <c r="S27" s="155"/>
      <c r="T27" s="156"/>
      <c r="U27" s="156"/>
      <c r="V27" s="194"/>
      <c r="W27" s="195"/>
      <c r="X27" s="195"/>
      <c r="Y27" s="195"/>
      <c r="Z27" s="195"/>
      <c r="AA27" s="196"/>
      <c r="AB27" s="197"/>
      <c r="AC27" s="198"/>
      <c r="AD27" s="198"/>
      <c r="AE27" s="198"/>
      <c r="AF27" s="198"/>
      <c r="AG27" s="198"/>
      <c r="AH27" s="198"/>
      <c r="AI27" s="198"/>
      <c r="AJ27" s="198"/>
      <c r="AK27" s="198"/>
      <c r="AL27" s="198"/>
      <c r="AM27" s="198"/>
      <c r="AN27" s="198"/>
      <c r="AO27" s="198"/>
      <c r="AP27" s="198"/>
      <c r="AQ27" s="199"/>
      <c r="AR27" s="155"/>
      <c r="AS27" s="156"/>
      <c r="AT27" s="156"/>
      <c r="AU27" s="156"/>
      <c r="AV27" s="156"/>
      <c r="AW27" s="157"/>
      <c r="AX27" s="194"/>
      <c r="AY27" s="195"/>
      <c r="AZ27" s="195"/>
      <c r="BA27" s="195"/>
      <c r="BB27" s="195"/>
      <c r="BC27" s="195"/>
      <c r="BD27" s="195"/>
      <c r="BE27" s="195"/>
      <c r="BF27" s="195"/>
      <c r="BG27" s="195"/>
      <c r="BH27" s="195"/>
      <c r="BI27" s="195"/>
      <c r="BJ27" s="195"/>
      <c r="BK27" s="195"/>
      <c r="BL27" s="195"/>
      <c r="BM27" s="195"/>
      <c r="BN27" s="195"/>
      <c r="BO27" s="195"/>
      <c r="BP27" s="195"/>
      <c r="BQ27" s="195"/>
      <c r="BR27" s="195"/>
      <c r="BS27" s="195"/>
      <c r="BT27" s="202"/>
      <c r="BU27" s="41"/>
      <c r="BV27" s="40"/>
      <c r="BW27" s="41"/>
      <c r="BX27" s="41"/>
      <c r="BY27" s="41"/>
      <c r="BZ27" s="41"/>
      <c r="CA27" s="41"/>
      <c r="CB27" s="41"/>
      <c r="CC27" s="41"/>
      <c r="CD27" s="41"/>
      <c r="CE27" s="41"/>
      <c r="CF27" s="41"/>
      <c r="CG27" s="41"/>
    </row>
    <row r="28" spans="1:85" ht="20.100000000000001" customHeight="1" x14ac:dyDescent="0.45">
      <c r="A28" s="29"/>
      <c r="B28" s="44"/>
      <c r="C28"/>
      <c r="D28" s="37">
        <v>18</v>
      </c>
      <c r="E28" s="185"/>
      <c r="F28" s="186"/>
      <c r="G28" s="186"/>
      <c r="H28" s="186"/>
      <c r="I28" s="186"/>
      <c r="J28" s="186"/>
      <c r="K28" s="186"/>
      <c r="L28" s="187"/>
      <c r="M28" s="155"/>
      <c r="N28" s="156"/>
      <c r="O28" s="156"/>
      <c r="P28" s="155"/>
      <c r="Q28" s="156"/>
      <c r="R28" s="156"/>
      <c r="S28" s="155"/>
      <c r="T28" s="156"/>
      <c r="U28" s="156"/>
      <c r="V28" s="194"/>
      <c r="W28" s="195"/>
      <c r="X28" s="195"/>
      <c r="Y28" s="195"/>
      <c r="Z28" s="195"/>
      <c r="AA28" s="196"/>
      <c r="AB28" s="197"/>
      <c r="AC28" s="198"/>
      <c r="AD28" s="198"/>
      <c r="AE28" s="198"/>
      <c r="AF28" s="198"/>
      <c r="AG28" s="198"/>
      <c r="AH28" s="198"/>
      <c r="AI28" s="198"/>
      <c r="AJ28" s="198"/>
      <c r="AK28" s="198"/>
      <c r="AL28" s="198"/>
      <c r="AM28" s="198"/>
      <c r="AN28" s="198"/>
      <c r="AO28" s="198"/>
      <c r="AP28" s="198"/>
      <c r="AQ28" s="199"/>
      <c r="AR28" s="155"/>
      <c r="AS28" s="156"/>
      <c r="AT28" s="156"/>
      <c r="AU28" s="156"/>
      <c r="AV28" s="156"/>
      <c r="AW28" s="157"/>
      <c r="AX28" s="194"/>
      <c r="AY28" s="195"/>
      <c r="AZ28" s="195"/>
      <c r="BA28" s="195"/>
      <c r="BB28" s="195"/>
      <c r="BC28" s="195"/>
      <c r="BD28" s="195"/>
      <c r="BE28" s="195"/>
      <c r="BF28" s="195"/>
      <c r="BG28" s="195"/>
      <c r="BH28" s="195"/>
      <c r="BI28" s="195"/>
      <c r="BJ28" s="195"/>
      <c r="BK28" s="195"/>
      <c r="BL28" s="195"/>
      <c r="BM28" s="195"/>
      <c r="BN28" s="195"/>
      <c r="BO28" s="195"/>
      <c r="BP28" s="195"/>
      <c r="BQ28" s="195"/>
      <c r="BR28" s="195"/>
      <c r="BS28" s="195"/>
      <c r="BT28" s="202"/>
      <c r="BU28" s="41"/>
      <c r="BV28" s="40"/>
      <c r="BW28" s="41"/>
      <c r="BX28" s="41"/>
      <c r="BY28" s="41"/>
      <c r="BZ28" s="41"/>
      <c r="CA28" s="41"/>
      <c r="CB28" s="41"/>
      <c r="CC28" s="41"/>
      <c r="CD28" s="41"/>
      <c r="CE28" s="41"/>
      <c r="CF28" s="41"/>
      <c r="CG28" s="41"/>
    </row>
    <row r="29" spans="1:85" ht="19.5" customHeight="1" x14ac:dyDescent="0.45">
      <c r="A29" s="29"/>
      <c r="B29" s="44"/>
      <c r="C29"/>
      <c r="D29" s="37">
        <v>19</v>
      </c>
      <c r="E29" s="185"/>
      <c r="F29" s="186"/>
      <c r="G29" s="186"/>
      <c r="H29" s="186"/>
      <c r="I29" s="186"/>
      <c r="J29" s="186"/>
      <c r="K29" s="186"/>
      <c r="L29" s="187"/>
      <c r="M29" s="155"/>
      <c r="N29" s="156"/>
      <c r="O29" s="156"/>
      <c r="P29" s="155"/>
      <c r="Q29" s="156"/>
      <c r="R29" s="156"/>
      <c r="S29" s="155"/>
      <c r="T29" s="156"/>
      <c r="U29" s="156"/>
      <c r="V29" s="194"/>
      <c r="W29" s="195"/>
      <c r="X29" s="195"/>
      <c r="Y29" s="195"/>
      <c r="Z29" s="195"/>
      <c r="AA29" s="196"/>
      <c r="AB29" s="197"/>
      <c r="AC29" s="198"/>
      <c r="AD29" s="198"/>
      <c r="AE29" s="198"/>
      <c r="AF29" s="198"/>
      <c r="AG29" s="198"/>
      <c r="AH29" s="198"/>
      <c r="AI29" s="198"/>
      <c r="AJ29" s="198"/>
      <c r="AK29" s="198"/>
      <c r="AL29" s="198"/>
      <c r="AM29" s="198"/>
      <c r="AN29" s="198"/>
      <c r="AO29" s="198"/>
      <c r="AP29" s="198"/>
      <c r="AQ29" s="199"/>
      <c r="AR29" s="155"/>
      <c r="AS29" s="156"/>
      <c r="AT29" s="156"/>
      <c r="AU29" s="156"/>
      <c r="AV29" s="156"/>
      <c r="AW29" s="157"/>
      <c r="AX29" s="194"/>
      <c r="AY29" s="195"/>
      <c r="AZ29" s="195"/>
      <c r="BA29" s="195"/>
      <c r="BB29" s="195"/>
      <c r="BC29" s="195"/>
      <c r="BD29" s="195"/>
      <c r="BE29" s="195"/>
      <c r="BF29" s="195"/>
      <c r="BG29" s="195"/>
      <c r="BH29" s="195"/>
      <c r="BI29" s="195"/>
      <c r="BJ29" s="195"/>
      <c r="BK29" s="195"/>
      <c r="BL29" s="195"/>
      <c r="BM29" s="195"/>
      <c r="BN29" s="195"/>
      <c r="BO29" s="195"/>
      <c r="BP29" s="195"/>
      <c r="BQ29" s="195"/>
      <c r="BR29" s="195"/>
      <c r="BS29" s="195"/>
      <c r="BT29" s="202"/>
      <c r="BU29" s="41"/>
      <c r="BV29" s="40"/>
      <c r="BW29" s="41"/>
      <c r="BX29" s="41"/>
      <c r="BY29" s="41"/>
      <c r="BZ29" s="41"/>
      <c r="CA29" s="41"/>
      <c r="CB29" s="41"/>
      <c r="CC29" s="41"/>
      <c r="CD29" s="41"/>
      <c r="CE29" s="41"/>
      <c r="CF29" s="41"/>
      <c r="CG29" s="41"/>
    </row>
    <row r="30" spans="1:85" ht="20.100000000000001" customHeight="1" thickBot="1" x14ac:dyDescent="0.5">
      <c r="A30" s="29"/>
      <c r="B30" s="44"/>
      <c r="C30"/>
      <c r="D30" s="37">
        <v>20</v>
      </c>
      <c r="E30" s="179"/>
      <c r="F30" s="180"/>
      <c r="G30" s="180"/>
      <c r="H30" s="180"/>
      <c r="I30" s="180"/>
      <c r="J30" s="180"/>
      <c r="K30" s="180"/>
      <c r="L30" s="181"/>
      <c r="M30" s="182"/>
      <c r="N30" s="183"/>
      <c r="O30" s="184"/>
      <c r="P30" s="182"/>
      <c r="Q30" s="183"/>
      <c r="R30" s="183"/>
      <c r="S30" s="182"/>
      <c r="T30" s="183"/>
      <c r="U30" s="183"/>
      <c r="V30" s="203"/>
      <c r="W30" s="204"/>
      <c r="X30" s="204"/>
      <c r="Y30" s="204"/>
      <c r="Z30" s="204"/>
      <c r="AA30" s="205"/>
      <c r="AB30" s="206"/>
      <c r="AC30" s="207"/>
      <c r="AD30" s="207"/>
      <c r="AE30" s="207"/>
      <c r="AF30" s="207"/>
      <c r="AG30" s="207"/>
      <c r="AH30" s="207"/>
      <c r="AI30" s="207"/>
      <c r="AJ30" s="207"/>
      <c r="AK30" s="207"/>
      <c r="AL30" s="207"/>
      <c r="AM30" s="207"/>
      <c r="AN30" s="207"/>
      <c r="AO30" s="207"/>
      <c r="AP30" s="207"/>
      <c r="AQ30" s="208"/>
      <c r="AR30" s="182"/>
      <c r="AS30" s="183"/>
      <c r="AT30" s="183"/>
      <c r="AU30" s="183"/>
      <c r="AV30" s="183"/>
      <c r="AW30" s="184"/>
      <c r="AX30" s="203"/>
      <c r="AY30" s="204"/>
      <c r="AZ30" s="204"/>
      <c r="BA30" s="204"/>
      <c r="BB30" s="204"/>
      <c r="BC30" s="204"/>
      <c r="BD30" s="204"/>
      <c r="BE30" s="204"/>
      <c r="BF30" s="204"/>
      <c r="BG30" s="204"/>
      <c r="BH30" s="204"/>
      <c r="BI30" s="204"/>
      <c r="BJ30" s="204"/>
      <c r="BK30" s="204"/>
      <c r="BL30" s="204"/>
      <c r="BM30" s="204"/>
      <c r="BN30" s="204"/>
      <c r="BO30" s="204"/>
      <c r="BP30" s="204"/>
      <c r="BQ30" s="204"/>
      <c r="BR30" s="204"/>
      <c r="BS30" s="204"/>
      <c r="BT30" s="209"/>
      <c r="BU30" s="41"/>
      <c r="BV30" s="40"/>
      <c r="BW30" s="41"/>
      <c r="BX30" s="41"/>
      <c r="BY30" s="41"/>
      <c r="BZ30" s="41"/>
      <c r="CA30" s="41"/>
      <c r="CB30" s="41"/>
      <c r="CC30" s="41"/>
      <c r="CD30" s="41"/>
      <c r="CE30" s="41"/>
      <c r="CF30" s="41"/>
      <c r="CG30" s="41"/>
    </row>
    <row r="31" spans="1:85" ht="20.100000000000001" customHeight="1" thickTop="1" thickBot="1" x14ac:dyDescent="0.5">
      <c r="A31" s="29"/>
      <c r="B31" s="40"/>
      <c r="C31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3"/>
      <c r="AQ31" s="73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73"/>
      <c r="BF31" s="73"/>
      <c r="BG31" s="73"/>
      <c r="BH31" s="73"/>
      <c r="BI31" s="73"/>
      <c r="BJ31" s="73"/>
      <c r="BK31" s="73"/>
      <c r="BL31" s="73"/>
      <c r="BM31" s="73"/>
      <c r="BN31" s="73"/>
      <c r="BO31" s="73"/>
      <c r="BP31" s="73"/>
      <c r="BQ31" s="46"/>
      <c r="BR31" s="46"/>
      <c r="BS31" s="46"/>
      <c r="BT31" s="46"/>
      <c r="BU31" s="28"/>
    </row>
    <row r="32" spans="1:85" ht="20.100000000000001" customHeight="1" thickTop="1" x14ac:dyDescent="0.45">
      <c r="A32" s="29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33"/>
      <c r="BD32" s="33"/>
      <c r="BE32" s="33"/>
      <c r="BF32" s="33"/>
      <c r="BG32" s="33"/>
      <c r="BH32" s="33"/>
      <c r="BI32" s="42"/>
      <c r="BJ32" s="42"/>
      <c r="BK32" s="42"/>
      <c r="BL32" s="42"/>
      <c r="BM32" s="42"/>
      <c r="BN32" s="42"/>
      <c r="BO32" s="42"/>
      <c r="BP32" s="41"/>
    </row>
    <row r="33" spans="2:68" ht="20.100000000000001" customHeight="1" x14ac:dyDescent="0.45"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1"/>
      <c r="BJ33" s="41"/>
      <c r="BK33" s="41"/>
      <c r="BL33" s="41"/>
      <c r="BM33" s="41"/>
      <c r="BN33" s="41"/>
      <c r="BO33" s="41"/>
      <c r="BP33" s="41"/>
    </row>
    <row r="34" spans="2:68" ht="20.100000000000001" customHeight="1" x14ac:dyDescent="0.45"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  <c r="BC34" s="41"/>
      <c r="BD34" s="41"/>
      <c r="BE34" s="41"/>
      <c r="BF34" s="41"/>
      <c r="BG34" s="31"/>
      <c r="BH34" s="31"/>
      <c r="BI34" s="31"/>
      <c r="BJ34" s="31"/>
      <c r="BK34" s="31"/>
      <c r="BL34" s="31"/>
      <c r="BM34" s="31"/>
      <c r="BN34" s="31"/>
      <c r="BO34" s="31"/>
      <c r="BP34" s="31"/>
    </row>
    <row r="35" spans="2:68" ht="20.100000000000001" customHeight="1" x14ac:dyDescent="0.45"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  <c r="BC35" s="41"/>
      <c r="BD35" s="41"/>
      <c r="BE35" s="41"/>
      <c r="BF35" s="41"/>
      <c r="BG35" s="31"/>
      <c r="BH35" s="31"/>
      <c r="BI35" s="31"/>
      <c r="BJ35" s="31"/>
      <c r="BK35" s="31"/>
      <c r="BL35" s="31"/>
      <c r="BM35" s="31"/>
      <c r="BN35" s="31"/>
      <c r="BO35" s="31"/>
      <c r="BP35" s="31"/>
    </row>
    <row r="36" spans="2:68" ht="20.100000000000001" customHeight="1" x14ac:dyDescent="0.45"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  <c r="BD36" s="41"/>
      <c r="BE36" s="41"/>
      <c r="BF36" s="41"/>
      <c r="BG36" s="31"/>
      <c r="BH36" s="31"/>
      <c r="BI36" s="31"/>
      <c r="BJ36" s="31"/>
      <c r="BK36" s="31"/>
      <c r="BL36" s="31"/>
      <c r="BM36" s="31"/>
      <c r="BN36" s="31"/>
      <c r="BO36" s="31"/>
      <c r="BP36" s="31"/>
    </row>
    <row r="37" spans="2:68" ht="20.100000000000001" customHeight="1" x14ac:dyDescent="0.45"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41"/>
      <c r="BF37" s="41"/>
      <c r="BG37" s="31"/>
      <c r="BH37" s="31"/>
      <c r="BI37" s="31"/>
      <c r="BJ37" s="31"/>
      <c r="BK37" s="31"/>
      <c r="BL37" s="31"/>
      <c r="BM37" s="31"/>
      <c r="BN37" s="31"/>
      <c r="BO37" s="31"/>
      <c r="BP37" s="31"/>
    </row>
    <row r="38" spans="2:68" ht="20.100000000000001" customHeight="1" x14ac:dyDescent="0.45"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41"/>
      <c r="BF38" s="41"/>
      <c r="BG38" s="31"/>
      <c r="BH38" s="31"/>
      <c r="BI38" s="31"/>
      <c r="BJ38" s="31"/>
      <c r="BK38" s="31"/>
      <c r="BL38" s="31"/>
      <c r="BM38" s="31"/>
      <c r="BN38" s="31"/>
      <c r="BO38" s="31"/>
      <c r="BP38" s="31"/>
    </row>
    <row r="39" spans="2:68" ht="20.100000000000001" customHeight="1" x14ac:dyDescent="0.45"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1"/>
      <c r="BF39" s="41"/>
      <c r="BG39" s="31"/>
      <c r="BH39" s="31"/>
      <c r="BI39" s="31"/>
      <c r="BJ39" s="31"/>
      <c r="BK39" s="31"/>
      <c r="BL39" s="31"/>
      <c r="BM39" s="31"/>
      <c r="BN39" s="31"/>
      <c r="BO39" s="31"/>
      <c r="BP39" s="31"/>
    </row>
    <row r="40" spans="2:68" ht="20.100000000000001" customHeight="1" x14ac:dyDescent="0.45"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  <c r="BD40" s="41"/>
      <c r="BE40" s="41"/>
      <c r="BF40" s="41"/>
      <c r="BG40" s="31"/>
      <c r="BH40" s="31"/>
      <c r="BI40" s="31"/>
      <c r="BJ40" s="31"/>
      <c r="BK40" s="31"/>
      <c r="BL40" s="31"/>
      <c r="BM40" s="31"/>
      <c r="BN40" s="31"/>
      <c r="BO40" s="31"/>
      <c r="BP40" s="31"/>
    </row>
    <row r="41" spans="2:68" ht="20.100000000000001" customHeight="1" x14ac:dyDescent="0.45"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31"/>
      <c r="BH41" s="31"/>
      <c r="BI41" s="31"/>
      <c r="BJ41" s="31"/>
      <c r="BK41" s="31"/>
      <c r="BL41" s="31"/>
      <c r="BM41" s="31"/>
      <c r="BN41" s="31"/>
      <c r="BO41" s="31"/>
      <c r="BP41" s="31"/>
    </row>
    <row r="42" spans="2:68" ht="20.100000000000001" customHeight="1" x14ac:dyDescent="0.45"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  <c r="BD42" s="41"/>
      <c r="BE42" s="41"/>
      <c r="BF42" s="41"/>
      <c r="BG42" s="31"/>
      <c r="BH42" s="31"/>
      <c r="BI42" s="31"/>
      <c r="BJ42" s="31"/>
      <c r="BK42" s="31"/>
      <c r="BL42" s="31"/>
      <c r="BM42" s="31"/>
      <c r="BN42" s="31"/>
      <c r="BO42" s="31"/>
      <c r="BP42" s="31"/>
    </row>
    <row r="43" spans="2:68" ht="20.100000000000001" customHeight="1" x14ac:dyDescent="0.45"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31"/>
      <c r="BH43" s="31"/>
      <c r="BI43" s="31"/>
      <c r="BJ43" s="31"/>
      <c r="BK43" s="31"/>
      <c r="BL43" s="31"/>
      <c r="BM43" s="31"/>
      <c r="BN43" s="31"/>
      <c r="BO43" s="31"/>
      <c r="BP43" s="31"/>
    </row>
    <row r="44" spans="2:68" ht="20.100000000000001" customHeight="1" x14ac:dyDescent="0.45"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31"/>
      <c r="BD44" s="31"/>
      <c r="BE44" s="31"/>
      <c r="BF44" s="31"/>
      <c r="BG44" s="31"/>
      <c r="BH44" s="31"/>
      <c r="BI44" s="31"/>
      <c r="BJ44" s="31"/>
      <c r="BK44" s="31"/>
      <c r="BL44" s="31"/>
      <c r="BM44" s="31"/>
      <c r="BN44" s="31"/>
      <c r="BO44" s="31"/>
      <c r="BP44" s="31"/>
    </row>
    <row r="45" spans="2:68" ht="20.100000000000001" customHeight="1" x14ac:dyDescent="0.45">
      <c r="B45" s="3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</row>
    <row r="46" spans="2:68" ht="20.100000000000001" customHeight="1" x14ac:dyDescent="0.45"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  <c r="BC46" s="41"/>
      <c r="BD46" s="41"/>
      <c r="BE46" s="41"/>
      <c r="BF46" s="41"/>
      <c r="BG46" s="41"/>
      <c r="BH46" s="41"/>
      <c r="BI46" s="41"/>
      <c r="BJ46" s="41"/>
      <c r="BK46" s="41"/>
      <c r="BL46" s="41"/>
      <c r="BM46" s="41"/>
      <c r="BN46" s="41"/>
      <c r="BO46" s="31"/>
      <c r="BP46" s="31"/>
    </row>
    <row r="47" spans="2:68" ht="20.100000000000001" customHeight="1" x14ac:dyDescent="0.45"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41"/>
      <c r="BD47" s="41"/>
      <c r="BE47" s="41"/>
      <c r="BF47" s="41"/>
      <c r="BG47" s="41"/>
      <c r="BH47" s="41"/>
      <c r="BI47" s="41"/>
      <c r="BJ47" s="41"/>
      <c r="BK47" s="41"/>
      <c r="BL47" s="41"/>
      <c r="BM47" s="41"/>
      <c r="BN47" s="41"/>
      <c r="BO47" s="31"/>
      <c r="BP47" s="31"/>
    </row>
    <row r="48" spans="2:68" ht="20.100000000000001" customHeight="1" x14ac:dyDescent="0.45"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  <c r="BC48" s="41"/>
      <c r="BD48" s="41"/>
      <c r="BE48" s="41"/>
      <c r="BF48" s="41"/>
      <c r="BG48" s="41"/>
      <c r="BH48" s="41"/>
      <c r="BI48" s="41"/>
      <c r="BJ48" s="41"/>
      <c r="BK48" s="41"/>
      <c r="BL48" s="41"/>
      <c r="BM48" s="41"/>
      <c r="BN48" s="41"/>
      <c r="BO48" s="31"/>
      <c r="BP48" s="31"/>
    </row>
    <row r="49" spans="1:68" ht="20.100000000000001" customHeight="1" x14ac:dyDescent="0.45">
      <c r="A49" s="29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  <c r="BC49" s="41"/>
      <c r="BD49" s="41"/>
      <c r="BE49" s="41"/>
      <c r="BF49" s="41"/>
      <c r="BG49" s="41"/>
      <c r="BH49" s="41"/>
      <c r="BI49" s="41"/>
      <c r="BJ49" s="41"/>
      <c r="BK49" s="41"/>
      <c r="BL49" s="41"/>
      <c r="BM49" s="41"/>
      <c r="BN49" s="41"/>
      <c r="BO49" s="31"/>
      <c r="BP49" s="31"/>
    </row>
    <row r="50" spans="1:68" ht="20.100000000000001" customHeight="1" x14ac:dyDescent="0.45">
      <c r="A50" s="29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  <c r="BC50" s="41"/>
      <c r="BD50" s="41"/>
      <c r="BE50" s="41"/>
      <c r="BF50" s="41"/>
      <c r="BG50" s="41"/>
      <c r="BH50" s="41"/>
      <c r="BI50" s="41"/>
      <c r="BJ50" s="41"/>
      <c r="BK50" s="41"/>
      <c r="BL50" s="41"/>
      <c r="BM50" s="41"/>
      <c r="BN50" s="41"/>
      <c r="BO50" s="31"/>
      <c r="BP50" s="31"/>
    </row>
    <row r="51" spans="1:68" ht="20.100000000000001" customHeight="1" x14ac:dyDescent="0.45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  <c r="BD51" s="29"/>
      <c r="BE51" s="29"/>
      <c r="BF51" s="29"/>
      <c r="BG51" s="29"/>
      <c r="BH51" s="29"/>
      <c r="BI51" s="29"/>
      <c r="BJ51" s="29"/>
      <c r="BK51" s="29"/>
      <c r="BL51" s="29"/>
      <c r="BM51" s="29"/>
      <c r="BN51" s="29"/>
      <c r="BO51" s="29"/>
      <c r="BP51" s="29"/>
    </row>
    <row r="52" spans="1:68" ht="20.100000000000001" customHeight="1" x14ac:dyDescent="0.45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  <c r="BG52" s="29"/>
      <c r="BH52" s="29"/>
      <c r="BI52" s="29"/>
      <c r="BJ52" s="29"/>
      <c r="BK52" s="29"/>
      <c r="BL52" s="29"/>
      <c r="BM52" s="29"/>
      <c r="BN52" s="29"/>
      <c r="BO52" s="29"/>
      <c r="BP52" s="29"/>
    </row>
    <row r="53" spans="1:68" ht="20.100000000000001" customHeight="1" x14ac:dyDescent="0.45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  <c r="BD53" s="29"/>
      <c r="BE53" s="29"/>
      <c r="BF53" s="29"/>
      <c r="BG53" s="29"/>
      <c r="BH53" s="29"/>
      <c r="BI53" s="29"/>
      <c r="BJ53" s="29"/>
      <c r="BK53" s="29"/>
      <c r="BL53" s="29"/>
      <c r="BM53" s="29"/>
      <c r="BN53" s="29"/>
      <c r="BO53" s="29"/>
      <c r="BP53" s="29"/>
    </row>
  </sheetData>
  <mergeCells count="187">
    <mergeCell ref="AR13:AW13"/>
    <mergeCell ref="AR14:AW14"/>
    <mergeCell ref="AR15:AW15"/>
    <mergeCell ref="AR17:AW17"/>
    <mergeCell ref="AR18:AW18"/>
    <mergeCell ref="AR19:AW19"/>
    <mergeCell ref="AR29:AW29"/>
    <mergeCell ref="AR16:AW16"/>
    <mergeCell ref="AR20:AW20"/>
    <mergeCell ref="AR21:AW21"/>
    <mergeCell ref="AR22:AW22"/>
    <mergeCell ref="AR23:AW23"/>
    <mergeCell ref="AR24:AW24"/>
    <mergeCell ref="AR25:AW25"/>
    <mergeCell ref="AR26:AW26"/>
    <mergeCell ref="AR27:AW27"/>
    <mergeCell ref="AR28:AW28"/>
    <mergeCell ref="AB30:AQ30"/>
    <mergeCell ref="AB25:AQ25"/>
    <mergeCell ref="AB26:AQ26"/>
    <mergeCell ref="AB27:AQ27"/>
    <mergeCell ref="AB28:AQ28"/>
    <mergeCell ref="AB29:AQ29"/>
    <mergeCell ref="AX30:BT30"/>
    <mergeCell ref="AB10:AQ10"/>
    <mergeCell ref="AB11:AQ11"/>
    <mergeCell ref="AB12:AQ12"/>
    <mergeCell ref="AB13:AQ13"/>
    <mergeCell ref="AB14:AQ14"/>
    <mergeCell ref="AB15:AQ15"/>
    <mergeCell ref="AB17:AQ17"/>
    <mergeCell ref="AB18:AQ18"/>
    <mergeCell ref="AB19:AQ19"/>
    <mergeCell ref="AB20:AQ20"/>
    <mergeCell ref="AB21:AQ21"/>
    <mergeCell ref="AB22:AQ22"/>
    <mergeCell ref="AB23:AQ23"/>
    <mergeCell ref="AB24:AQ24"/>
    <mergeCell ref="AX26:BT26"/>
    <mergeCell ref="AX27:BT27"/>
    <mergeCell ref="AR30:AW30"/>
    <mergeCell ref="AX21:BT21"/>
    <mergeCell ref="AX22:BT22"/>
    <mergeCell ref="AX23:BT23"/>
    <mergeCell ref="AX24:BT24"/>
    <mergeCell ref="AX25:BT25"/>
    <mergeCell ref="AX15:BT15"/>
    <mergeCell ref="AX17:BT17"/>
    <mergeCell ref="AX18:BT18"/>
    <mergeCell ref="AX19:BT19"/>
    <mergeCell ref="AX20:BT20"/>
    <mergeCell ref="AX16:BT16"/>
    <mergeCell ref="AX10:BT10"/>
    <mergeCell ref="AX11:BT11"/>
    <mergeCell ref="AX12:BT12"/>
    <mergeCell ref="AX13:BT13"/>
    <mergeCell ref="AX14:BT14"/>
    <mergeCell ref="V30:AA30"/>
    <mergeCell ref="S10:U10"/>
    <mergeCell ref="S25:U25"/>
    <mergeCell ref="S26:U26"/>
    <mergeCell ref="S27:U27"/>
    <mergeCell ref="S28:U28"/>
    <mergeCell ref="S29:U29"/>
    <mergeCell ref="V10:AA10"/>
    <mergeCell ref="S30:U30"/>
    <mergeCell ref="V11:AA11"/>
    <mergeCell ref="V12:AA12"/>
    <mergeCell ref="V13:AA13"/>
    <mergeCell ref="V14:AA14"/>
    <mergeCell ref="V15:AA15"/>
    <mergeCell ref="V17:AA17"/>
    <mergeCell ref="V18:AA18"/>
    <mergeCell ref="V19:AA19"/>
    <mergeCell ref="AX28:BT28"/>
    <mergeCell ref="AX29:BT29"/>
    <mergeCell ref="P30:R30"/>
    <mergeCell ref="S11:U11"/>
    <mergeCell ref="S12:U12"/>
    <mergeCell ref="S13:U13"/>
    <mergeCell ref="S14:U14"/>
    <mergeCell ref="S15:U15"/>
    <mergeCell ref="S17:U17"/>
    <mergeCell ref="S18:U18"/>
    <mergeCell ref="S19:U19"/>
    <mergeCell ref="S20:U20"/>
    <mergeCell ref="S21:U21"/>
    <mergeCell ref="S22:U22"/>
    <mergeCell ref="S23:U23"/>
    <mergeCell ref="S24:U24"/>
    <mergeCell ref="P25:R25"/>
    <mergeCell ref="P26:R26"/>
    <mergeCell ref="P27:R27"/>
    <mergeCell ref="P28:R28"/>
    <mergeCell ref="P29:R29"/>
    <mergeCell ref="V25:AA25"/>
    <mergeCell ref="V26:AA26"/>
    <mergeCell ref="V27:AA27"/>
    <mergeCell ref="V28:AA28"/>
    <mergeCell ref="V29:AA29"/>
    <mergeCell ref="P20:R20"/>
    <mergeCell ref="P21:R21"/>
    <mergeCell ref="P22:R22"/>
    <mergeCell ref="P23:R23"/>
    <mergeCell ref="P24:R24"/>
    <mergeCell ref="V24:AA24"/>
    <mergeCell ref="V20:AA20"/>
    <mergeCell ref="V21:AA21"/>
    <mergeCell ref="V22:AA22"/>
    <mergeCell ref="V23:AA23"/>
    <mergeCell ref="X2:AJ2"/>
    <mergeCell ref="X3:AJ4"/>
    <mergeCell ref="M21:O21"/>
    <mergeCell ref="M22:O22"/>
    <mergeCell ref="M23:O23"/>
    <mergeCell ref="M24:O24"/>
    <mergeCell ref="R3:W4"/>
    <mergeCell ref="P10:R10"/>
    <mergeCell ref="P11:R11"/>
    <mergeCell ref="P12:R12"/>
    <mergeCell ref="P13:R13"/>
    <mergeCell ref="P14:R14"/>
    <mergeCell ref="P15:R15"/>
    <mergeCell ref="P17:R17"/>
    <mergeCell ref="P18:R18"/>
    <mergeCell ref="P19:R19"/>
    <mergeCell ref="P16:R16"/>
    <mergeCell ref="S16:U16"/>
    <mergeCell ref="V16:AA16"/>
    <mergeCell ref="AB16:AQ16"/>
    <mergeCell ref="AK2:AW2"/>
    <mergeCell ref="AR10:AW10"/>
    <mergeCell ref="AR11:AW11"/>
    <mergeCell ref="AR12:AW12"/>
    <mergeCell ref="E21:L21"/>
    <mergeCell ref="E22:L22"/>
    <mergeCell ref="E23:L23"/>
    <mergeCell ref="E14:L14"/>
    <mergeCell ref="E15:L15"/>
    <mergeCell ref="M10:O10"/>
    <mergeCell ref="M11:O11"/>
    <mergeCell ref="M12:O12"/>
    <mergeCell ref="M13:O13"/>
    <mergeCell ref="M14:O14"/>
    <mergeCell ref="M20:O20"/>
    <mergeCell ref="E19:L19"/>
    <mergeCell ref="E20:L20"/>
    <mergeCell ref="M15:O15"/>
    <mergeCell ref="M17:O17"/>
    <mergeCell ref="M18:O18"/>
    <mergeCell ref="M19:O19"/>
    <mergeCell ref="E17:L17"/>
    <mergeCell ref="E18:L18"/>
    <mergeCell ref="M16:O16"/>
    <mergeCell ref="B3:G4"/>
    <mergeCell ref="H3:K4"/>
    <mergeCell ref="L3:Q4"/>
    <mergeCell ref="E12:L12"/>
    <mergeCell ref="E13:L13"/>
    <mergeCell ref="B2:G2"/>
    <mergeCell ref="H2:K2"/>
    <mergeCell ref="L2:Q2"/>
    <mergeCell ref="R2:W2"/>
    <mergeCell ref="E10:L10"/>
    <mergeCell ref="E11:L11"/>
    <mergeCell ref="BJ3:BM4"/>
    <mergeCell ref="AX2:BA2"/>
    <mergeCell ref="BB2:BE2"/>
    <mergeCell ref="BF2:BI2"/>
    <mergeCell ref="BJ2:BM2"/>
    <mergeCell ref="AX3:BA4"/>
    <mergeCell ref="BB3:BE4"/>
    <mergeCell ref="BF3:BI4"/>
    <mergeCell ref="AK3:AW4"/>
    <mergeCell ref="E30:L30"/>
    <mergeCell ref="M27:O27"/>
    <mergeCell ref="M28:O28"/>
    <mergeCell ref="M29:O29"/>
    <mergeCell ref="M30:O30"/>
    <mergeCell ref="E24:L24"/>
    <mergeCell ref="E27:L27"/>
    <mergeCell ref="E28:L28"/>
    <mergeCell ref="E29:L29"/>
    <mergeCell ref="E26:L26"/>
    <mergeCell ref="E25:L25"/>
    <mergeCell ref="M25:O25"/>
    <mergeCell ref="M26:O26"/>
  </mergeCells>
  <phoneticPr fontId="1"/>
  <pageMargins left="0.70866141732283472" right="0.70866141732283472" top="0.74803149606299213" bottom="0.74803149606299213" header="0.31496062992125984" footer="0.31496062992125984"/>
  <pageSetup paperSize="9" scale="43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M11:O30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B1:BM19"/>
  <sheetViews>
    <sheetView zoomScaleNormal="100" zoomScaleSheetLayoutView="100" workbookViewId="0">
      <selection activeCell="L2" sqref="L2:Q2"/>
    </sheetView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220" t="s">
        <v>0</v>
      </c>
      <c r="C2" s="215"/>
      <c r="D2" s="215"/>
      <c r="E2" s="215"/>
      <c r="F2" s="215"/>
      <c r="G2" s="215"/>
      <c r="H2" s="215" t="s">
        <v>17</v>
      </c>
      <c r="I2" s="215"/>
      <c r="J2" s="215"/>
      <c r="K2" s="215"/>
      <c r="L2" s="160" t="s">
        <v>148</v>
      </c>
      <c r="M2" s="160"/>
      <c r="N2" s="160"/>
      <c r="O2" s="160"/>
      <c r="P2" s="160"/>
      <c r="Q2" s="160"/>
      <c r="R2" s="215" t="s">
        <v>2</v>
      </c>
      <c r="S2" s="215"/>
      <c r="T2" s="215"/>
      <c r="U2" s="215"/>
      <c r="V2" s="215"/>
      <c r="W2" s="215"/>
      <c r="X2" s="221" t="s">
        <v>3</v>
      </c>
      <c r="Y2" s="222"/>
      <c r="Z2" s="222"/>
      <c r="AA2" s="222"/>
      <c r="AB2" s="222"/>
      <c r="AC2" s="222"/>
      <c r="AD2" s="222"/>
      <c r="AE2" s="222"/>
      <c r="AF2" s="222"/>
      <c r="AG2" s="222"/>
      <c r="AH2" s="222"/>
      <c r="AI2" s="222"/>
      <c r="AJ2" s="223"/>
      <c r="AK2" s="221" t="s">
        <v>32</v>
      </c>
      <c r="AL2" s="222"/>
      <c r="AM2" s="222"/>
      <c r="AN2" s="222"/>
      <c r="AO2" s="222"/>
      <c r="AP2" s="222"/>
      <c r="AQ2" s="222"/>
      <c r="AR2" s="222"/>
      <c r="AS2" s="222"/>
      <c r="AT2" s="222"/>
      <c r="AU2" s="222"/>
      <c r="AV2" s="222"/>
      <c r="AW2" s="223"/>
      <c r="AX2" s="215" t="s">
        <v>5</v>
      </c>
      <c r="AY2" s="215"/>
      <c r="AZ2" s="215"/>
      <c r="BA2" s="215"/>
      <c r="BB2" s="215" t="s">
        <v>4</v>
      </c>
      <c r="BC2" s="215"/>
      <c r="BD2" s="215"/>
      <c r="BE2" s="215"/>
      <c r="BF2" s="215" t="s">
        <v>6</v>
      </c>
      <c r="BG2" s="215"/>
      <c r="BH2" s="215"/>
      <c r="BI2" s="215"/>
      <c r="BJ2" s="215" t="s">
        <v>7</v>
      </c>
      <c r="BK2" s="215"/>
      <c r="BL2" s="215"/>
      <c r="BM2" s="216"/>
    </row>
    <row r="3" spans="2:65" ht="20.100000000000001" customHeight="1" x14ac:dyDescent="0.45">
      <c r="B3" s="224" t="str">
        <f>変更履歴!B3</f>
        <v>受発注</v>
      </c>
      <c r="C3" s="163"/>
      <c r="D3" s="163"/>
      <c r="E3" s="163"/>
      <c r="F3" s="163"/>
      <c r="G3" s="163"/>
      <c r="H3" s="163" t="str">
        <f ca="1">変更履歴!H3</f>
        <v>SS0600</v>
      </c>
      <c r="I3" s="163"/>
      <c r="J3" s="163"/>
      <c r="K3" s="163"/>
      <c r="L3" s="163" t="str">
        <f>変更履歴!L3</f>
        <v>受発注</v>
      </c>
      <c r="M3" s="163"/>
      <c r="N3" s="163"/>
      <c r="O3" s="163"/>
      <c r="P3" s="163"/>
      <c r="Q3" s="163"/>
      <c r="R3" s="163" t="str">
        <f ca="1">変更履歴!R3</f>
        <v>帳票設計書</v>
      </c>
      <c r="S3" s="163"/>
      <c r="T3" s="163"/>
      <c r="U3" s="163"/>
      <c r="V3" s="163"/>
      <c r="W3" s="163"/>
      <c r="X3" s="166" t="str">
        <f ca="1">変更履歴!X3</f>
        <v>SS0600_支払予定表_帳票設計書</v>
      </c>
      <c r="Y3" s="167"/>
      <c r="Z3" s="167"/>
      <c r="AA3" s="167"/>
      <c r="AB3" s="167"/>
      <c r="AC3" s="167"/>
      <c r="AD3" s="167"/>
      <c r="AE3" s="167"/>
      <c r="AF3" s="167"/>
      <c r="AG3" s="167"/>
      <c r="AH3" s="167"/>
      <c r="AI3" s="167"/>
      <c r="AJ3" s="168"/>
      <c r="AK3" s="166" t="str">
        <f ca="1">変更履歴!AK3</f>
        <v>支払予定表</v>
      </c>
      <c r="AL3" s="167"/>
      <c r="AM3" s="167"/>
      <c r="AN3" s="167"/>
      <c r="AO3" s="167"/>
      <c r="AP3" s="167"/>
      <c r="AQ3" s="167"/>
      <c r="AR3" s="167"/>
      <c r="AS3" s="167"/>
      <c r="AT3" s="167"/>
      <c r="AU3" s="167"/>
      <c r="AV3" s="167"/>
      <c r="AW3" s="168"/>
      <c r="AX3" s="162">
        <f>変更履歴!AX3</f>
        <v>45581</v>
      </c>
      <c r="AY3" s="162"/>
      <c r="AZ3" s="162"/>
      <c r="BA3" s="162"/>
      <c r="BB3" s="163" t="str">
        <f>変更履歴!BB3</f>
        <v>大谷</v>
      </c>
      <c r="BC3" s="163"/>
      <c r="BD3" s="163"/>
      <c r="BE3" s="163"/>
      <c r="BF3" s="162">
        <f>変更履歴!BF3</f>
        <v>45581</v>
      </c>
      <c r="BG3" s="162"/>
      <c r="BH3" s="162"/>
      <c r="BI3" s="162"/>
      <c r="BJ3" s="163" t="str">
        <f>変更履歴!BJ3</f>
        <v>大谷</v>
      </c>
      <c r="BK3" s="163"/>
      <c r="BL3" s="163"/>
      <c r="BM3" s="213"/>
    </row>
    <row r="4" spans="2:65" ht="20.100000000000001" customHeight="1" thickBot="1" x14ac:dyDescent="0.5">
      <c r="B4" s="225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2"/>
      <c r="O4" s="212"/>
      <c r="P4" s="212"/>
      <c r="Q4" s="212"/>
      <c r="R4" s="212"/>
      <c r="S4" s="212"/>
      <c r="T4" s="212"/>
      <c r="U4" s="212"/>
      <c r="V4" s="212"/>
      <c r="W4" s="212"/>
      <c r="X4" s="217"/>
      <c r="Y4" s="218"/>
      <c r="Z4" s="218"/>
      <c r="AA4" s="218"/>
      <c r="AB4" s="218"/>
      <c r="AC4" s="218"/>
      <c r="AD4" s="218"/>
      <c r="AE4" s="218"/>
      <c r="AF4" s="218"/>
      <c r="AG4" s="218"/>
      <c r="AH4" s="218"/>
      <c r="AI4" s="218"/>
      <c r="AJ4" s="219"/>
      <c r="AK4" s="217"/>
      <c r="AL4" s="218"/>
      <c r="AM4" s="218"/>
      <c r="AN4" s="218"/>
      <c r="AO4" s="218"/>
      <c r="AP4" s="218"/>
      <c r="AQ4" s="218"/>
      <c r="AR4" s="218"/>
      <c r="AS4" s="218"/>
      <c r="AT4" s="218"/>
      <c r="AU4" s="218"/>
      <c r="AV4" s="218"/>
      <c r="AW4" s="219"/>
      <c r="AX4" s="211"/>
      <c r="AY4" s="211"/>
      <c r="AZ4" s="211"/>
      <c r="BA4" s="211"/>
      <c r="BB4" s="212"/>
      <c r="BC4" s="212"/>
      <c r="BD4" s="212"/>
      <c r="BE4" s="212"/>
      <c r="BF4" s="211"/>
      <c r="BG4" s="211"/>
      <c r="BH4" s="211"/>
      <c r="BI4" s="211"/>
      <c r="BJ4" s="212"/>
      <c r="BK4" s="212"/>
      <c r="BL4" s="212"/>
      <c r="BM4" s="214"/>
    </row>
    <row r="5" spans="2:65" ht="5.0999999999999996" customHeight="1" thickBot="1" x14ac:dyDescent="0.5"/>
    <row r="6" spans="2:65" ht="20.100000000000001" customHeight="1" x14ac:dyDescent="0.45">
      <c r="B6" s="109" t="s">
        <v>140</v>
      </c>
      <c r="C6" s="110"/>
      <c r="D6" s="110"/>
      <c r="E6" s="110"/>
      <c r="F6" s="110"/>
      <c r="G6" s="111"/>
      <c r="H6" s="112" t="s">
        <v>123</v>
      </c>
      <c r="I6" s="111"/>
      <c r="J6" s="148" t="s">
        <v>130</v>
      </c>
      <c r="K6" s="149"/>
      <c r="L6" s="149"/>
      <c r="M6" s="149"/>
      <c r="N6" s="149"/>
      <c r="O6" s="149"/>
      <c r="P6" s="149"/>
      <c r="Q6" s="149"/>
      <c r="R6" s="148" t="s">
        <v>139</v>
      </c>
      <c r="S6" s="149"/>
      <c r="T6" s="149"/>
      <c r="U6" s="149"/>
      <c r="V6" s="149"/>
      <c r="W6" s="149"/>
      <c r="X6" s="149"/>
      <c r="Y6" s="149"/>
      <c r="Z6" s="149"/>
      <c r="AA6" s="149"/>
      <c r="AB6" s="149"/>
      <c r="AC6" s="149"/>
      <c r="AD6" s="149"/>
      <c r="AE6" s="149"/>
      <c r="AF6" s="149"/>
      <c r="AG6" s="149"/>
      <c r="AH6" s="149"/>
      <c r="AI6" s="149"/>
      <c r="AJ6" s="150"/>
      <c r="AK6" s="113"/>
      <c r="AL6" s="110"/>
      <c r="AM6" s="110"/>
      <c r="AN6" s="110"/>
      <c r="AO6" s="110"/>
      <c r="AP6" s="110"/>
      <c r="AQ6" s="110"/>
      <c r="AR6" s="110"/>
      <c r="AS6" s="110"/>
      <c r="AT6" s="110"/>
      <c r="AU6" s="110"/>
      <c r="AV6" s="110"/>
      <c r="AW6" s="110"/>
      <c r="AX6" s="110"/>
      <c r="AY6" s="110"/>
      <c r="AZ6" s="110"/>
      <c r="BA6" s="110"/>
      <c r="BB6" s="110"/>
      <c r="BC6" s="110"/>
      <c r="BD6" s="110"/>
      <c r="BE6" s="110"/>
      <c r="BF6" s="110"/>
      <c r="BG6" s="110"/>
      <c r="BH6" s="110"/>
      <c r="BI6" s="114"/>
    </row>
    <row r="7" spans="2:65" ht="20.100000000000001" customHeight="1" x14ac:dyDescent="0.45">
      <c r="B7" s="115" t="s">
        <v>129</v>
      </c>
      <c r="C7" s="31"/>
      <c r="D7" s="31"/>
      <c r="E7" s="31"/>
      <c r="F7" s="31"/>
      <c r="G7" s="116"/>
      <c r="H7" s="117"/>
      <c r="I7" s="116"/>
      <c r="J7" s="144" t="s">
        <v>131</v>
      </c>
      <c r="K7" s="52"/>
      <c r="L7" s="52"/>
      <c r="M7" s="52"/>
      <c r="N7" s="52"/>
      <c r="O7" s="52"/>
      <c r="P7" s="52"/>
      <c r="Q7" s="52"/>
      <c r="R7" s="144" t="s">
        <v>124</v>
      </c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151"/>
      <c r="AK7" s="118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119"/>
    </row>
    <row r="8" spans="2:65" ht="20.100000000000001" customHeight="1" x14ac:dyDescent="0.45">
      <c r="B8" s="115"/>
      <c r="C8" s="31"/>
      <c r="D8" s="31"/>
      <c r="E8" s="31"/>
      <c r="F8" s="31"/>
      <c r="G8" s="116"/>
      <c r="H8" s="117"/>
      <c r="I8" s="116"/>
      <c r="J8" s="144" t="s">
        <v>132</v>
      </c>
      <c r="K8" s="52"/>
      <c r="L8" s="52"/>
      <c r="M8" s="52"/>
      <c r="N8" s="52"/>
      <c r="O8" s="52"/>
      <c r="P8" s="52"/>
      <c r="Q8" s="52"/>
      <c r="R8" s="144" t="s">
        <v>125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151"/>
      <c r="AK8" s="118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119"/>
    </row>
    <row r="9" spans="2:65" ht="20.100000000000001" customHeight="1" x14ac:dyDescent="0.45">
      <c r="B9" s="115"/>
      <c r="C9" s="31"/>
      <c r="D9" s="31"/>
      <c r="E9" s="31"/>
      <c r="F9" s="31"/>
      <c r="G9" s="116"/>
      <c r="H9" s="117"/>
      <c r="I9" s="116"/>
      <c r="J9" s="144" t="s">
        <v>133</v>
      </c>
      <c r="K9" s="52"/>
      <c r="L9" s="52"/>
      <c r="M9" s="52"/>
      <c r="N9" s="52"/>
      <c r="O9" s="52"/>
      <c r="P9" s="52"/>
      <c r="Q9" s="52"/>
      <c r="R9" s="144" t="s">
        <v>126</v>
      </c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151"/>
      <c r="AK9" s="118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119"/>
    </row>
    <row r="10" spans="2:65" ht="20.100000000000001" customHeight="1" x14ac:dyDescent="0.45">
      <c r="B10" s="115"/>
      <c r="C10" s="31"/>
      <c r="D10" s="31"/>
      <c r="E10" s="31"/>
      <c r="F10" s="31"/>
      <c r="G10" s="116"/>
      <c r="H10" s="117"/>
      <c r="I10" s="116"/>
      <c r="J10" s="144" t="s">
        <v>134</v>
      </c>
      <c r="K10" s="52"/>
      <c r="L10" s="52"/>
      <c r="M10" s="52"/>
      <c r="N10" s="52"/>
      <c r="O10" s="52"/>
      <c r="P10" s="52"/>
      <c r="Q10" s="52"/>
      <c r="R10" s="144" t="s">
        <v>127</v>
      </c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151"/>
      <c r="AK10" s="118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119"/>
    </row>
    <row r="11" spans="2:65" ht="20.100000000000001" customHeight="1" x14ac:dyDescent="0.45">
      <c r="B11" s="115"/>
      <c r="C11" s="31"/>
      <c r="D11" s="31"/>
      <c r="E11" s="31"/>
      <c r="F11" s="31"/>
      <c r="G11" s="116"/>
      <c r="H11" s="117"/>
      <c r="I11" s="116"/>
      <c r="J11" s="144" t="s">
        <v>138</v>
      </c>
      <c r="K11" s="52"/>
      <c r="L11" s="52"/>
      <c r="M11" s="52"/>
      <c r="N11" s="52"/>
      <c r="O11" s="52"/>
      <c r="P11" s="52"/>
      <c r="Q11" s="52"/>
      <c r="R11" s="144" t="s">
        <v>136</v>
      </c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151"/>
      <c r="AK11" s="118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119"/>
    </row>
    <row r="12" spans="2:65" ht="20.100000000000001" customHeight="1" x14ac:dyDescent="0.45">
      <c r="B12" s="115"/>
      <c r="C12" s="31"/>
      <c r="D12" s="31"/>
      <c r="E12" s="31"/>
      <c r="F12" s="31"/>
      <c r="G12" s="116"/>
      <c r="H12" s="117"/>
      <c r="I12" s="147"/>
      <c r="J12" s="144" t="s">
        <v>135</v>
      </c>
      <c r="K12" s="52"/>
      <c r="L12" s="52"/>
      <c r="M12" s="52"/>
      <c r="N12" s="52"/>
      <c r="O12" s="52"/>
      <c r="P12" s="52"/>
      <c r="Q12" s="52"/>
      <c r="R12" s="144" t="s">
        <v>128</v>
      </c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151"/>
      <c r="AK12" s="118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119"/>
    </row>
    <row r="13" spans="2:65" ht="20.100000000000001" customHeight="1" x14ac:dyDescent="0.45">
      <c r="B13" s="115"/>
      <c r="C13" s="31"/>
      <c r="D13" s="31"/>
      <c r="E13" s="31"/>
      <c r="F13" s="31"/>
      <c r="G13" s="116"/>
      <c r="H13" s="144" t="s">
        <v>84</v>
      </c>
      <c r="I13" s="52"/>
      <c r="J13" s="144" t="s">
        <v>116</v>
      </c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145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2"/>
      <c r="BF13" s="52"/>
      <c r="BG13" s="52"/>
      <c r="BH13" s="52"/>
      <c r="BI13" s="146"/>
    </row>
    <row r="14" spans="2:65" ht="20.100000000000001" customHeight="1" x14ac:dyDescent="0.45">
      <c r="B14" s="115"/>
      <c r="C14" s="31"/>
      <c r="D14" s="31"/>
      <c r="E14" s="31"/>
      <c r="F14" s="31"/>
      <c r="G14" s="116"/>
      <c r="H14" s="117" t="s">
        <v>85</v>
      </c>
      <c r="I14" s="31"/>
      <c r="J14" s="117"/>
      <c r="K14" s="31" t="s">
        <v>119</v>
      </c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118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119"/>
    </row>
    <row r="15" spans="2:65" ht="20.100000000000001" customHeight="1" x14ac:dyDescent="0.45">
      <c r="B15" s="115"/>
      <c r="C15" s="31"/>
      <c r="D15" s="31"/>
      <c r="E15" s="31"/>
      <c r="F15" s="31"/>
      <c r="G15" s="116"/>
      <c r="H15" s="117"/>
      <c r="I15" s="31"/>
      <c r="J15" s="117" t="s">
        <v>117</v>
      </c>
      <c r="K15" s="31" t="s">
        <v>120</v>
      </c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117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119"/>
    </row>
    <row r="16" spans="2:65" ht="20.100000000000001" customHeight="1" x14ac:dyDescent="0.45">
      <c r="B16" s="115"/>
      <c r="C16" s="31"/>
      <c r="D16" s="31"/>
      <c r="E16" s="31"/>
      <c r="F16" s="31"/>
      <c r="G16" s="116"/>
      <c r="H16" s="117"/>
      <c r="I16" s="31"/>
      <c r="J16" s="117" t="s">
        <v>114</v>
      </c>
      <c r="K16" s="31" t="s">
        <v>121</v>
      </c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117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119"/>
    </row>
    <row r="17" spans="2:61" ht="20.100000000000001" customHeight="1" x14ac:dyDescent="0.45">
      <c r="B17" s="115"/>
      <c r="C17" s="31"/>
      <c r="D17" s="31"/>
      <c r="E17" s="31"/>
      <c r="F17" s="31"/>
      <c r="G17" s="116"/>
      <c r="H17" s="117"/>
      <c r="I17" s="31"/>
      <c r="J17" s="117" t="s">
        <v>114</v>
      </c>
      <c r="K17" s="31" t="s">
        <v>122</v>
      </c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117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119"/>
    </row>
    <row r="18" spans="2:61" ht="20.100000000000001" customHeight="1" thickBot="1" x14ac:dyDescent="0.5">
      <c r="B18" s="115"/>
      <c r="C18" s="31"/>
      <c r="D18" s="31"/>
      <c r="E18" s="31"/>
      <c r="F18" s="31"/>
      <c r="G18" s="116"/>
      <c r="H18" s="141" t="s">
        <v>115</v>
      </c>
      <c r="I18" s="142"/>
      <c r="J18" s="141" t="s">
        <v>118</v>
      </c>
      <c r="K18" s="142"/>
      <c r="L18" s="142"/>
      <c r="M18" s="142"/>
      <c r="N18" s="142"/>
      <c r="O18" s="142"/>
      <c r="P18" s="142"/>
      <c r="Q18" s="142"/>
      <c r="R18" s="142"/>
      <c r="S18" s="142"/>
      <c r="T18" s="142"/>
      <c r="U18" s="142"/>
      <c r="V18" s="142"/>
      <c r="W18" s="142"/>
      <c r="X18" s="142"/>
      <c r="Y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2"/>
      <c r="AK18" s="141"/>
      <c r="AL18" s="142"/>
      <c r="AM18" s="142"/>
      <c r="AN18" s="142"/>
      <c r="AO18" s="142"/>
      <c r="AP18" s="142"/>
      <c r="AQ18" s="142"/>
      <c r="AR18" s="142"/>
      <c r="AS18" s="142"/>
      <c r="AT18" s="142"/>
      <c r="AU18" s="142"/>
      <c r="AV18" s="142"/>
      <c r="AW18" s="142"/>
      <c r="AX18" s="142"/>
      <c r="AY18" s="142"/>
      <c r="AZ18" s="142"/>
      <c r="BA18" s="142"/>
      <c r="BB18" s="142"/>
      <c r="BC18" s="142"/>
      <c r="BD18" s="142"/>
      <c r="BE18" s="142"/>
      <c r="BF18" s="142"/>
      <c r="BG18" s="142"/>
      <c r="BH18" s="142"/>
      <c r="BI18" s="143"/>
    </row>
    <row r="19" spans="2:61" ht="5.0999999999999996" customHeight="1" x14ac:dyDescent="0.45">
      <c r="B19" s="110"/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10"/>
      <c r="AJ19" s="110"/>
      <c r="AK19" s="110"/>
      <c r="AL19" s="110"/>
      <c r="AM19" s="110"/>
      <c r="AN19" s="110"/>
      <c r="AO19" s="110"/>
      <c r="AP19" s="110"/>
      <c r="AQ19" s="110"/>
      <c r="AR19" s="110"/>
      <c r="AS19" s="110"/>
      <c r="AT19" s="110"/>
      <c r="AU19" s="110"/>
      <c r="AV19" s="110"/>
      <c r="AW19" s="110"/>
      <c r="AX19" s="110"/>
      <c r="AY19" s="110"/>
      <c r="AZ19" s="110"/>
      <c r="BA19" s="110"/>
      <c r="BB19" s="110"/>
      <c r="BC19" s="110"/>
      <c r="BD19" s="110"/>
      <c r="BE19" s="110"/>
      <c r="BF19" s="110"/>
      <c r="BG19" s="110"/>
      <c r="BH19" s="110"/>
      <c r="BI19" s="110"/>
    </row>
  </sheetData>
  <mergeCells count="20"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  <mergeCell ref="AX3:BA4"/>
    <mergeCell ref="BB3:BE4"/>
    <mergeCell ref="BF3:BI4"/>
    <mergeCell ref="BJ3:BM4"/>
    <mergeCell ref="AX2:BA2"/>
    <mergeCell ref="BB2:BE2"/>
    <mergeCell ref="BF2:BI2"/>
    <mergeCell ref="BJ2:BM2"/>
  </mergeCells>
  <phoneticPr fontId="2"/>
  <pageMargins left="0.70866141732283472" right="0.70866141732283472" top="0.74803149606299213" bottom="0.74803149606299213" header="0.31496062992125984" footer="0.31496062992125984"/>
  <pageSetup paperSize="8" scale="72" fitToHeight="10" orientation="landscape" r:id="rId1"/>
  <headerFooter>
    <oddFooter>&amp;R©2024 SMS DataTech Corporation. All rights reserved.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B1:BM32"/>
  <sheetViews>
    <sheetView showGridLines="0" topLeftCell="H1" zoomScaleNormal="100" zoomScaleSheetLayoutView="100" workbookViewId="0">
      <selection activeCell="U31" sqref="U31"/>
    </sheetView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220" t="s">
        <v>0</v>
      </c>
      <c r="C2" s="215"/>
      <c r="D2" s="215"/>
      <c r="E2" s="215"/>
      <c r="F2" s="215"/>
      <c r="G2" s="215"/>
      <c r="H2" s="215" t="s">
        <v>17</v>
      </c>
      <c r="I2" s="215"/>
      <c r="J2" s="215"/>
      <c r="K2" s="215"/>
      <c r="L2" s="215" t="s">
        <v>1</v>
      </c>
      <c r="M2" s="215"/>
      <c r="N2" s="215"/>
      <c r="O2" s="215"/>
      <c r="P2" s="215"/>
      <c r="Q2" s="215"/>
      <c r="R2" s="215" t="s">
        <v>2</v>
      </c>
      <c r="S2" s="215"/>
      <c r="T2" s="215"/>
      <c r="U2" s="215"/>
      <c r="V2" s="215"/>
      <c r="W2" s="215"/>
      <c r="X2" s="221" t="s">
        <v>3</v>
      </c>
      <c r="Y2" s="222"/>
      <c r="Z2" s="222"/>
      <c r="AA2" s="222"/>
      <c r="AB2" s="222"/>
      <c r="AC2" s="222"/>
      <c r="AD2" s="222"/>
      <c r="AE2" s="222"/>
      <c r="AF2" s="222"/>
      <c r="AG2" s="222"/>
      <c r="AH2" s="222"/>
      <c r="AI2" s="222"/>
      <c r="AJ2" s="223"/>
      <c r="AK2" s="221" t="s">
        <v>32</v>
      </c>
      <c r="AL2" s="222"/>
      <c r="AM2" s="222"/>
      <c r="AN2" s="222"/>
      <c r="AO2" s="222"/>
      <c r="AP2" s="222"/>
      <c r="AQ2" s="222"/>
      <c r="AR2" s="222"/>
      <c r="AS2" s="222"/>
      <c r="AT2" s="222"/>
      <c r="AU2" s="222"/>
      <c r="AV2" s="222"/>
      <c r="AW2" s="223"/>
      <c r="AX2" s="215" t="s">
        <v>5</v>
      </c>
      <c r="AY2" s="215"/>
      <c r="AZ2" s="215"/>
      <c r="BA2" s="215"/>
      <c r="BB2" s="215" t="s">
        <v>4</v>
      </c>
      <c r="BC2" s="215"/>
      <c r="BD2" s="215"/>
      <c r="BE2" s="215"/>
      <c r="BF2" s="215" t="s">
        <v>6</v>
      </c>
      <c r="BG2" s="215"/>
      <c r="BH2" s="215"/>
      <c r="BI2" s="215"/>
      <c r="BJ2" s="215" t="s">
        <v>7</v>
      </c>
      <c r="BK2" s="215"/>
      <c r="BL2" s="215"/>
      <c r="BM2" s="216"/>
    </row>
    <row r="3" spans="2:65" ht="20.100000000000001" customHeight="1" x14ac:dyDescent="0.45">
      <c r="B3" s="224" t="str">
        <f>変更履歴!B3</f>
        <v>受発注</v>
      </c>
      <c r="C3" s="163"/>
      <c r="D3" s="163"/>
      <c r="E3" s="163"/>
      <c r="F3" s="163"/>
      <c r="G3" s="163"/>
      <c r="H3" s="163" t="str">
        <f ca="1">変更履歴!H3</f>
        <v>SS0600</v>
      </c>
      <c r="I3" s="163"/>
      <c r="J3" s="163"/>
      <c r="K3" s="163"/>
      <c r="L3" s="163" t="str">
        <f>変更履歴!L3</f>
        <v>受発注</v>
      </c>
      <c r="M3" s="163"/>
      <c r="N3" s="163"/>
      <c r="O3" s="163"/>
      <c r="P3" s="163"/>
      <c r="Q3" s="163"/>
      <c r="R3" s="163" t="str">
        <f ca="1">変更履歴!R3</f>
        <v>帳票設計書</v>
      </c>
      <c r="S3" s="163"/>
      <c r="T3" s="163"/>
      <c r="U3" s="163"/>
      <c r="V3" s="163"/>
      <c r="W3" s="163"/>
      <c r="X3" s="166" t="str">
        <f ca="1">変更履歴!X3</f>
        <v>SS0600_支払予定表_帳票設計書</v>
      </c>
      <c r="Y3" s="167"/>
      <c r="Z3" s="167"/>
      <c r="AA3" s="167"/>
      <c r="AB3" s="167"/>
      <c r="AC3" s="167"/>
      <c r="AD3" s="167"/>
      <c r="AE3" s="167"/>
      <c r="AF3" s="167"/>
      <c r="AG3" s="167"/>
      <c r="AH3" s="167"/>
      <c r="AI3" s="167"/>
      <c r="AJ3" s="168"/>
      <c r="AK3" s="166" t="str">
        <f ca="1">変更履歴!AK3</f>
        <v>支払予定表</v>
      </c>
      <c r="AL3" s="167"/>
      <c r="AM3" s="167"/>
      <c r="AN3" s="167"/>
      <c r="AO3" s="167"/>
      <c r="AP3" s="167"/>
      <c r="AQ3" s="167"/>
      <c r="AR3" s="167"/>
      <c r="AS3" s="167"/>
      <c r="AT3" s="167"/>
      <c r="AU3" s="167"/>
      <c r="AV3" s="167"/>
      <c r="AW3" s="168"/>
      <c r="AX3" s="162">
        <f>変更履歴!AX3</f>
        <v>45581</v>
      </c>
      <c r="AY3" s="162"/>
      <c r="AZ3" s="162"/>
      <c r="BA3" s="162"/>
      <c r="BB3" s="163" t="str">
        <f>変更履歴!BB3</f>
        <v>大谷</v>
      </c>
      <c r="BC3" s="163"/>
      <c r="BD3" s="163"/>
      <c r="BE3" s="163"/>
      <c r="BF3" s="162">
        <f>変更履歴!BF3</f>
        <v>45581</v>
      </c>
      <c r="BG3" s="162"/>
      <c r="BH3" s="162"/>
      <c r="BI3" s="162"/>
      <c r="BJ3" s="163" t="str">
        <f>変更履歴!BJ3</f>
        <v>大谷</v>
      </c>
      <c r="BK3" s="163"/>
      <c r="BL3" s="163"/>
      <c r="BM3" s="213"/>
    </row>
    <row r="4" spans="2:65" ht="20.100000000000001" customHeight="1" thickBot="1" x14ac:dyDescent="0.5">
      <c r="B4" s="225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2"/>
      <c r="O4" s="212"/>
      <c r="P4" s="212"/>
      <c r="Q4" s="212"/>
      <c r="R4" s="212"/>
      <c r="S4" s="212"/>
      <c r="T4" s="212"/>
      <c r="U4" s="212"/>
      <c r="V4" s="212"/>
      <c r="W4" s="212"/>
      <c r="X4" s="217"/>
      <c r="Y4" s="218"/>
      <c r="Z4" s="218"/>
      <c r="AA4" s="218"/>
      <c r="AB4" s="218"/>
      <c r="AC4" s="218"/>
      <c r="AD4" s="218"/>
      <c r="AE4" s="218"/>
      <c r="AF4" s="218"/>
      <c r="AG4" s="218"/>
      <c r="AH4" s="218"/>
      <c r="AI4" s="218"/>
      <c r="AJ4" s="219"/>
      <c r="AK4" s="217"/>
      <c r="AL4" s="218"/>
      <c r="AM4" s="218"/>
      <c r="AN4" s="218"/>
      <c r="AO4" s="218"/>
      <c r="AP4" s="218"/>
      <c r="AQ4" s="218"/>
      <c r="AR4" s="218"/>
      <c r="AS4" s="218"/>
      <c r="AT4" s="218"/>
      <c r="AU4" s="218"/>
      <c r="AV4" s="218"/>
      <c r="AW4" s="219"/>
      <c r="AX4" s="211"/>
      <c r="AY4" s="211"/>
      <c r="AZ4" s="211"/>
      <c r="BA4" s="211"/>
      <c r="BB4" s="212"/>
      <c r="BC4" s="212"/>
      <c r="BD4" s="212"/>
      <c r="BE4" s="212"/>
      <c r="BF4" s="211"/>
      <c r="BG4" s="211"/>
      <c r="BH4" s="211"/>
      <c r="BI4" s="211"/>
      <c r="BJ4" s="212"/>
      <c r="BK4" s="212"/>
      <c r="BL4" s="212"/>
      <c r="BM4" s="214"/>
    </row>
    <row r="5" spans="2:65" ht="5.0999999999999996" customHeight="1" thickBot="1" x14ac:dyDescent="0.5"/>
    <row r="6" spans="2:65" ht="20.100000000000001" customHeight="1" x14ac:dyDescent="0.45">
      <c r="B6" s="109" t="s">
        <v>86</v>
      </c>
      <c r="C6" s="110"/>
      <c r="D6" s="110"/>
      <c r="E6" s="110"/>
      <c r="F6" s="110"/>
      <c r="G6" s="111"/>
      <c r="H6" s="112" t="s">
        <v>87</v>
      </c>
      <c r="I6" s="110"/>
      <c r="J6" s="127" t="s">
        <v>88</v>
      </c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  <c r="AB6" s="110"/>
      <c r="AC6" s="110"/>
      <c r="AD6" s="110"/>
      <c r="AE6" s="110"/>
      <c r="AF6" s="110"/>
      <c r="AG6" s="110"/>
      <c r="AH6" s="110"/>
      <c r="AI6" s="110"/>
      <c r="AJ6" s="110"/>
      <c r="AK6" s="113"/>
      <c r="AL6" s="110"/>
      <c r="AM6" s="110"/>
      <c r="AN6" s="110"/>
      <c r="AO6" s="110"/>
      <c r="AP6" s="110"/>
      <c r="AQ6" s="110"/>
      <c r="AR6" s="110"/>
      <c r="AS6" s="110"/>
      <c r="AT6" s="110"/>
      <c r="AU6" s="110"/>
      <c r="AV6" s="110"/>
      <c r="AW6" s="110"/>
      <c r="AX6" s="110"/>
      <c r="AY6" s="110"/>
      <c r="AZ6" s="110"/>
      <c r="BA6" s="110"/>
      <c r="BB6" s="110"/>
      <c r="BC6" s="110"/>
      <c r="BD6" s="110"/>
      <c r="BE6" s="110"/>
      <c r="BF6" s="110"/>
      <c r="BG6" s="110"/>
      <c r="BH6" s="110"/>
      <c r="BI6" s="114"/>
      <c r="BJ6" s="29"/>
      <c r="BK6" s="29"/>
      <c r="BL6" s="29"/>
      <c r="BM6" s="29"/>
    </row>
    <row r="7" spans="2:65" ht="20.100000000000001" customHeight="1" x14ac:dyDescent="0.45">
      <c r="B7" s="115"/>
      <c r="C7" s="31"/>
      <c r="D7" s="31"/>
      <c r="E7" s="31"/>
      <c r="F7" s="31"/>
      <c r="G7" s="116"/>
      <c r="H7" s="117"/>
      <c r="I7" s="31"/>
      <c r="J7" s="117" t="s">
        <v>89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118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119"/>
      <c r="BJ7" s="29"/>
      <c r="BK7" s="29"/>
      <c r="BL7" s="29"/>
      <c r="BM7" s="29"/>
    </row>
    <row r="8" spans="2:65" ht="20.100000000000001" customHeight="1" x14ac:dyDescent="0.45">
      <c r="B8" s="115"/>
      <c r="C8" s="31"/>
      <c r="D8" s="31"/>
      <c r="E8" s="31"/>
      <c r="F8" s="31"/>
      <c r="G8" s="116"/>
      <c r="H8" s="117"/>
      <c r="I8" s="31"/>
      <c r="J8" s="117" t="s">
        <v>90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118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119"/>
      <c r="BJ8" s="29"/>
      <c r="BK8" s="29"/>
      <c r="BL8" s="29"/>
      <c r="BM8" s="29"/>
    </row>
    <row r="9" spans="2:65" ht="20.100000000000001" customHeight="1" x14ac:dyDescent="0.45">
      <c r="B9" s="115"/>
      <c r="C9" s="31"/>
      <c r="D9" s="31"/>
      <c r="E9" s="31"/>
      <c r="F9" s="31"/>
      <c r="G9" s="116"/>
      <c r="H9" s="117"/>
      <c r="I9" s="31"/>
      <c r="J9" s="117" t="s">
        <v>91</v>
      </c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118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119"/>
      <c r="BJ9" s="29"/>
      <c r="BK9" s="29"/>
      <c r="BL9" s="29"/>
      <c r="BM9" s="29"/>
    </row>
    <row r="10" spans="2:65" ht="20.100000000000001" customHeight="1" x14ac:dyDescent="0.45">
      <c r="B10" s="115"/>
      <c r="C10" s="31"/>
      <c r="D10" s="31"/>
      <c r="E10" s="31"/>
      <c r="F10" s="31"/>
      <c r="G10" s="116"/>
      <c r="H10" s="120" t="s">
        <v>92</v>
      </c>
      <c r="I10" s="55"/>
      <c r="J10" s="128" t="s">
        <v>93</v>
      </c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121"/>
      <c r="AL10" s="55"/>
      <c r="AM10" s="55"/>
      <c r="AN10" s="55"/>
      <c r="AO10" s="55"/>
      <c r="AP10" s="55"/>
      <c r="AQ10" s="55"/>
      <c r="AR10" s="55"/>
      <c r="AS10" s="55"/>
      <c r="AT10" s="55"/>
      <c r="AU10" s="55"/>
      <c r="AV10" s="55"/>
      <c r="AW10" s="55"/>
      <c r="AX10" s="55"/>
      <c r="AY10" s="55"/>
      <c r="AZ10" s="55"/>
      <c r="BA10" s="55"/>
      <c r="BB10" s="55"/>
      <c r="BC10" s="55"/>
      <c r="BD10" s="55"/>
      <c r="BE10" s="55"/>
      <c r="BF10" s="55"/>
      <c r="BG10" s="55"/>
      <c r="BH10" s="55"/>
      <c r="BI10" s="122"/>
      <c r="BJ10" s="29"/>
      <c r="BK10" s="29"/>
      <c r="BL10" s="29"/>
      <c r="BM10" s="29"/>
    </row>
    <row r="11" spans="2:65" ht="20.100000000000001" customHeight="1" x14ac:dyDescent="0.45">
      <c r="B11" s="115"/>
      <c r="C11" s="31"/>
      <c r="D11" s="31"/>
      <c r="E11" s="31"/>
      <c r="F11" s="31"/>
      <c r="G11" s="116"/>
      <c r="H11" s="117"/>
      <c r="I11" s="31"/>
      <c r="J11" s="129"/>
      <c r="K11" s="130" t="s">
        <v>94</v>
      </c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118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119"/>
      <c r="BJ11" s="29"/>
      <c r="BK11" s="29"/>
      <c r="BL11" s="29"/>
      <c r="BM11" s="29"/>
    </row>
    <row r="12" spans="2:65" ht="20.100000000000001" customHeight="1" x14ac:dyDescent="0.45">
      <c r="B12" s="115"/>
      <c r="C12" s="31"/>
      <c r="D12" s="31"/>
      <c r="E12" s="31"/>
      <c r="F12" s="31"/>
      <c r="G12" s="116"/>
      <c r="H12" s="117"/>
      <c r="I12" s="31"/>
      <c r="J12" s="117"/>
      <c r="K12" s="29"/>
      <c r="L12" s="131"/>
      <c r="M12" s="130" t="s">
        <v>95</v>
      </c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118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119"/>
      <c r="BJ12" s="29"/>
      <c r="BK12" s="29"/>
      <c r="BL12" s="29"/>
      <c r="BM12" s="29"/>
    </row>
    <row r="13" spans="2:65" ht="20.100000000000001" customHeight="1" x14ac:dyDescent="0.45">
      <c r="B13" s="115"/>
      <c r="C13" s="31"/>
      <c r="D13" s="31"/>
      <c r="E13" s="31"/>
      <c r="F13" s="31"/>
      <c r="G13" s="116"/>
      <c r="H13" s="117"/>
      <c r="I13" s="31"/>
      <c r="J13" s="117"/>
      <c r="K13" s="29"/>
      <c r="L13" s="131" t="s">
        <v>96</v>
      </c>
      <c r="M13" s="130" t="s">
        <v>95</v>
      </c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118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119"/>
      <c r="BJ13" s="29"/>
      <c r="BK13" s="29"/>
      <c r="BL13" s="29"/>
      <c r="BM13" s="29"/>
    </row>
    <row r="14" spans="2:65" ht="20.100000000000001" customHeight="1" x14ac:dyDescent="0.45">
      <c r="B14" s="115"/>
      <c r="C14" s="31"/>
      <c r="D14" s="31"/>
      <c r="E14" s="31"/>
      <c r="F14" s="31"/>
      <c r="G14" s="116"/>
      <c r="H14" s="117"/>
      <c r="I14" s="31"/>
      <c r="J14" s="117"/>
      <c r="K14" s="29"/>
      <c r="L14" s="131" t="s">
        <v>97</v>
      </c>
      <c r="M14" s="130" t="s">
        <v>95</v>
      </c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118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119"/>
      <c r="BJ14" s="29"/>
      <c r="BK14" s="29"/>
      <c r="BL14" s="29"/>
      <c r="BM14" s="29"/>
    </row>
    <row r="15" spans="2:65" ht="20.100000000000001" customHeight="1" x14ac:dyDescent="0.45">
      <c r="B15" s="115"/>
      <c r="C15" s="31"/>
      <c r="D15" s="31"/>
      <c r="E15" s="31"/>
      <c r="F15" s="31"/>
      <c r="G15" s="116"/>
      <c r="H15" s="117"/>
      <c r="I15" s="31"/>
      <c r="J15" s="117" t="s">
        <v>98</v>
      </c>
      <c r="K15" s="131"/>
      <c r="L15" s="130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118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119"/>
      <c r="BJ15" s="29"/>
      <c r="BK15" s="29"/>
      <c r="BL15" s="29"/>
      <c r="BM15" s="29"/>
    </row>
    <row r="16" spans="2:65" ht="20.100000000000001" customHeight="1" x14ac:dyDescent="0.45">
      <c r="B16" s="115"/>
      <c r="C16" s="31"/>
      <c r="D16" s="31"/>
      <c r="E16" s="31"/>
      <c r="F16" s="31"/>
      <c r="G16" s="116"/>
      <c r="H16" s="117"/>
      <c r="I16" s="31"/>
      <c r="J16" s="117"/>
      <c r="K16" s="31" t="s">
        <v>99</v>
      </c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118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119"/>
      <c r="BJ16" s="29"/>
      <c r="BK16" s="29"/>
      <c r="BL16" s="29"/>
      <c r="BM16" s="29"/>
    </row>
    <row r="17" spans="2:61" ht="20.100000000000001" customHeight="1" x14ac:dyDescent="0.45">
      <c r="B17" s="115"/>
      <c r="C17" s="31"/>
      <c r="D17" s="31"/>
      <c r="E17" s="31"/>
      <c r="F17" s="31"/>
      <c r="G17" s="116"/>
      <c r="H17" s="117"/>
      <c r="I17" s="31"/>
      <c r="J17" s="117"/>
      <c r="K17" s="29"/>
      <c r="L17" s="31"/>
      <c r="M17" s="31" t="s">
        <v>100</v>
      </c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118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119"/>
    </row>
    <row r="18" spans="2:61" ht="20.100000000000001" customHeight="1" x14ac:dyDescent="0.45">
      <c r="B18" s="115"/>
      <c r="C18" s="31"/>
      <c r="D18" s="31"/>
      <c r="E18" s="31"/>
      <c r="F18" s="31"/>
      <c r="G18" s="116"/>
      <c r="H18" s="123"/>
      <c r="I18" s="124"/>
      <c r="J18" s="123"/>
      <c r="K18" s="124"/>
      <c r="L18" s="124" t="s">
        <v>96</v>
      </c>
      <c r="M18" s="124" t="s">
        <v>101</v>
      </c>
      <c r="N18" s="124"/>
      <c r="O18" s="124"/>
      <c r="P18" s="124"/>
      <c r="Q18" s="124"/>
      <c r="R18" s="124"/>
      <c r="S18" s="124"/>
      <c r="T18" s="124"/>
      <c r="U18" s="124"/>
      <c r="V18" s="124"/>
      <c r="W18" s="124"/>
      <c r="X18" s="124"/>
      <c r="Y18" s="124"/>
      <c r="Z18" s="124"/>
      <c r="AA18" s="124"/>
      <c r="AB18" s="124"/>
      <c r="AC18" s="124"/>
      <c r="AD18" s="124"/>
      <c r="AE18" s="124"/>
      <c r="AF18" s="124"/>
      <c r="AG18" s="124"/>
      <c r="AH18" s="124"/>
      <c r="AI18" s="124"/>
      <c r="AJ18" s="124"/>
      <c r="AK18" s="125"/>
      <c r="AL18" s="124"/>
      <c r="AM18" s="124"/>
      <c r="AN18" s="124"/>
      <c r="AO18" s="124"/>
      <c r="AP18" s="124"/>
      <c r="AQ18" s="124"/>
      <c r="AR18" s="124"/>
      <c r="AS18" s="124"/>
      <c r="AT18" s="124"/>
      <c r="AU18" s="124"/>
      <c r="AV18" s="124"/>
      <c r="AW18" s="124"/>
      <c r="AX18" s="124"/>
      <c r="AY18" s="124"/>
      <c r="AZ18" s="124"/>
      <c r="BA18" s="124"/>
      <c r="BB18" s="124"/>
      <c r="BC18" s="124"/>
      <c r="BD18" s="124"/>
      <c r="BE18" s="124"/>
      <c r="BF18" s="124"/>
      <c r="BG18" s="124"/>
      <c r="BH18" s="124"/>
      <c r="BI18" s="126"/>
    </row>
    <row r="19" spans="2:61" ht="20.100000000000001" customHeight="1" x14ac:dyDescent="0.45">
      <c r="B19" s="115"/>
      <c r="C19" s="31"/>
      <c r="D19" s="31"/>
      <c r="E19" s="31"/>
      <c r="F19" s="31"/>
      <c r="G19" s="116"/>
      <c r="H19" s="117" t="s">
        <v>102</v>
      </c>
      <c r="I19" s="31"/>
      <c r="J19" s="132"/>
      <c r="K19" s="130" t="s">
        <v>103</v>
      </c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133" t="s">
        <v>104</v>
      </c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119"/>
    </row>
    <row r="20" spans="2:61" ht="20.100000000000001" customHeight="1" x14ac:dyDescent="0.45">
      <c r="B20" s="115"/>
      <c r="C20" s="31"/>
      <c r="D20" s="31"/>
      <c r="E20" s="31"/>
      <c r="F20" s="31"/>
      <c r="G20" s="116"/>
      <c r="H20" s="117"/>
      <c r="I20" s="31"/>
      <c r="J20" s="132" t="s">
        <v>96</v>
      </c>
      <c r="K20" s="130" t="s">
        <v>105</v>
      </c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118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119"/>
    </row>
    <row r="21" spans="2:61" ht="20.100000000000001" customHeight="1" x14ac:dyDescent="0.45">
      <c r="B21" s="115"/>
      <c r="C21" s="31"/>
      <c r="D21" s="31"/>
      <c r="E21" s="31"/>
      <c r="F21" s="31"/>
      <c r="G21" s="116"/>
      <c r="H21" s="117"/>
      <c r="I21" s="31"/>
      <c r="J21" s="132" t="s">
        <v>97</v>
      </c>
      <c r="K21" s="130" t="s">
        <v>105</v>
      </c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118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119"/>
    </row>
    <row r="22" spans="2:61" ht="20.100000000000001" customHeight="1" x14ac:dyDescent="0.45">
      <c r="B22" s="115"/>
      <c r="C22" s="31"/>
      <c r="D22" s="31"/>
      <c r="E22" s="31"/>
      <c r="F22" s="31"/>
      <c r="G22" s="116"/>
      <c r="H22" s="117"/>
      <c r="I22" s="31"/>
      <c r="J22" s="132" t="s">
        <v>106</v>
      </c>
      <c r="K22" s="130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118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119"/>
    </row>
    <row r="23" spans="2:61" ht="20.100000000000001" customHeight="1" x14ac:dyDescent="0.45">
      <c r="B23" s="115"/>
      <c r="C23" s="31"/>
      <c r="D23" s="31"/>
      <c r="E23" s="31"/>
      <c r="F23" s="31"/>
      <c r="G23" s="116"/>
      <c r="H23" s="117"/>
      <c r="I23" s="31"/>
      <c r="J23" s="117"/>
      <c r="K23" s="31" t="s">
        <v>107</v>
      </c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134" t="s">
        <v>108</v>
      </c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119"/>
    </row>
    <row r="24" spans="2:61" ht="20.100000000000001" customHeight="1" x14ac:dyDescent="0.45">
      <c r="B24" s="115"/>
      <c r="C24" s="31"/>
      <c r="D24" s="31"/>
      <c r="E24" s="31"/>
      <c r="F24" s="31"/>
      <c r="G24" s="116"/>
      <c r="H24" s="117"/>
      <c r="I24" s="31"/>
      <c r="J24" s="117" t="s">
        <v>96</v>
      </c>
      <c r="K24" s="31" t="s">
        <v>109</v>
      </c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117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119"/>
    </row>
    <row r="25" spans="2:61" ht="20.100000000000001" customHeight="1" x14ac:dyDescent="0.45">
      <c r="B25" s="115"/>
      <c r="C25" s="31"/>
      <c r="D25" s="31"/>
      <c r="E25" s="31"/>
      <c r="F25" s="31"/>
      <c r="G25" s="116"/>
      <c r="H25" s="117"/>
      <c r="I25" s="31"/>
      <c r="J25" s="132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117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119"/>
    </row>
    <row r="26" spans="2:61" ht="20.100000000000001" customHeight="1" x14ac:dyDescent="0.45">
      <c r="B26" s="115"/>
      <c r="C26" s="31"/>
      <c r="D26" s="31"/>
      <c r="E26" s="31"/>
      <c r="F26" s="31"/>
      <c r="G26" s="116"/>
      <c r="H26" s="117"/>
      <c r="I26" s="31"/>
      <c r="J26" s="117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117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119"/>
    </row>
    <row r="27" spans="2:61" ht="20.100000000000001" customHeight="1" x14ac:dyDescent="0.45">
      <c r="B27" s="115"/>
      <c r="C27" s="31"/>
      <c r="D27" s="31"/>
      <c r="E27" s="31"/>
      <c r="F27" s="31"/>
      <c r="G27" s="116"/>
      <c r="H27" s="123"/>
      <c r="I27" s="124"/>
      <c r="J27" s="123"/>
      <c r="K27" s="124"/>
      <c r="L27" s="124"/>
      <c r="M27" s="124"/>
      <c r="N27" s="124"/>
      <c r="O27" s="124"/>
      <c r="P27" s="124"/>
      <c r="Q27" s="124"/>
      <c r="R27" s="124"/>
      <c r="S27" s="124"/>
      <c r="T27" s="124"/>
      <c r="U27" s="124"/>
      <c r="V27" s="124"/>
      <c r="W27" s="124"/>
      <c r="X27" s="124"/>
      <c r="Y27" s="124"/>
      <c r="Z27" s="124"/>
      <c r="AA27" s="124"/>
      <c r="AB27" s="124"/>
      <c r="AC27" s="124"/>
      <c r="AD27" s="124"/>
      <c r="AE27" s="124"/>
      <c r="AF27" s="124"/>
      <c r="AG27" s="124"/>
      <c r="AH27" s="124"/>
      <c r="AI27" s="124"/>
      <c r="AJ27" s="124"/>
      <c r="AK27" s="123"/>
      <c r="AL27" s="124"/>
      <c r="AM27" s="124"/>
      <c r="AN27" s="124"/>
      <c r="AO27" s="124"/>
      <c r="AP27" s="124"/>
      <c r="AQ27" s="124"/>
      <c r="AR27" s="124"/>
      <c r="AS27" s="124"/>
      <c r="AT27" s="124"/>
      <c r="AU27" s="124"/>
      <c r="AV27" s="124"/>
      <c r="AW27" s="124"/>
      <c r="AX27" s="124"/>
      <c r="AY27" s="124"/>
      <c r="AZ27" s="124"/>
      <c r="BA27" s="124"/>
      <c r="BB27" s="124"/>
      <c r="BC27" s="124"/>
      <c r="BD27" s="124"/>
      <c r="BE27" s="124"/>
      <c r="BF27" s="124"/>
      <c r="BG27" s="124"/>
      <c r="BH27" s="124"/>
      <c r="BI27" s="126"/>
    </row>
    <row r="28" spans="2:61" ht="20.100000000000001" customHeight="1" x14ac:dyDescent="0.45">
      <c r="B28" s="115"/>
      <c r="C28" s="31"/>
      <c r="D28" s="31"/>
      <c r="E28" s="31"/>
      <c r="F28" s="31"/>
      <c r="G28" s="116"/>
      <c r="H28" s="117" t="s">
        <v>110</v>
      </c>
      <c r="I28" s="31"/>
      <c r="J28" s="132" t="s">
        <v>111</v>
      </c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117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119"/>
    </row>
    <row r="29" spans="2:61" ht="20.100000000000001" customHeight="1" x14ac:dyDescent="0.45">
      <c r="B29" s="115"/>
      <c r="C29" s="31"/>
      <c r="D29" s="31"/>
      <c r="E29" s="31"/>
      <c r="F29" s="31"/>
      <c r="G29" s="116"/>
      <c r="H29" s="117"/>
      <c r="I29" s="31"/>
      <c r="J29" s="132" t="s">
        <v>112</v>
      </c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117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119"/>
    </row>
    <row r="30" spans="2:61" ht="20.100000000000001" customHeight="1" thickBot="1" x14ac:dyDescent="0.5">
      <c r="B30" s="135"/>
      <c r="C30" s="136"/>
      <c r="D30" s="136"/>
      <c r="E30" s="136"/>
      <c r="F30" s="136"/>
      <c r="G30" s="137"/>
      <c r="H30" s="138"/>
      <c r="I30" s="136"/>
      <c r="J30" s="138"/>
      <c r="K30" s="136"/>
      <c r="L30" s="136"/>
      <c r="M30" s="136"/>
      <c r="N30" s="136"/>
      <c r="O30" s="136"/>
      <c r="P30" s="136"/>
      <c r="Q30" s="136"/>
      <c r="R30" s="136"/>
      <c r="S30" s="136"/>
      <c r="T30" s="136"/>
      <c r="U30" s="136"/>
      <c r="V30" s="136"/>
      <c r="W30" s="136"/>
      <c r="X30" s="136"/>
      <c r="Y30" s="136"/>
      <c r="Z30" s="136"/>
      <c r="AA30" s="136"/>
      <c r="AB30" s="136"/>
      <c r="AC30" s="136"/>
      <c r="AD30" s="136"/>
      <c r="AE30" s="136"/>
      <c r="AF30" s="136"/>
      <c r="AG30" s="136"/>
      <c r="AH30" s="136"/>
      <c r="AI30" s="136"/>
      <c r="AJ30" s="136"/>
      <c r="AK30" s="138"/>
      <c r="AL30" s="136"/>
      <c r="AM30" s="136"/>
      <c r="AN30" s="136"/>
      <c r="AO30" s="136"/>
      <c r="AP30" s="136"/>
      <c r="AQ30" s="136"/>
      <c r="AR30" s="136"/>
      <c r="AS30" s="136"/>
      <c r="AT30" s="136"/>
      <c r="AU30" s="136"/>
      <c r="AV30" s="136"/>
      <c r="AW30" s="136"/>
      <c r="AX30" s="136"/>
      <c r="AY30" s="136"/>
      <c r="AZ30" s="136"/>
      <c r="BA30" s="136"/>
      <c r="BB30" s="136"/>
      <c r="BC30" s="136"/>
      <c r="BD30" s="136"/>
      <c r="BE30" s="136"/>
      <c r="BF30" s="136"/>
      <c r="BG30" s="136"/>
      <c r="BH30" s="136"/>
      <c r="BI30" s="139"/>
    </row>
    <row r="31" spans="2:61" ht="20.100000000000001" customHeight="1" x14ac:dyDescent="0.45"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</row>
    <row r="32" spans="2:61" ht="20.100000000000001" customHeight="1" x14ac:dyDescent="0.45">
      <c r="B32" s="29"/>
      <c r="C32" s="29"/>
      <c r="D32" s="29"/>
      <c r="E32" s="29"/>
      <c r="F32" s="29"/>
      <c r="G32" s="29"/>
      <c r="H32" s="140" t="s">
        <v>113</v>
      </c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</row>
  </sheetData>
  <mergeCells count="20"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  <mergeCell ref="AX3:BA4"/>
    <mergeCell ref="BB3:BE4"/>
    <mergeCell ref="BF3:BI4"/>
    <mergeCell ref="BJ3:BM4"/>
    <mergeCell ref="AX2:BA2"/>
    <mergeCell ref="BB2:BE2"/>
    <mergeCell ref="BF2:BI2"/>
    <mergeCell ref="BJ2:BM2"/>
  </mergeCells>
  <phoneticPr fontId="2"/>
  <pageMargins left="0.70866141732283472" right="0.70866141732283472" top="0.74803149606299213" bottom="0.74803149606299213" header="0.31496062992125984" footer="0.31496062992125984"/>
  <pageSetup paperSize="8" scale="72" fitToHeight="10" orientation="landscape" r:id="rId1"/>
  <headerFooter>
    <oddFooter>&amp;R©2024 SMS DataTech Corporation. All rights reserved.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2:F55"/>
  <sheetViews>
    <sheetView workbookViewId="0"/>
  </sheetViews>
  <sheetFormatPr defaultRowHeight="18" x14ac:dyDescent="0.45"/>
  <cols>
    <col min="1" max="2" width="8.796875" style="29"/>
    <col min="3" max="3" width="26.59765625" style="29" customWidth="1"/>
    <col min="4" max="4" width="35.09765625" style="29" customWidth="1"/>
    <col min="5" max="5" width="106.8984375" style="29" customWidth="1"/>
    <col min="6" max="16384" width="8.796875" style="29"/>
  </cols>
  <sheetData>
    <row r="2" spans="2:6" ht="19.2" thickBot="1" x14ac:dyDescent="0.5">
      <c r="B2" s="87" t="s">
        <v>48</v>
      </c>
    </row>
    <row r="3" spans="2:6" ht="18.600000000000001" thickTop="1" x14ac:dyDescent="0.45">
      <c r="B3" s="38" t="s">
        <v>19</v>
      </c>
      <c r="C3" s="77" t="s">
        <v>49</v>
      </c>
      <c r="D3" s="77" t="s">
        <v>50</v>
      </c>
      <c r="E3" s="74" t="s">
        <v>21</v>
      </c>
      <c r="F3" s="78" t="s">
        <v>51</v>
      </c>
    </row>
    <row r="4" spans="2:6" x14ac:dyDescent="0.45">
      <c r="B4" s="37">
        <v>1</v>
      </c>
      <c r="C4" s="79"/>
      <c r="D4" s="79"/>
      <c r="E4" s="80"/>
      <c r="F4" s="81"/>
    </row>
    <row r="5" spans="2:6" x14ac:dyDescent="0.45">
      <c r="B5" s="37">
        <v>2</v>
      </c>
      <c r="C5" s="79"/>
      <c r="D5" s="79"/>
      <c r="E5" s="82"/>
      <c r="F5" s="81"/>
    </row>
    <row r="6" spans="2:6" x14ac:dyDescent="0.45">
      <c r="B6" s="37">
        <v>3</v>
      </c>
      <c r="C6" s="79"/>
      <c r="D6" s="79"/>
      <c r="E6" s="82"/>
      <c r="F6" s="81"/>
    </row>
    <row r="7" spans="2:6" x14ac:dyDescent="0.45">
      <c r="B7" s="37">
        <v>4</v>
      </c>
      <c r="C7" s="79"/>
      <c r="D7" s="79"/>
      <c r="E7" s="82"/>
      <c r="F7" s="81"/>
    </row>
    <row r="8" spans="2:6" x14ac:dyDescent="0.45">
      <c r="B8" s="37">
        <v>5</v>
      </c>
      <c r="C8" s="79"/>
      <c r="D8" s="79"/>
      <c r="E8" s="82"/>
      <c r="F8" s="81"/>
    </row>
    <row r="9" spans="2:6" x14ac:dyDescent="0.45">
      <c r="B9" s="37">
        <v>6</v>
      </c>
      <c r="C9" s="79"/>
      <c r="D9" s="79"/>
      <c r="E9" s="82"/>
      <c r="F9" s="81"/>
    </row>
    <row r="10" spans="2:6" x14ac:dyDescent="0.45">
      <c r="B10" s="37">
        <v>7</v>
      </c>
      <c r="C10" s="79"/>
      <c r="D10" s="79"/>
      <c r="E10" s="82"/>
      <c r="F10" s="81"/>
    </row>
    <row r="11" spans="2:6" x14ac:dyDescent="0.45">
      <c r="B11" s="37">
        <v>8</v>
      </c>
      <c r="C11" s="79"/>
      <c r="D11" s="79"/>
      <c r="E11" s="82"/>
      <c r="F11" s="81"/>
    </row>
    <row r="12" spans="2:6" x14ac:dyDescent="0.45">
      <c r="B12" s="37">
        <v>9</v>
      </c>
      <c r="C12" s="79"/>
      <c r="D12" s="79"/>
      <c r="E12" s="82"/>
      <c r="F12" s="81"/>
    </row>
    <row r="13" spans="2:6" x14ac:dyDescent="0.45">
      <c r="B13" s="37">
        <v>10</v>
      </c>
      <c r="C13" s="79"/>
      <c r="D13" s="79"/>
      <c r="E13" s="82"/>
      <c r="F13" s="81"/>
    </row>
    <row r="14" spans="2:6" x14ac:dyDescent="0.45">
      <c r="B14" s="37">
        <v>11</v>
      </c>
      <c r="C14" s="79"/>
      <c r="D14" s="79"/>
      <c r="E14" s="82"/>
      <c r="F14" s="81"/>
    </row>
    <row r="15" spans="2:6" x14ac:dyDescent="0.45">
      <c r="B15" s="37">
        <v>12</v>
      </c>
      <c r="C15" s="79"/>
      <c r="D15" s="79"/>
      <c r="E15" s="82"/>
      <c r="F15" s="81"/>
    </row>
    <row r="16" spans="2:6" x14ac:dyDescent="0.45">
      <c r="B16" s="37">
        <v>13</v>
      </c>
      <c r="C16" s="79"/>
      <c r="D16" s="79"/>
      <c r="E16" s="82"/>
      <c r="F16" s="81"/>
    </row>
    <row r="17" spans="2:6" x14ac:dyDescent="0.45">
      <c r="B17" s="37">
        <v>14</v>
      </c>
      <c r="C17" s="79"/>
      <c r="D17" s="79"/>
      <c r="E17" s="82"/>
      <c r="F17" s="81"/>
    </row>
    <row r="18" spans="2:6" x14ac:dyDescent="0.45">
      <c r="B18" s="37">
        <v>15</v>
      </c>
      <c r="C18" s="79"/>
      <c r="D18" s="79"/>
      <c r="E18" s="82"/>
      <c r="F18" s="81"/>
    </row>
    <row r="19" spans="2:6" x14ac:dyDescent="0.45">
      <c r="B19" s="37">
        <v>16</v>
      </c>
      <c r="C19" s="79"/>
      <c r="D19" s="79"/>
      <c r="E19" s="82"/>
      <c r="F19" s="81"/>
    </row>
    <row r="20" spans="2:6" x14ac:dyDescent="0.45">
      <c r="B20" s="37">
        <v>17</v>
      </c>
      <c r="C20" s="79"/>
      <c r="D20" s="79"/>
      <c r="E20" s="82"/>
      <c r="F20" s="81"/>
    </row>
    <row r="21" spans="2:6" x14ac:dyDescent="0.45">
      <c r="B21" s="37">
        <v>18</v>
      </c>
      <c r="C21" s="79"/>
      <c r="D21" s="79"/>
      <c r="E21" s="82"/>
      <c r="F21" s="81"/>
    </row>
    <row r="22" spans="2:6" x14ac:dyDescent="0.45">
      <c r="B22" s="37">
        <v>19</v>
      </c>
      <c r="C22" s="79"/>
      <c r="D22" s="79"/>
      <c r="E22" s="82"/>
      <c r="F22" s="81"/>
    </row>
    <row r="23" spans="2:6" x14ac:dyDescent="0.45">
      <c r="B23" s="37">
        <v>20</v>
      </c>
      <c r="C23" s="79"/>
      <c r="D23" s="79"/>
      <c r="E23" s="82"/>
      <c r="F23" s="81"/>
    </row>
    <row r="24" spans="2:6" x14ac:dyDescent="0.45">
      <c r="B24" s="37">
        <v>21</v>
      </c>
      <c r="C24" s="79"/>
      <c r="D24" s="79"/>
      <c r="E24" s="82"/>
      <c r="F24" s="81"/>
    </row>
    <row r="25" spans="2:6" x14ac:dyDescent="0.45">
      <c r="B25" s="37">
        <v>22</v>
      </c>
      <c r="C25" s="79"/>
      <c r="D25" s="79"/>
      <c r="E25" s="82"/>
      <c r="F25" s="81"/>
    </row>
    <row r="26" spans="2:6" x14ac:dyDescent="0.45">
      <c r="B26" s="37">
        <v>23</v>
      </c>
      <c r="C26" s="79"/>
      <c r="D26" s="79"/>
      <c r="E26" s="82"/>
      <c r="F26" s="81"/>
    </row>
    <row r="27" spans="2:6" x14ac:dyDescent="0.45">
      <c r="B27" s="37">
        <v>24</v>
      </c>
      <c r="C27" s="79"/>
      <c r="D27" s="79"/>
      <c r="E27" s="82"/>
      <c r="F27" s="81"/>
    </row>
    <row r="28" spans="2:6" x14ac:dyDescent="0.45">
      <c r="B28" s="37">
        <v>25</v>
      </c>
      <c r="C28" s="79"/>
      <c r="D28" s="79"/>
      <c r="E28" s="82"/>
      <c r="F28" s="81"/>
    </row>
    <row r="29" spans="2:6" x14ac:dyDescent="0.45">
      <c r="B29" s="37">
        <v>26</v>
      </c>
      <c r="C29" s="79"/>
      <c r="D29" s="79"/>
      <c r="E29" s="82"/>
      <c r="F29" s="81"/>
    </row>
    <row r="30" spans="2:6" x14ac:dyDescent="0.45">
      <c r="B30" s="37">
        <v>27</v>
      </c>
      <c r="C30" s="79"/>
      <c r="D30" s="79"/>
      <c r="E30" s="82"/>
      <c r="F30" s="81"/>
    </row>
    <row r="31" spans="2:6" x14ac:dyDescent="0.45">
      <c r="B31" s="37">
        <v>28</v>
      </c>
      <c r="C31" s="79"/>
      <c r="D31" s="79"/>
      <c r="E31" s="82"/>
      <c r="F31" s="81"/>
    </row>
    <row r="32" spans="2:6" x14ac:dyDescent="0.45">
      <c r="B32" s="37">
        <v>29</v>
      </c>
      <c r="C32" s="79"/>
      <c r="D32" s="79"/>
      <c r="E32" s="82"/>
      <c r="F32" s="81"/>
    </row>
    <row r="33" spans="2:6" x14ac:dyDescent="0.45">
      <c r="B33" s="37">
        <v>30</v>
      </c>
      <c r="C33" s="79"/>
      <c r="D33" s="79"/>
      <c r="E33" s="82"/>
      <c r="F33" s="81"/>
    </row>
    <row r="34" spans="2:6" x14ac:dyDescent="0.45">
      <c r="B34" s="37">
        <v>31</v>
      </c>
      <c r="C34" s="79"/>
      <c r="D34" s="79"/>
      <c r="E34" s="82"/>
      <c r="F34" s="81"/>
    </row>
    <row r="35" spans="2:6" x14ac:dyDescent="0.45">
      <c r="B35" s="37">
        <v>32</v>
      </c>
      <c r="C35" s="79"/>
      <c r="D35" s="79"/>
      <c r="E35" s="82"/>
      <c r="F35" s="81"/>
    </row>
    <row r="36" spans="2:6" x14ac:dyDescent="0.45">
      <c r="B36" s="37">
        <v>33</v>
      </c>
      <c r="C36" s="79"/>
      <c r="D36" s="79"/>
      <c r="E36" s="82"/>
      <c r="F36" s="81"/>
    </row>
    <row r="37" spans="2:6" x14ac:dyDescent="0.45">
      <c r="B37" s="37">
        <v>34</v>
      </c>
      <c r="C37" s="79"/>
      <c r="D37" s="79"/>
      <c r="E37" s="82"/>
      <c r="F37" s="81"/>
    </row>
    <row r="38" spans="2:6" x14ac:dyDescent="0.45">
      <c r="B38" s="37">
        <v>35</v>
      </c>
      <c r="C38" s="79"/>
      <c r="D38" s="79"/>
      <c r="E38" s="82"/>
      <c r="F38" s="81"/>
    </row>
    <row r="39" spans="2:6" x14ac:dyDescent="0.45">
      <c r="B39" s="37">
        <v>36</v>
      </c>
      <c r="C39" s="79"/>
      <c r="D39" s="79"/>
      <c r="E39" s="82"/>
      <c r="F39" s="81"/>
    </row>
    <row r="40" spans="2:6" x14ac:dyDescent="0.45">
      <c r="B40" s="37">
        <v>37</v>
      </c>
      <c r="C40" s="79"/>
      <c r="D40" s="79"/>
      <c r="E40" s="82"/>
      <c r="F40" s="81"/>
    </row>
    <row r="41" spans="2:6" x14ac:dyDescent="0.45">
      <c r="B41" s="37">
        <v>38</v>
      </c>
      <c r="C41" s="79"/>
      <c r="D41" s="79"/>
      <c r="E41" s="82"/>
      <c r="F41" s="81"/>
    </row>
    <row r="42" spans="2:6" x14ac:dyDescent="0.45">
      <c r="B42" s="37">
        <v>39</v>
      </c>
      <c r="C42" s="79"/>
      <c r="D42" s="79"/>
      <c r="E42" s="82"/>
      <c r="F42" s="81"/>
    </row>
    <row r="43" spans="2:6" x14ac:dyDescent="0.45">
      <c r="B43" s="37">
        <v>40</v>
      </c>
      <c r="C43" s="79"/>
      <c r="D43" s="79"/>
      <c r="E43" s="82"/>
      <c r="F43" s="81"/>
    </row>
    <row r="44" spans="2:6" x14ac:dyDescent="0.45">
      <c r="B44" s="37">
        <v>41</v>
      </c>
      <c r="C44" s="79"/>
      <c r="D44" s="79"/>
      <c r="E44" s="82"/>
      <c r="F44" s="81"/>
    </row>
    <row r="45" spans="2:6" x14ac:dyDescent="0.45">
      <c r="B45" s="37">
        <v>42</v>
      </c>
      <c r="C45" s="79"/>
      <c r="D45" s="79"/>
      <c r="E45" s="82"/>
      <c r="F45" s="81"/>
    </row>
    <row r="46" spans="2:6" x14ac:dyDescent="0.45">
      <c r="B46" s="37">
        <v>43</v>
      </c>
      <c r="C46" s="79"/>
      <c r="D46" s="79"/>
      <c r="E46" s="82"/>
      <c r="F46" s="81"/>
    </row>
    <row r="47" spans="2:6" x14ac:dyDescent="0.45">
      <c r="B47" s="37">
        <v>44</v>
      </c>
      <c r="C47" s="79"/>
      <c r="D47" s="79"/>
      <c r="E47" s="82"/>
      <c r="F47" s="81"/>
    </row>
    <row r="48" spans="2:6" x14ac:dyDescent="0.45">
      <c r="B48" s="37">
        <v>45</v>
      </c>
      <c r="C48" s="79"/>
      <c r="D48" s="79"/>
      <c r="E48" s="82"/>
      <c r="F48" s="81"/>
    </row>
    <row r="49" spans="2:6" x14ac:dyDescent="0.45">
      <c r="B49" s="37">
        <v>46</v>
      </c>
      <c r="C49" s="79"/>
      <c r="D49" s="79"/>
      <c r="E49" s="82"/>
      <c r="F49" s="81"/>
    </row>
    <row r="50" spans="2:6" x14ac:dyDescent="0.45">
      <c r="B50" s="37">
        <v>47</v>
      </c>
      <c r="C50" s="79"/>
      <c r="D50" s="79"/>
      <c r="E50" s="82"/>
      <c r="F50" s="81"/>
    </row>
    <row r="51" spans="2:6" x14ac:dyDescent="0.45">
      <c r="B51" s="37">
        <v>48</v>
      </c>
      <c r="C51" s="79"/>
      <c r="D51" s="79"/>
      <c r="E51" s="82"/>
      <c r="F51" s="81"/>
    </row>
    <row r="52" spans="2:6" x14ac:dyDescent="0.45">
      <c r="B52" s="37">
        <v>49</v>
      </c>
      <c r="C52" s="79"/>
      <c r="D52" s="79"/>
      <c r="E52" s="82"/>
      <c r="F52" s="81"/>
    </row>
    <row r="53" spans="2:6" x14ac:dyDescent="0.45">
      <c r="B53" s="37">
        <v>50</v>
      </c>
      <c r="C53" s="79"/>
      <c r="D53" s="79"/>
      <c r="E53" s="82"/>
      <c r="F53" s="81"/>
    </row>
    <row r="54" spans="2:6" ht="18.600000000000001" thickBot="1" x14ac:dyDescent="0.5">
      <c r="B54" s="83">
        <v>51</v>
      </c>
      <c r="C54" s="84"/>
      <c r="D54" s="84"/>
      <c r="E54" s="85"/>
      <c r="F54" s="86"/>
    </row>
    <row r="55" spans="2:6" ht="18.600000000000001" thickTop="1" x14ac:dyDescent="0.45"/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G5"/>
  <sheetViews>
    <sheetView zoomScaleNormal="75" workbookViewId="0"/>
  </sheetViews>
  <sheetFormatPr defaultRowHeight="13.2" x14ac:dyDescent="0.45"/>
  <cols>
    <col min="1" max="1" width="4.69921875" style="107" customWidth="1"/>
    <col min="2" max="2" width="20.19921875" style="108" customWidth="1"/>
    <col min="3" max="3" width="12.59765625" style="108" customWidth="1"/>
    <col min="4" max="6" width="11.796875" style="94" customWidth="1"/>
    <col min="7" max="7" width="14.09765625" style="94" customWidth="1"/>
    <col min="8" max="8" width="3" style="94" customWidth="1"/>
    <col min="9" max="256" width="8.796875" style="94"/>
    <col min="257" max="257" width="4.69921875" style="94" customWidth="1"/>
    <col min="258" max="258" width="20.19921875" style="94" customWidth="1"/>
    <col min="259" max="259" width="12.59765625" style="94" customWidth="1"/>
    <col min="260" max="262" width="11.796875" style="94" customWidth="1"/>
    <col min="263" max="263" width="14.09765625" style="94" customWidth="1"/>
    <col min="264" max="264" width="3" style="94" customWidth="1"/>
    <col min="265" max="512" width="8.796875" style="94"/>
    <col min="513" max="513" width="4.69921875" style="94" customWidth="1"/>
    <col min="514" max="514" width="20.19921875" style="94" customWidth="1"/>
    <col min="515" max="515" width="12.59765625" style="94" customWidth="1"/>
    <col min="516" max="518" width="11.796875" style="94" customWidth="1"/>
    <col min="519" max="519" width="14.09765625" style="94" customWidth="1"/>
    <col min="520" max="520" width="3" style="94" customWidth="1"/>
    <col min="521" max="768" width="8.796875" style="94"/>
    <col min="769" max="769" width="4.69921875" style="94" customWidth="1"/>
    <col min="770" max="770" width="20.19921875" style="94" customWidth="1"/>
    <col min="771" max="771" width="12.59765625" style="94" customWidth="1"/>
    <col min="772" max="774" width="11.796875" style="94" customWidth="1"/>
    <col min="775" max="775" width="14.09765625" style="94" customWidth="1"/>
    <col min="776" max="776" width="3" style="94" customWidth="1"/>
    <col min="777" max="1024" width="8.796875" style="94"/>
    <col min="1025" max="1025" width="4.69921875" style="94" customWidth="1"/>
    <col min="1026" max="1026" width="20.19921875" style="94" customWidth="1"/>
    <col min="1027" max="1027" width="12.59765625" style="94" customWidth="1"/>
    <col min="1028" max="1030" width="11.796875" style="94" customWidth="1"/>
    <col min="1031" max="1031" width="14.09765625" style="94" customWidth="1"/>
    <col min="1032" max="1032" width="3" style="94" customWidth="1"/>
    <col min="1033" max="1280" width="8.796875" style="94"/>
    <col min="1281" max="1281" width="4.69921875" style="94" customWidth="1"/>
    <col min="1282" max="1282" width="20.19921875" style="94" customWidth="1"/>
    <col min="1283" max="1283" width="12.59765625" style="94" customWidth="1"/>
    <col min="1284" max="1286" width="11.796875" style="94" customWidth="1"/>
    <col min="1287" max="1287" width="14.09765625" style="94" customWidth="1"/>
    <col min="1288" max="1288" width="3" style="94" customWidth="1"/>
    <col min="1289" max="1536" width="8.796875" style="94"/>
    <col min="1537" max="1537" width="4.69921875" style="94" customWidth="1"/>
    <col min="1538" max="1538" width="20.19921875" style="94" customWidth="1"/>
    <col min="1539" max="1539" width="12.59765625" style="94" customWidth="1"/>
    <col min="1540" max="1542" width="11.796875" style="94" customWidth="1"/>
    <col min="1543" max="1543" width="14.09765625" style="94" customWidth="1"/>
    <col min="1544" max="1544" width="3" style="94" customWidth="1"/>
    <col min="1545" max="1792" width="8.796875" style="94"/>
    <col min="1793" max="1793" width="4.69921875" style="94" customWidth="1"/>
    <col min="1794" max="1794" width="20.19921875" style="94" customWidth="1"/>
    <col min="1795" max="1795" width="12.59765625" style="94" customWidth="1"/>
    <col min="1796" max="1798" width="11.796875" style="94" customWidth="1"/>
    <col min="1799" max="1799" width="14.09765625" style="94" customWidth="1"/>
    <col min="1800" max="1800" width="3" style="94" customWidth="1"/>
    <col min="1801" max="2048" width="8.796875" style="94"/>
    <col min="2049" max="2049" width="4.69921875" style="94" customWidth="1"/>
    <col min="2050" max="2050" width="20.19921875" style="94" customWidth="1"/>
    <col min="2051" max="2051" width="12.59765625" style="94" customWidth="1"/>
    <col min="2052" max="2054" width="11.796875" style="94" customWidth="1"/>
    <col min="2055" max="2055" width="14.09765625" style="94" customWidth="1"/>
    <col min="2056" max="2056" width="3" style="94" customWidth="1"/>
    <col min="2057" max="2304" width="8.796875" style="94"/>
    <col min="2305" max="2305" width="4.69921875" style="94" customWidth="1"/>
    <col min="2306" max="2306" width="20.19921875" style="94" customWidth="1"/>
    <col min="2307" max="2307" width="12.59765625" style="94" customWidth="1"/>
    <col min="2308" max="2310" width="11.796875" style="94" customWidth="1"/>
    <col min="2311" max="2311" width="14.09765625" style="94" customWidth="1"/>
    <col min="2312" max="2312" width="3" style="94" customWidth="1"/>
    <col min="2313" max="2560" width="8.796875" style="94"/>
    <col min="2561" max="2561" width="4.69921875" style="94" customWidth="1"/>
    <col min="2562" max="2562" width="20.19921875" style="94" customWidth="1"/>
    <col min="2563" max="2563" width="12.59765625" style="94" customWidth="1"/>
    <col min="2564" max="2566" width="11.796875" style="94" customWidth="1"/>
    <col min="2567" max="2567" width="14.09765625" style="94" customWidth="1"/>
    <col min="2568" max="2568" width="3" style="94" customWidth="1"/>
    <col min="2569" max="2816" width="8.796875" style="94"/>
    <col min="2817" max="2817" width="4.69921875" style="94" customWidth="1"/>
    <col min="2818" max="2818" width="20.19921875" style="94" customWidth="1"/>
    <col min="2819" max="2819" width="12.59765625" style="94" customWidth="1"/>
    <col min="2820" max="2822" width="11.796875" style="94" customWidth="1"/>
    <col min="2823" max="2823" width="14.09765625" style="94" customWidth="1"/>
    <col min="2824" max="2824" width="3" style="94" customWidth="1"/>
    <col min="2825" max="3072" width="8.796875" style="94"/>
    <col min="3073" max="3073" width="4.69921875" style="94" customWidth="1"/>
    <col min="3074" max="3074" width="20.19921875" style="94" customWidth="1"/>
    <col min="3075" max="3075" width="12.59765625" style="94" customWidth="1"/>
    <col min="3076" max="3078" width="11.796875" style="94" customWidth="1"/>
    <col min="3079" max="3079" width="14.09765625" style="94" customWidth="1"/>
    <col min="3080" max="3080" width="3" style="94" customWidth="1"/>
    <col min="3081" max="3328" width="8.796875" style="94"/>
    <col min="3329" max="3329" width="4.69921875" style="94" customWidth="1"/>
    <col min="3330" max="3330" width="20.19921875" style="94" customWidth="1"/>
    <col min="3331" max="3331" width="12.59765625" style="94" customWidth="1"/>
    <col min="3332" max="3334" width="11.796875" style="94" customWidth="1"/>
    <col min="3335" max="3335" width="14.09765625" style="94" customWidth="1"/>
    <col min="3336" max="3336" width="3" style="94" customWidth="1"/>
    <col min="3337" max="3584" width="8.796875" style="94"/>
    <col min="3585" max="3585" width="4.69921875" style="94" customWidth="1"/>
    <col min="3586" max="3586" width="20.19921875" style="94" customWidth="1"/>
    <col min="3587" max="3587" width="12.59765625" style="94" customWidth="1"/>
    <col min="3588" max="3590" width="11.796875" style="94" customWidth="1"/>
    <col min="3591" max="3591" width="14.09765625" style="94" customWidth="1"/>
    <col min="3592" max="3592" width="3" style="94" customWidth="1"/>
    <col min="3593" max="3840" width="8.796875" style="94"/>
    <col min="3841" max="3841" width="4.69921875" style="94" customWidth="1"/>
    <col min="3842" max="3842" width="20.19921875" style="94" customWidth="1"/>
    <col min="3843" max="3843" width="12.59765625" style="94" customWidth="1"/>
    <col min="3844" max="3846" width="11.796875" style="94" customWidth="1"/>
    <col min="3847" max="3847" width="14.09765625" style="94" customWidth="1"/>
    <col min="3848" max="3848" width="3" style="94" customWidth="1"/>
    <col min="3849" max="4096" width="8.796875" style="94"/>
    <col min="4097" max="4097" width="4.69921875" style="94" customWidth="1"/>
    <col min="4098" max="4098" width="20.19921875" style="94" customWidth="1"/>
    <col min="4099" max="4099" width="12.59765625" style="94" customWidth="1"/>
    <col min="4100" max="4102" width="11.796875" style="94" customWidth="1"/>
    <col min="4103" max="4103" width="14.09765625" style="94" customWidth="1"/>
    <col min="4104" max="4104" width="3" style="94" customWidth="1"/>
    <col min="4105" max="4352" width="8.796875" style="94"/>
    <col min="4353" max="4353" width="4.69921875" style="94" customWidth="1"/>
    <col min="4354" max="4354" width="20.19921875" style="94" customWidth="1"/>
    <col min="4355" max="4355" width="12.59765625" style="94" customWidth="1"/>
    <col min="4356" max="4358" width="11.796875" style="94" customWidth="1"/>
    <col min="4359" max="4359" width="14.09765625" style="94" customWidth="1"/>
    <col min="4360" max="4360" width="3" style="94" customWidth="1"/>
    <col min="4361" max="4608" width="8.796875" style="94"/>
    <col min="4609" max="4609" width="4.69921875" style="94" customWidth="1"/>
    <col min="4610" max="4610" width="20.19921875" style="94" customWidth="1"/>
    <col min="4611" max="4611" width="12.59765625" style="94" customWidth="1"/>
    <col min="4612" max="4614" width="11.796875" style="94" customWidth="1"/>
    <col min="4615" max="4615" width="14.09765625" style="94" customWidth="1"/>
    <col min="4616" max="4616" width="3" style="94" customWidth="1"/>
    <col min="4617" max="4864" width="8.796875" style="94"/>
    <col min="4865" max="4865" width="4.69921875" style="94" customWidth="1"/>
    <col min="4866" max="4866" width="20.19921875" style="94" customWidth="1"/>
    <col min="4867" max="4867" width="12.59765625" style="94" customWidth="1"/>
    <col min="4868" max="4870" width="11.796875" style="94" customWidth="1"/>
    <col min="4871" max="4871" width="14.09765625" style="94" customWidth="1"/>
    <col min="4872" max="4872" width="3" style="94" customWidth="1"/>
    <col min="4873" max="5120" width="8.796875" style="94"/>
    <col min="5121" max="5121" width="4.69921875" style="94" customWidth="1"/>
    <col min="5122" max="5122" width="20.19921875" style="94" customWidth="1"/>
    <col min="5123" max="5123" width="12.59765625" style="94" customWidth="1"/>
    <col min="5124" max="5126" width="11.796875" style="94" customWidth="1"/>
    <col min="5127" max="5127" width="14.09765625" style="94" customWidth="1"/>
    <col min="5128" max="5128" width="3" style="94" customWidth="1"/>
    <col min="5129" max="5376" width="8.796875" style="94"/>
    <col min="5377" max="5377" width="4.69921875" style="94" customWidth="1"/>
    <col min="5378" max="5378" width="20.19921875" style="94" customWidth="1"/>
    <col min="5379" max="5379" width="12.59765625" style="94" customWidth="1"/>
    <col min="5380" max="5382" width="11.796875" style="94" customWidth="1"/>
    <col min="5383" max="5383" width="14.09765625" style="94" customWidth="1"/>
    <col min="5384" max="5384" width="3" style="94" customWidth="1"/>
    <col min="5385" max="5632" width="8.796875" style="94"/>
    <col min="5633" max="5633" width="4.69921875" style="94" customWidth="1"/>
    <col min="5634" max="5634" width="20.19921875" style="94" customWidth="1"/>
    <col min="5635" max="5635" width="12.59765625" style="94" customWidth="1"/>
    <col min="5636" max="5638" width="11.796875" style="94" customWidth="1"/>
    <col min="5639" max="5639" width="14.09765625" style="94" customWidth="1"/>
    <col min="5640" max="5640" width="3" style="94" customWidth="1"/>
    <col min="5641" max="5888" width="8.796875" style="94"/>
    <col min="5889" max="5889" width="4.69921875" style="94" customWidth="1"/>
    <col min="5890" max="5890" width="20.19921875" style="94" customWidth="1"/>
    <col min="5891" max="5891" width="12.59765625" style="94" customWidth="1"/>
    <col min="5892" max="5894" width="11.796875" style="94" customWidth="1"/>
    <col min="5895" max="5895" width="14.09765625" style="94" customWidth="1"/>
    <col min="5896" max="5896" width="3" style="94" customWidth="1"/>
    <col min="5897" max="6144" width="8.796875" style="94"/>
    <col min="6145" max="6145" width="4.69921875" style="94" customWidth="1"/>
    <col min="6146" max="6146" width="20.19921875" style="94" customWidth="1"/>
    <col min="6147" max="6147" width="12.59765625" style="94" customWidth="1"/>
    <col min="6148" max="6150" width="11.796875" style="94" customWidth="1"/>
    <col min="6151" max="6151" width="14.09765625" style="94" customWidth="1"/>
    <col min="6152" max="6152" width="3" style="94" customWidth="1"/>
    <col min="6153" max="6400" width="8.796875" style="94"/>
    <col min="6401" max="6401" width="4.69921875" style="94" customWidth="1"/>
    <col min="6402" max="6402" width="20.19921875" style="94" customWidth="1"/>
    <col min="6403" max="6403" width="12.59765625" style="94" customWidth="1"/>
    <col min="6404" max="6406" width="11.796875" style="94" customWidth="1"/>
    <col min="6407" max="6407" width="14.09765625" style="94" customWidth="1"/>
    <col min="6408" max="6408" width="3" style="94" customWidth="1"/>
    <col min="6409" max="6656" width="8.796875" style="94"/>
    <col min="6657" max="6657" width="4.69921875" style="94" customWidth="1"/>
    <col min="6658" max="6658" width="20.19921875" style="94" customWidth="1"/>
    <col min="6659" max="6659" width="12.59765625" style="94" customWidth="1"/>
    <col min="6660" max="6662" width="11.796875" style="94" customWidth="1"/>
    <col min="6663" max="6663" width="14.09765625" style="94" customWidth="1"/>
    <col min="6664" max="6664" width="3" style="94" customWidth="1"/>
    <col min="6665" max="6912" width="8.796875" style="94"/>
    <col min="6913" max="6913" width="4.69921875" style="94" customWidth="1"/>
    <col min="6914" max="6914" width="20.19921875" style="94" customWidth="1"/>
    <col min="6915" max="6915" width="12.59765625" style="94" customWidth="1"/>
    <col min="6916" max="6918" width="11.796875" style="94" customWidth="1"/>
    <col min="6919" max="6919" width="14.09765625" style="94" customWidth="1"/>
    <col min="6920" max="6920" width="3" style="94" customWidth="1"/>
    <col min="6921" max="7168" width="8.796875" style="94"/>
    <col min="7169" max="7169" width="4.69921875" style="94" customWidth="1"/>
    <col min="7170" max="7170" width="20.19921875" style="94" customWidth="1"/>
    <col min="7171" max="7171" width="12.59765625" style="94" customWidth="1"/>
    <col min="7172" max="7174" width="11.796875" style="94" customWidth="1"/>
    <col min="7175" max="7175" width="14.09765625" style="94" customWidth="1"/>
    <col min="7176" max="7176" width="3" style="94" customWidth="1"/>
    <col min="7177" max="7424" width="8.796875" style="94"/>
    <col min="7425" max="7425" width="4.69921875" style="94" customWidth="1"/>
    <col min="7426" max="7426" width="20.19921875" style="94" customWidth="1"/>
    <col min="7427" max="7427" width="12.59765625" style="94" customWidth="1"/>
    <col min="7428" max="7430" width="11.796875" style="94" customWidth="1"/>
    <col min="7431" max="7431" width="14.09765625" style="94" customWidth="1"/>
    <col min="7432" max="7432" width="3" style="94" customWidth="1"/>
    <col min="7433" max="7680" width="8.796875" style="94"/>
    <col min="7681" max="7681" width="4.69921875" style="94" customWidth="1"/>
    <col min="7682" max="7682" width="20.19921875" style="94" customWidth="1"/>
    <col min="7683" max="7683" width="12.59765625" style="94" customWidth="1"/>
    <col min="7684" max="7686" width="11.796875" style="94" customWidth="1"/>
    <col min="7687" max="7687" width="14.09765625" style="94" customWidth="1"/>
    <col min="7688" max="7688" width="3" style="94" customWidth="1"/>
    <col min="7689" max="7936" width="8.796875" style="94"/>
    <col min="7937" max="7937" width="4.69921875" style="94" customWidth="1"/>
    <col min="7938" max="7938" width="20.19921875" style="94" customWidth="1"/>
    <col min="7939" max="7939" width="12.59765625" style="94" customWidth="1"/>
    <col min="7940" max="7942" width="11.796875" style="94" customWidth="1"/>
    <col min="7943" max="7943" width="14.09765625" style="94" customWidth="1"/>
    <col min="7944" max="7944" width="3" style="94" customWidth="1"/>
    <col min="7945" max="8192" width="8.796875" style="94"/>
    <col min="8193" max="8193" width="4.69921875" style="94" customWidth="1"/>
    <col min="8194" max="8194" width="20.19921875" style="94" customWidth="1"/>
    <col min="8195" max="8195" width="12.59765625" style="94" customWidth="1"/>
    <col min="8196" max="8198" width="11.796875" style="94" customWidth="1"/>
    <col min="8199" max="8199" width="14.09765625" style="94" customWidth="1"/>
    <col min="8200" max="8200" width="3" style="94" customWidth="1"/>
    <col min="8201" max="8448" width="8.796875" style="94"/>
    <col min="8449" max="8449" width="4.69921875" style="94" customWidth="1"/>
    <col min="8450" max="8450" width="20.19921875" style="94" customWidth="1"/>
    <col min="8451" max="8451" width="12.59765625" style="94" customWidth="1"/>
    <col min="8452" max="8454" width="11.796875" style="94" customWidth="1"/>
    <col min="8455" max="8455" width="14.09765625" style="94" customWidth="1"/>
    <col min="8456" max="8456" width="3" style="94" customWidth="1"/>
    <col min="8457" max="8704" width="8.796875" style="94"/>
    <col min="8705" max="8705" width="4.69921875" style="94" customWidth="1"/>
    <col min="8706" max="8706" width="20.19921875" style="94" customWidth="1"/>
    <col min="8707" max="8707" width="12.59765625" style="94" customWidth="1"/>
    <col min="8708" max="8710" width="11.796875" style="94" customWidth="1"/>
    <col min="8711" max="8711" width="14.09765625" style="94" customWidth="1"/>
    <col min="8712" max="8712" width="3" style="94" customWidth="1"/>
    <col min="8713" max="8960" width="8.796875" style="94"/>
    <col min="8961" max="8961" width="4.69921875" style="94" customWidth="1"/>
    <col min="8962" max="8962" width="20.19921875" style="94" customWidth="1"/>
    <col min="8963" max="8963" width="12.59765625" style="94" customWidth="1"/>
    <col min="8964" max="8966" width="11.796875" style="94" customWidth="1"/>
    <col min="8967" max="8967" width="14.09765625" style="94" customWidth="1"/>
    <col min="8968" max="8968" width="3" style="94" customWidth="1"/>
    <col min="8969" max="9216" width="8.796875" style="94"/>
    <col min="9217" max="9217" width="4.69921875" style="94" customWidth="1"/>
    <col min="9218" max="9218" width="20.19921875" style="94" customWidth="1"/>
    <col min="9219" max="9219" width="12.59765625" style="94" customWidth="1"/>
    <col min="9220" max="9222" width="11.796875" style="94" customWidth="1"/>
    <col min="9223" max="9223" width="14.09765625" style="94" customWidth="1"/>
    <col min="9224" max="9224" width="3" style="94" customWidth="1"/>
    <col min="9225" max="9472" width="8.796875" style="94"/>
    <col min="9473" max="9473" width="4.69921875" style="94" customWidth="1"/>
    <col min="9474" max="9474" width="20.19921875" style="94" customWidth="1"/>
    <col min="9475" max="9475" width="12.59765625" style="94" customWidth="1"/>
    <col min="9476" max="9478" width="11.796875" style="94" customWidth="1"/>
    <col min="9479" max="9479" width="14.09765625" style="94" customWidth="1"/>
    <col min="9480" max="9480" width="3" style="94" customWidth="1"/>
    <col min="9481" max="9728" width="8.796875" style="94"/>
    <col min="9729" max="9729" width="4.69921875" style="94" customWidth="1"/>
    <col min="9730" max="9730" width="20.19921875" style="94" customWidth="1"/>
    <col min="9731" max="9731" width="12.59765625" style="94" customWidth="1"/>
    <col min="9732" max="9734" width="11.796875" style="94" customWidth="1"/>
    <col min="9735" max="9735" width="14.09765625" style="94" customWidth="1"/>
    <col min="9736" max="9736" width="3" style="94" customWidth="1"/>
    <col min="9737" max="9984" width="8.796875" style="94"/>
    <col min="9985" max="9985" width="4.69921875" style="94" customWidth="1"/>
    <col min="9986" max="9986" width="20.19921875" style="94" customWidth="1"/>
    <col min="9987" max="9987" width="12.59765625" style="94" customWidth="1"/>
    <col min="9988" max="9990" width="11.796875" style="94" customWidth="1"/>
    <col min="9991" max="9991" width="14.09765625" style="94" customWidth="1"/>
    <col min="9992" max="9992" width="3" style="94" customWidth="1"/>
    <col min="9993" max="10240" width="8.796875" style="94"/>
    <col min="10241" max="10241" width="4.69921875" style="94" customWidth="1"/>
    <col min="10242" max="10242" width="20.19921875" style="94" customWidth="1"/>
    <col min="10243" max="10243" width="12.59765625" style="94" customWidth="1"/>
    <col min="10244" max="10246" width="11.796875" style="94" customWidth="1"/>
    <col min="10247" max="10247" width="14.09765625" style="94" customWidth="1"/>
    <col min="10248" max="10248" width="3" style="94" customWidth="1"/>
    <col min="10249" max="10496" width="8.796875" style="94"/>
    <col min="10497" max="10497" width="4.69921875" style="94" customWidth="1"/>
    <col min="10498" max="10498" width="20.19921875" style="94" customWidth="1"/>
    <col min="10499" max="10499" width="12.59765625" style="94" customWidth="1"/>
    <col min="10500" max="10502" width="11.796875" style="94" customWidth="1"/>
    <col min="10503" max="10503" width="14.09765625" style="94" customWidth="1"/>
    <col min="10504" max="10504" width="3" style="94" customWidth="1"/>
    <col min="10505" max="10752" width="8.796875" style="94"/>
    <col min="10753" max="10753" width="4.69921875" style="94" customWidth="1"/>
    <col min="10754" max="10754" width="20.19921875" style="94" customWidth="1"/>
    <col min="10755" max="10755" width="12.59765625" style="94" customWidth="1"/>
    <col min="10756" max="10758" width="11.796875" style="94" customWidth="1"/>
    <col min="10759" max="10759" width="14.09765625" style="94" customWidth="1"/>
    <col min="10760" max="10760" width="3" style="94" customWidth="1"/>
    <col min="10761" max="11008" width="8.796875" style="94"/>
    <col min="11009" max="11009" width="4.69921875" style="94" customWidth="1"/>
    <col min="11010" max="11010" width="20.19921875" style="94" customWidth="1"/>
    <col min="11011" max="11011" width="12.59765625" style="94" customWidth="1"/>
    <col min="11012" max="11014" width="11.796875" style="94" customWidth="1"/>
    <col min="11015" max="11015" width="14.09765625" style="94" customWidth="1"/>
    <col min="11016" max="11016" width="3" style="94" customWidth="1"/>
    <col min="11017" max="11264" width="8.796875" style="94"/>
    <col min="11265" max="11265" width="4.69921875" style="94" customWidth="1"/>
    <col min="11266" max="11266" width="20.19921875" style="94" customWidth="1"/>
    <col min="11267" max="11267" width="12.59765625" style="94" customWidth="1"/>
    <col min="11268" max="11270" width="11.796875" style="94" customWidth="1"/>
    <col min="11271" max="11271" width="14.09765625" style="94" customWidth="1"/>
    <col min="11272" max="11272" width="3" style="94" customWidth="1"/>
    <col min="11273" max="11520" width="8.796875" style="94"/>
    <col min="11521" max="11521" width="4.69921875" style="94" customWidth="1"/>
    <col min="11522" max="11522" width="20.19921875" style="94" customWidth="1"/>
    <col min="11523" max="11523" width="12.59765625" style="94" customWidth="1"/>
    <col min="11524" max="11526" width="11.796875" style="94" customWidth="1"/>
    <col min="11527" max="11527" width="14.09765625" style="94" customWidth="1"/>
    <col min="11528" max="11528" width="3" style="94" customWidth="1"/>
    <col min="11529" max="11776" width="8.796875" style="94"/>
    <col min="11777" max="11777" width="4.69921875" style="94" customWidth="1"/>
    <col min="11778" max="11778" width="20.19921875" style="94" customWidth="1"/>
    <col min="11779" max="11779" width="12.59765625" style="94" customWidth="1"/>
    <col min="11780" max="11782" width="11.796875" style="94" customWidth="1"/>
    <col min="11783" max="11783" width="14.09765625" style="94" customWidth="1"/>
    <col min="11784" max="11784" width="3" style="94" customWidth="1"/>
    <col min="11785" max="12032" width="8.796875" style="94"/>
    <col min="12033" max="12033" width="4.69921875" style="94" customWidth="1"/>
    <col min="12034" max="12034" width="20.19921875" style="94" customWidth="1"/>
    <col min="12035" max="12035" width="12.59765625" style="94" customWidth="1"/>
    <col min="12036" max="12038" width="11.796875" style="94" customWidth="1"/>
    <col min="12039" max="12039" width="14.09765625" style="94" customWidth="1"/>
    <col min="12040" max="12040" width="3" style="94" customWidth="1"/>
    <col min="12041" max="12288" width="8.796875" style="94"/>
    <col min="12289" max="12289" width="4.69921875" style="94" customWidth="1"/>
    <col min="12290" max="12290" width="20.19921875" style="94" customWidth="1"/>
    <col min="12291" max="12291" width="12.59765625" style="94" customWidth="1"/>
    <col min="12292" max="12294" width="11.796875" style="94" customWidth="1"/>
    <col min="12295" max="12295" width="14.09765625" style="94" customWidth="1"/>
    <col min="12296" max="12296" width="3" style="94" customWidth="1"/>
    <col min="12297" max="12544" width="8.796875" style="94"/>
    <col min="12545" max="12545" width="4.69921875" style="94" customWidth="1"/>
    <col min="12546" max="12546" width="20.19921875" style="94" customWidth="1"/>
    <col min="12547" max="12547" width="12.59765625" style="94" customWidth="1"/>
    <col min="12548" max="12550" width="11.796875" style="94" customWidth="1"/>
    <col min="12551" max="12551" width="14.09765625" style="94" customWidth="1"/>
    <col min="12552" max="12552" width="3" style="94" customWidth="1"/>
    <col min="12553" max="12800" width="8.796875" style="94"/>
    <col min="12801" max="12801" width="4.69921875" style="94" customWidth="1"/>
    <col min="12802" max="12802" width="20.19921875" style="94" customWidth="1"/>
    <col min="12803" max="12803" width="12.59765625" style="94" customWidth="1"/>
    <col min="12804" max="12806" width="11.796875" style="94" customWidth="1"/>
    <col min="12807" max="12807" width="14.09765625" style="94" customWidth="1"/>
    <col min="12808" max="12808" width="3" style="94" customWidth="1"/>
    <col min="12809" max="13056" width="8.796875" style="94"/>
    <col min="13057" max="13057" width="4.69921875" style="94" customWidth="1"/>
    <col min="13058" max="13058" width="20.19921875" style="94" customWidth="1"/>
    <col min="13059" max="13059" width="12.59765625" style="94" customWidth="1"/>
    <col min="13060" max="13062" width="11.796875" style="94" customWidth="1"/>
    <col min="13063" max="13063" width="14.09765625" style="94" customWidth="1"/>
    <col min="13064" max="13064" width="3" style="94" customWidth="1"/>
    <col min="13065" max="13312" width="8.796875" style="94"/>
    <col min="13313" max="13313" width="4.69921875" style="94" customWidth="1"/>
    <col min="13314" max="13314" width="20.19921875" style="94" customWidth="1"/>
    <col min="13315" max="13315" width="12.59765625" style="94" customWidth="1"/>
    <col min="13316" max="13318" width="11.796875" style="94" customWidth="1"/>
    <col min="13319" max="13319" width="14.09765625" style="94" customWidth="1"/>
    <col min="13320" max="13320" width="3" style="94" customWidth="1"/>
    <col min="13321" max="13568" width="8.796875" style="94"/>
    <col min="13569" max="13569" width="4.69921875" style="94" customWidth="1"/>
    <col min="13570" max="13570" width="20.19921875" style="94" customWidth="1"/>
    <col min="13571" max="13571" width="12.59765625" style="94" customWidth="1"/>
    <col min="13572" max="13574" width="11.796875" style="94" customWidth="1"/>
    <col min="13575" max="13575" width="14.09765625" style="94" customWidth="1"/>
    <col min="13576" max="13576" width="3" style="94" customWidth="1"/>
    <col min="13577" max="13824" width="8.796875" style="94"/>
    <col min="13825" max="13825" width="4.69921875" style="94" customWidth="1"/>
    <col min="13826" max="13826" width="20.19921875" style="94" customWidth="1"/>
    <col min="13827" max="13827" width="12.59765625" style="94" customWidth="1"/>
    <col min="13828" max="13830" width="11.796875" style="94" customWidth="1"/>
    <col min="13831" max="13831" width="14.09765625" style="94" customWidth="1"/>
    <col min="13832" max="13832" width="3" style="94" customWidth="1"/>
    <col min="13833" max="14080" width="8.796875" style="94"/>
    <col min="14081" max="14081" width="4.69921875" style="94" customWidth="1"/>
    <col min="14082" max="14082" width="20.19921875" style="94" customWidth="1"/>
    <col min="14083" max="14083" width="12.59765625" style="94" customWidth="1"/>
    <col min="14084" max="14086" width="11.796875" style="94" customWidth="1"/>
    <col min="14087" max="14087" width="14.09765625" style="94" customWidth="1"/>
    <col min="14088" max="14088" width="3" style="94" customWidth="1"/>
    <col min="14089" max="14336" width="8.796875" style="94"/>
    <col min="14337" max="14337" width="4.69921875" style="94" customWidth="1"/>
    <col min="14338" max="14338" width="20.19921875" style="94" customWidth="1"/>
    <col min="14339" max="14339" width="12.59765625" style="94" customWidth="1"/>
    <col min="14340" max="14342" width="11.796875" style="94" customWidth="1"/>
    <col min="14343" max="14343" width="14.09765625" style="94" customWidth="1"/>
    <col min="14344" max="14344" width="3" style="94" customWidth="1"/>
    <col min="14345" max="14592" width="8.796875" style="94"/>
    <col min="14593" max="14593" width="4.69921875" style="94" customWidth="1"/>
    <col min="14594" max="14594" width="20.19921875" style="94" customWidth="1"/>
    <col min="14595" max="14595" width="12.59765625" style="94" customWidth="1"/>
    <col min="14596" max="14598" width="11.796875" style="94" customWidth="1"/>
    <col min="14599" max="14599" width="14.09765625" style="94" customWidth="1"/>
    <col min="14600" max="14600" width="3" style="94" customWidth="1"/>
    <col min="14601" max="14848" width="8.796875" style="94"/>
    <col min="14849" max="14849" width="4.69921875" style="94" customWidth="1"/>
    <col min="14850" max="14850" width="20.19921875" style="94" customWidth="1"/>
    <col min="14851" max="14851" width="12.59765625" style="94" customWidth="1"/>
    <col min="14852" max="14854" width="11.796875" style="94" customWidth="1"/>
    <col min="14855" max="14855" width="14.09765625" style="94" customWidth="1"/>
    <col min="14856" max="14856" width="3" style="94" customWidth="1"/>
    <col min="14857" max="15104" width="8.796875" style="94"/>
    <col min="15105" max="15105" width="4.69921875" style="94" customWidth="1"/>
    <col min="15106" max="15106" width="20.19921875" style="94" customWidth="1"/>
    <col min="15107" max="15107" width="12.59765625" style="94" customWidth="1"/>
    <col min="15108" max="15110" width="11.796875" style="94" customWidth="1"/>
    <col min="15111" max="15111" width="14.09765625" style="94" customWidth="1"/>
    <col min="15112" max="15112" width="3" style="94" customWidth="1"/>
    <col min="15113" max="15360" width="8.796875" style="94"/>
    <col min="15361" max="15361" width="4.69921875" style="94" customWidth="1"/>
    <col min="15362" max="15362" width="20.19921875" style="94" customWidth="1"/>
    <col min="15363" max="15363" width="12.59765625" style="94" customWidth="1"/>
    <col min="15364" max="15366" width="11.796875" style="94" customWidth="1"/>
    <col min="15367" max="15367" width="14.09765625" style="94" customWidth="1"/>
    <col min="15368" max="15368" width="3" style="94" customWidth="1"/>
    <col min="15369" max="15616" width="8.796875" style="94"/>
    <col min="15617" max="15617" width="4.69921875" style="94" customWidth="1"/>
    <col min="15618" max="15618" width="20.19921875" style="94" customWidth="1"/>
    <col min="15619" max="15619" width="12.59765625" style="94" customWidth="1"/>
    <col min="15620" max="15622" width="11.796875" style="94" customWidth="1"/>
    <col min="15623" max="15623" width="14.09765625" style="94" customWidth="1"/>
    <col min="15624" max="15624" width="3" style="94" customWidth="1"/>
    <col min="15625" max="15872" width="8.796875" style="94"/>
    <col min="15873" max="15873" width="4.69921875" style="94" customWidth="1"/>
    <col min="15874" max="15874" width="20.19921875" style="94" customWidth="1"/>
    <col min="15875" max="15875" width="12.59765625" style="94" customWidth="1"/>
    <col min="15876" max="15878" width="11.796875" style="94" customWidth="1"/>
    <col min="15879" max="15879" width="14.09765625" style="94" customWidth="1"/>
    <col min="15880" max="15880" width="3" style="94" customWidth="1"/>
    <col min="15881" max="16128" width="8.796875" style="94"/>
    <col min="16129" max="16129" width="4.69921875" style="94" customWidth="1"/>
    <col min="16130" max="16130" width="20.19921875" style="94" customWidth="1"/>
    <col min="16131" max="16131" width="12.59765625" style="94" customWidth="1"/>
    <col min="16132" max="16134" width="11.796875" style="94" customWidth="1"/>
    <col min="16135" max="16135" width="14.09765625" style="94" customWidth="1"/>
    <col min="16136" max="16136" width="3" style="94" customWidth="1"/>
    <col min="16137" max="16384" width="8.796875" style="94"/>
  </cols>
  <sheetData>
    <row r="1" spans="1:7" ht="24" customHeight="1" x14ac:dyDescent="0.45">
      <c r="A1" s="92" t="s">
        <v>72</v>
      </c>
      <c r="B1" s="93"/>
      <c r="C1" s="93"/>
      <c r="D1" s="93"/>
      <c r="E1" s="93"/>
      <c r="F1" s="93"/>
      <c r="G1" s="93"/>
    </row>
    <row r="2" spans="1:7" ht="24" customHeight="1" x14ac:dyDescent="0.45">
      <c r="A2" s="95" t="s">
        <v>73</v>
      </c>
      <c r="B2" s="95"/>
      <c r="C2" s="95"/>
      <c r="D2" s="95"/>
      <c r="E2" s="95"/>
      <c r="F2" s="95"/>
      <c r="G2" s="96">
        <v>41192</v>
      </c>
    </row>
    <row r="3" spans="1:7" ht="24" customHeight="1" x14ac:dyDescent="0.45">
      <c r="A3" s="97" t="s">
        <v>74</v>
      </c>
      <c r="B3" s="226" t="s">
        <v>75</v>
      </c>
      <c r="C3" s="227"/>
      <c r="D3" s="97" t="s">
        <v>76</v>
      </c>
      <c r="E3" s="97" t="s">
        <v>77</v>
      </c>
      <c r="F3" s="98" t="s">
        <v>78</v>
      </c>
      <c r="G3" s="97" t="s">
        <v>79</v>
      </c>
    </row>
    <row r="4" spans="1:7" ht="24" customHeight="1" x14ac:dyDescent="0.45">
      <c r="A4" s="99"/>
      <c r="B4" s="100"/>
      <c r="C4" s="101"/>
      <c r="D4" s="102"/>
      <c r="E4" s="103"/>
      <c r="F4" s="104"/>
      <c r="G4" s="105"/>
    </row>
    <row r="5" spans="1:7" ht="24" customHeight="1" x14ac:dyDescent="0.45">
      <c r="A5" s="99"/>
      <c r="B5" s="100"/>
      <c r="C5" s="101"/>
      <c r="D5" s="102"/>
      <c r="E5" s="103"/>
      <c r="F5" s="106"/>
      <c r="G5" s="105"/>
    </row>
  </sheetData>
  <mergeCells count="1">
    <mergeCell ref="B3:C3"/>
  </mergeCells>
  <phoneticPr fontId="2"/>
  <pageMargins left="0.5" right="0.25" top="0.25" bottom="0.5" header="0.25" footer="0.25"/>
  <pageSetup paperSize="9" orientation="portrait" r:id="rId1"/>
  <headerFooter alignWithMargins="0">
    <oddFooter>&amp;R©2024 SMS DataTech Corporation. All rights reserved.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85" zoomScaleNormal="85" workbookViewId="0"/>
  </sheetViews>
  <sheetFormatPr defaultRowHeight="18" x14ac:dyDescent="0.45"/>
  <sheetData/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6"/>
  <sheetViews>
    <sheetView workbookViewId="0">
      <selection activeCell="A2" sqref="A2:XFD2"/>
    </sheetView>
  </sheetViews>
  <sheetFormatPr defaultRowHeight="18" x14ac:dyDescent="0.45"/>
  <sheetData>
    <row r="1" spans="1:1" x14ac:dyDescent="0.45">
      <c r="A1" s="70" t="s">
        <v>47</v>
      </c>
    </row>
    <row r="2" spans="1:1" x14ac:dyDescent="0.45">
      <c r="A2" s="71" t="s">
        <v>37</v>
      </c>
    </row>
    <row r="3" spans="1:1" x14ac:dyDescent="0.45">
      <c r="A3" s="70" t="s">
        <v>38</v>
      </c>
    </row>
    <row r="4" spans="1:1" x14ac:dyDescent="0.45">
      <c r="A4" s="70" t="s">
        <v>41</v>
      </c>
    </row>
    <row r="5" spans="1:1" x14ac:dyDescent="0.45">
      <c r="A5" s="70" t="s">
        <v>39</v>
      </c>
    </row>
    <row r="6" spans="1:1" x14ac:dyDescent="0.45">
      <c r="A6" s="70" t="s">
        <v>40</v>
      </c>
    </row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16</vt:i4>
      </vt:variant>
    </vt:vector>
  </HeadingPairs>
  <TitlesOfParts>
    <vt:vector size="26" baseType="lpstr">
      <vt:lpstr>変更履歴</vt:lpstr>
      <vt:lpstr>概要</vt:lpstr>
      <vt:lpstr>帳票レイアウト</vt:lpstr>
      <vt:lpstr>項目一覧</vt:lpstr>
      <vt:lpstr>処理詳細</vt:lpstr>
      <vt:lpstr>処理詳細_書き方</vt:lpstr>
      <vt:lpstr>確認事項</vt:lpstr>
      <vt:lpstr>別紙_テンプレート</vt:lpstr>
      <vt:lpstr>別紙_印刷レイアウト</vt:lpstr>
      <vt:lpstr>参照</vt:lpstr>
      <vt:lpstr>CoreCells</vt:lpstr>
      <vt:lpstr>概要!Print_Area</vt:lpstr>
      <vt:lpstr>項目一覧!Print_Area</vt:lpstr>
      <vt:lpstr>処理詳細!Print_Area</vt:lpstr>
      <vt:lpstr>処理詳細_書き方!Print_Area</vt:lpstr>
      <vt:lpstr>帳票レイアウト!Print_Area</vt:lpstr>
      <vt:lpstr>変更履歴!Print_Area</vt:lpstr>
      <vt:lpstr>概要!Print_Titles</vt:lpstr>
      <vt:lpstr>項目一覧!Print_Titles</vt:lpstr>
      <vt:lpstr>処理詳細!Print_Titles</vt:lpstr>
      <vt:lpstr>処理詳細_書き方!Print_Titles</vt:lpstr>
      <vt:lpstr>帳票レイアウト!Print_Titles</vt:lpstr>
      <vt:lpstr>別紙_テンプレート!Print_Titles</vt:lpstr>
      <vt:lpstr>変更履歴!Print_Titles</vt:lpstr>
      <vt:lpstr>作成日</vt:lpstr>
      <vt:lpstr>集計範囲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2025-05-24T05:32:09Z</dcterms:modified>
</cp:coreProperties>
</file>