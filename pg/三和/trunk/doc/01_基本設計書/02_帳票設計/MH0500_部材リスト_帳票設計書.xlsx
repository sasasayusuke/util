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0.37\share\02_開発\【YJY】2023_三和商研受発注システム開発\03_基本設計\02_帳票設計\"/>
    </mc:Choice>
  </mc:AlternateContent>
  <bookViews>
    <workbookView xWindow="0" yWindow="0" windowWidth="23040" windowHeight="8976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20" r:id="rId5"/>
    <sheet name="処理詳細_書き方" sheetId="21" state="hidden" r:id="rId6"/>
    <sheet name="確認事項" sheetId="15" r:id="rId7"/>
    <sheet name="別紙_テンプレート_現行" sheetId="17" r:id="rId8"/>
    <sheet name="別紙_テンプレート_新システム" sheetId="22" r:id="rId9"/>
    <sheet name="別紙_印刷レイアウト" sheetId="23" r:id="rId10"/>
    <sheet name="参照" sheetId="12" state="hidden" r:id="rId11"/>
  </sheets>
  <definedNames>
    <definedName name="CoreCells" localSheetId="8">別紙_テンプレート_新システム!$A$8:$T$8</definedName>
    <definedName name="CoreCells">別紙_テンプレート_現行!$A$8:$V$8</definedName>
    <definedName name="_xlnm.Print_Area" localSheetId="1">概要!$A$1:$BN$31</definedName>
    <definedName name="_xlnm.Print_Area" localSheetId="3">項目一覧!$A$1:$BX$62</definedName>
    <definedName name="_xlnm.Print_Area" localSheetId="4">処理詳細!$A$1:$BR$184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7">別紙_テンプレート_現行!$A:$N,別紙_テンプレート_現行!$1:$7</definedName>
    <definedName name="_xlnm.Print_Titles" localSheetId="8">別紙_テンプレート_新システム!$A:$M,別紙_テンプレート_新システム!$1:$7</definedName>
    <definedName name="_xlnm.Print_Titles" localSheetId="0">変更履歴!$1:$5</definedName>
    <definedName name="SiwaCoreCells" localSheetId="8">別紙_テンプレート_新システム!$S$7:$T$8</definedName>
    <definedName name="SiwaCoreCells">別紙_テンプレート_現行!$U$7:$V$8</definedName>
    <definedName name="見積番号" localSheetId="8">別紙_テンプレート_新システム!$D$3</definedName>
    <definedName name="見積番号">別紙_テンプレート_現行!$D$3</definedName>
    <definedName name="見積名称" localSheetId="8">別紙_テンプレート_新システム!$G$3</definedName>
    <definedName name="見積名称">別紙_テンプレート_現行!$F$3</definedName>
    <definedName name="現場名" localSheetId="8">別紙_テンプレート_新システム!$D$5</definedName>
    <definedName name="現場名">別紙_テンプレート_現行!$D$5</definedName>
    <definedName name="作成日" localSheetId="8">別紙_テンプレート_新システム!$I$4</definedName>
    <definedName name="作成日">別紙_テンプレート_現行!$H$4</definedName>
    <definedName name="受注先" localSheetId="8">別紙_テンプレート_新システム!$D$4</definedName>
    <definedName name="受注先">別紙_テンプレート_現行!$D$4</definedName>
    <definedName name="担当者名" localSheetId="8">別紙_テンプレート_新システム!$I$5</definedName>
    <definedName name="担当者名">別紙_テンプレート_現行!$H$5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8" i="22" l="1"/>
  <c r="N8" i="22" s="1"/>
  <c r="BJ3" i="21" l="1"/>
  <c r="BF3" i="21"/>
  <c r="BB3" i="21"/>
  <c r="AX3" i="21"/>
  <c r="L3" i="21"/>
  <c r="B3" i="21"/>
  <c r="BJ3" i="20"/>
  <c r="BF3" i="20"/>
  <c r="BB3" i="20"/>
  <c r="AX3" i="20"/>
  <c r="L3" i="20"/>
  <c r="B3" i="20"/>
  <c r="T8" i="17" l="1"/>
  <c r="O8" i="17"/>
  <c r="BJ3" i="14" l="1"/>
  <c r="BF3" i="14"/>
  <c r="BB3" i="14"/>
  <c r="AX3" i="14"/>
  <c r="L3" i="14"/>
  <c r="B3" i="14"/>
  <c r="X3" i="1" l="1"/>
  <c r="X3" i="20" l="1"/>
  <c r="X3" i="21"/>
  <c r="X3" i="14"/>
  <c r="H3" i="1"/>
  <c r="R3" i="1"/>
  <c r="AK3" i="1"/>
  <c r="AK3" i="20" l="1"/>
  <c r="AK3" i="21"/>
  <c r="R3" i="20"/>
  <c r="R3" i="21"/>
  <c r="H3" i="20"/>
  <c r="H3" i="21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<sst xmlns="http://schemas.openxmlformats.org/spreadsheetml/2006/main" count="728" uniqueCount="433">
  <si>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</si>
  <si>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</si>
  <si>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</si>
  <si>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</si>
  <si>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</si>
  <si>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</si>
  <si>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</si>
  <si>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</si>
  <si>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</si>
  <si>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</si>
  <si>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</si>
  <si>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</si>
  <si>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</si>
  <si>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</si>
  <si>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</si>
  <si>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</si>
  <si>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</si>
  <si>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</si>
  <si>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</si>
  <si>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</si>
  <si>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</si>
  <si>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</si>
  <si>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</si>
  <si>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</si>
  <si>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</si>
  <si>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</si>
  <si>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</si>
  <si>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</si>
  <si>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</si>
  <si>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</si>
  <si>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</si>
  <si>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</si>
  <si>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</si>
  <si>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</si>
  <si>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</si>
  <si>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</si>
  <si>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</si>
  <si>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</si>
  <si>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</si>
  <si>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</si>
  <si>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</si>
  <si>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</si>
  <si>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</si>
  <si>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</si>
  <si>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</si>
  <si>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</si>
  <si>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</si>
  <si>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</si>
  <si>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</si>
  <si>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</si>
  <si>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</si>
  <si>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</si>
  <si>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Template_部材リスト.xlsx</t>
    <phoneticPr fontId="2"/>
  </si>
  <si>
    <t>Excel</t>
    <phoneticPr fontId="2"/>
  </si>
  <si>
    <t>xlsx</t>
    <phoneticPr fontId="2"/>
  </si>
  <si>
    <t>-</t>
    <phoneticPr fontId="2"/>
  </si>
  <si>
    <t>見積名称</t>
    <rPh sb="0" eb="4">
      <t>ミツモリメイショウ</t>
    </rPh>
    <phoneticPr fontId="1"/>
  </si>
  <si>
    <t>受注先</t>
    <rPh sb="0" eb="3">
      <t>ジュチュウサキ</t>
    </rPh>
    <phoneticPr fontId="1"/>
  </si>
  <si>
    <t>現場名</t>
    <rPh sb="0" eb="3">
      <t>ゲンバメイ</t>
    </rPh>
    <phoneticPr fontId="1"/>
  </si>
  <si>
    <t>日付</t>
    <rPh sb="0" eb="2">
      <t>ヒヅケ</t>
    </rPh>
    <phoneticPr fontId="1"/>
  </si>
  <si>
    <t>担当者</t>
    <rPh sb="0" eb="3">
      <t>タントウシャ</t>
    </rPh>
    <phoneticPr fontId="1"/>
  </si>
  <si>
    <t>SP区分</t>
    <rPh sb="2" eb="4">
      <t>クブン</t>
    </rPh>
    <phoneticPr fontId="1"/>
  </si>
  <si>
    <t>PC区分</t>
    <rPh sb="2" eb="4">
      <t>クブン</t>
    </rPh>
    <phoneticPr fontId="1"/>
  </si>
  <si>
    <t>名称</t>
    <rPh sb="0" eb="2">
      <t>メイショウ</t>
    </rPh>
    <phoneticPr fontId="1"/>
  </si>
  <si>
    <t>備考</t>
    <rPh sb="0" eb="2">
      <t>ビコウ</t>
    </rPh>
    <phoneticPr fontId="1"/>
  </si>
  <si>
    <t>仕入先</t>
    <rPh sb="0" eb="3">
      <t>シイレサキ</t>
    </rPh>
    <phoneticPr fontId="1"/>
  </si>
  <si>
    <t>配送先</t>
    <rPh sb="0" eb="3">
      <t>ハイソウサキ</t>
    </rPh>
    <phoneticPr fontId="1"/>
  </si>
  <si>
    <t>発注量</t>
    <rPh sb="0" eb="3">
      <t>ハッチュウリョウ</t>
    </rPh>
    <phoneticPr fontId="1"/>
  </si>
  <si>
    <t>単位</t>
    <rPh sb="0" eb="2">
      <t>タンイ</t>
    </rPh>
    <phoneticPr fontId="1"/>
  </si>
  <si>
    <t>客先在庫数</t>
    <rPh sb="0" eb="5">
      <t>キャクサキザイコスウ</t>
    </rPh>
    <phoneticPr fontId="1"/>
  </si>
  <si>
    <t>転用</t>
    <rPh sb="0" eb="2">
      <t>テンヨウ</t>
    </rPh>
    <phoneticPr fontId="1"/>
  </si>
  <si>
    <t>使用量合計</t>
    <rPh sb="0" eb="5">
      <t>シヨウリョウゴウケイ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</si>
  <si>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</si>
  <si>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</si>
  <si>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項目一覧</t>
    <rPh sb="0" eb="4">
      <t>コウモクイチラン</t>
    </rPh>
    <phoneticPr fontId="2"/>
  </si>
  <si>
    <t>仕入先CD</t>
    <rPh sb="0" eb="3">
      <t>シイレサキ</t>
    </rPh>
    <phoneticPr fontId="1"/>
  </si>
  <si>
    <t>配送先CD</t>
    <rPh sb="0" eb="3">
      <t>ハイソウサキ</t>
    </rPh>
    <phoneticPr fontId="1"/>
  </si>
  <si>
    <t>発注調整数</t>
    <rPh sb="0" eb="2">
      <t>ハッチュウ</t>
    </rPh>
    <rPh sb="2" eb="4">
      <t>チョウセイ</t>
    </rPh>
    <rPh sb="4" eb="5">
      <t>スウ</t>
    </rPh>
    <phoneticPr fontId="1"/>
  </si>
  <si>
    <t>21.客先在庫数、22.転用、23.使用量合計、28.発注調整数</t>
    <rPh sb="3" eb="8">
      <t>キャクサキザイコスウ</t>
    </rPh>
    <rPh sb="12" eb="14">
      <t>テンヨウ</t>
    </rPh>
    <rPh sb="27" eb="32">
      <t>ハッチュウチョウセイスウ</t>
    </rPh>
    <phoneticPr fontId="1"/>
  </si>
  <si>
    <t>[23.使用量合計]と[28.発注調整数]の合計から[21.客先在庫数]と[22.転用]を引いた数</t>
    <rPh sb="22" eb="24">
      <t>ゴウケイ</t>
    </rPh>
    <rPh sb="45" eb="46">
      <t>ヒ</t>
    </rPh>
    <rPh sb="48" eb="49">
      <t>カズ</t>
    </rPh>
    <phoneticPr fontId="1"/>
  </si>
  <si>
    <t>製品№</t>
    <rPh sb="0" eb="2">
      <t>セイヒン</t>
    </rPh>
    <phoneticPr fontId="1"/>
  </si>
  <si>
    <t>仕様№</t>
    <rPh sb="0" eb="2">
      <t>シヨウ</t>
    </rPh>
    <phoneticPr fontId="1"/>
  </si>
  <si>
    <t>見積№</t>
    <rPh sb="0" eb="2">
      <t>ミツモリ</t>
    </rPh>
    <phoneticPr fontId="1"/>
  </si>
  <si>
    <t>W</t>
    <phoneticPr fontId="1"/>
  </si>
  <si>
    <t>D</t>
    <phoneticPr fontId="1"/>
  </si>
  <si>
    <t>H</t>
    <phoneticPr fontId="1"/>
  </si>
  <si>
    <t>TD見積.見積番号</t>
    <rPh sb="2" eb="4">
      <t>ミツモリ</t>
    </rPh>
    <rPh sb="5" eb="9">
      <t>ミツモリバンゴウ</t>
    </rPh>
    <phoneticPr fontId="1"/>
  </si>
  <si>
    <t>TD見積.見積件名</t>
    <rPh sb="2" eb="4">
      <t>ミツモリ</t>
    </rPh>
    <rPh sb="5" eb="9">
      <t>ミツモリケンメイ</t>
    </rPh>
    <phoneticPr fontId="1"/>
  </si>
  <si>
    <t>TD見積.得意先名1</t>
    <phoneticPr fontId="1"/>
  </si>
  <si>
    <t>TD見積.現場名</t>
    <phoneticPr fontId="1"/>
  </si>
  <si>
    <t>TM担当者.担当者名</t>
    <phoneticPr fontId="1"/>
  </si>
  <si>
    <t>TD見積シートM.行番号</t>
    <phoneticPr fontId="1"/>
  </si>
  <si>
    <t>TD見積シートM.SP区分</t>
    <phoneticPr fontId="1"/>
  </si>
  <si>
    <t>TD見積シートM.PC区分</t>
    <phoneticPr fontId="1"/>
  </si>
  <si>
    <t>TD見積シートM.製品NO</t>
    <phoneticPr fontId="1"/>
  </si>
  <si>
    <t>TD見積シートM.仕様NO</t>
    <phoneticPr fontId="1"/>
  </si>
  <si>
    <t>TD見積シートM.漢字名称</t>
    <phoneticPr fontId="1"/>
  </si>
  <si>
    <t>TD見積シートM.W</t>
    <phoneticPr fontId="1"/>
  </si>
  <si>
    <t>TD見積シートM.D</t>
    <phoneticPr fontId="1"/>
  </si>
  <si>
    <t>縮小して全体表示</t>
    <rPh sb="0" eb="2">
      <t>シュクショウ</t>
    </rPh>
    <rPh sb="4" eb="6">
      <t>ゼンタイ</t>
    </rPh>
    <rPh sb="6" eb="8">
      <t>ヒョウジ</t>
    </rPh>
    <phoneticPr fontId="1"/>
  </si>
  <si>
    <t>[27.][28.]項目の合計</t>
    <rPh sb="10" eb="12">
      <t>コウモク</t>
    </rPh>
    <rPh sb="13" eb="15">
      <t>ゴウケイ</t>
    </rPh>
    <phoneticPr fontId="1"/>
  </si>
  <si>
    <t>TD見積シートM.転用</t>
    <rPh sb="9" eb="11">
      <t>テンヨウ</t>
    </rPh>
    <phoneticPr fontId="1"/>
  </si>
  <si>
    <t>TD見積シートM.客先在庫数</t>
    <rPh sb="9" eb="14">
      <t>キャクサキザイコスウ</t>
    </rPh>
    <phoneticPr fontId="1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</si>
  <si>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</si>
  <si>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現在日付</t>
    <phoneticPr fontId="1"/>
  </si>
  <si>
    <t>部門別部材リスト</t>
  </si>
  <si>
    <t>見積№</t>
  </si>
  <si>
    <t>見積名称</t>
  </si>
  <si>
    <t>受注先</t>
    <rPh sb="0" eb="2">
      <t>ジュチュウ</t>
    </rPh>
    <rPh sb="2" eb="3">
      <t>サキ</t>
    </rPh>
    <phoneticPr fontId="12"/>
  </si>
  <si>
    <t>日付</t>
    <rPh sb="0" eb="2">
      <t>ヒヅケ</t>
    </rPh>
    <phoneticPr fontId="12"/>
  </si>
  <si>
    <t>現場名</t>
    <rPh sb="0" eb="2">
      <t>ゲンバ</t>
    </rPh>
    <rPh sb="2" eb="3">
      <t>メイ</t>
    </rPh>
    <phoneticPr fontId="12"/>
  </si>
  <si>
    <t>担当者</t>
    <rPh sb="0" eb="3">
      <t>タントウシャ</t>
    </rPh>
    <phoneticPr fontId="12"/>
  </si>
  <si>
    <t>項目</t>
    <rPh sb="0" eb="2">
      <t>コウモク</t>
    </rPh>
    <phoneticPr fontId="12"/>
  </si>
  <si>
    <t>SP
区分</t>
  </si>
  <si>
    <t>PC
区分</t>
  </si>
  <si>
    <t>製品№</t>
  </si>
  <si>
    <t>仕様№</t>
  </si>
  <si>
    <t>名称</t>
  </si>
  <si>
    <t>Ｗ</t>
  </si>
  <si>
    <t>Ｄ</t>
  </si>
  <si>
    <t>Ｈ</t>
    <phoneticPr fontId="12"/>
  </si>
  <si>
    <t>備考</t>
    <rPh sb="0" eb="2">
      <t>ビコウ</t>
    </rPh>
    <phoneticPr fontId="12"/>
  </si>
  <si>
    <t>仕入先CD</t>
    <rPh sb="0" eb="2">
      <t>シイレ</t>
    </rPh>
    <rPh sb="2" eb="3">
      <t>サキ</t>
    </rPh>
    <phoneticPr fontId="12"/>
  </si>
  <si>
    <t>仕入先</t>
    <phoneticPr fontId="12"/>
  </si>
  <si>
    <t>配送先CD</t>
    <rPh sb="0" eb="2">
      <t>ハイソウ</t>
    </rPh>
    <rPh sb="2" eb="3">
      <t>サキ</t>
    </rPh>
    <phoneticPr fontId="12"/>
  </si>
  <si>
    <t>配送先</t>
    <rPh sb="0" eb="2">
      <t>ハイソウ</t>
    </rPh>
    <rPh sb="2" eb="3">
      <t>サキ</t>
    </rPh>
    <phoneticPr fontId="12"/>
  </si>
  <si>
    <t>発注量</t>
    <rPh sb="0" eb="3">
      <t>ハッチュウリョウ</t>
    </rPh>
    <phoneticPr fontId="12"/>
  </si>
  <si>
    <t>単位</t>
    <rPh sb="0" eb="2">
      <t>タンイ</t>
    </rPh>
    <phoneticPr fontId="12"/>
  </si>
  <si>
    <t>客先
在庫数</t>
    <rPh sb="0" eb="1">
      <t>キャク</t>
    </rPh>
    <rPh sb="1" eb="2">
      <t>サキ</t>
    </rPh>
    <rPh sb="3" eb="6">
      <t>ザイコスウ</t>
    </rPh>
    <phoneticPr fontId="12"/>
  </si>
  <si>
    <t>転用</t>
    <rPh sb="0" eb="2">
      <t>テンヨウ</t>
    </rPh>
    <phoneticPr fontId="12"/>
  </si>
  <si>
    <t>発注
調整数</t>
    <rPh sb="0" eb="2">
      <t>ハッチュウ</t>
    </rPh>
    <rPh sb="3" eb="5">
      <t>チョウセイ</t>
    </rPh>
    <rPh sb="5" eb="6">
      <t>スウ</t>
    </rPh>
    <phoneticPr fontId="12"/>
  </si>
  <si>
    <t>使用量
合計</t>
    <phoneticPr fontId="12"/>
  </si>
  <si>
    <t>[TD見積シートM.見積区分]が C or A or S の場合は先頭に半角スペースを2つ付ける</t>
    <rPh sb="10" eb="14">
      <t>ミツモリクブン</t>
    </rPh>
    <rPh sb="30" eb="32">
      <t>バアイ</t>
    </rPh>
    <rPh sb="33" eb="35">
      <t>セントウ</t>
    </rPh>
    <rPh sb="36" eb="38">
      <t>ハンカク</t>
    </rPh>
    <rPh sb="45" eb="46">
      <t>ツ</t>
    </rPh>
    <phoneticPr fontId="1"/>
  </si>
  <si>
    <t>27、28</t>
    <phoneticPr fontId="1"/>
  </si>
  <si>
    <t>TD見積シートM.H</t>
    <phoneticPr fontId="1"/>
  </si>
  <si>
    <t>TD見積シートM.明細備考</t>
    <rPh sb="9" eb="13">
      <t>メイサイビコウ</t>
    </rPh>
    <phoneticPr fontId="1"/>
  </si>
  <si>
    <t>TD見積シートM.仕入先CD</t>
    <rPh sb="9" eb="12">
      <t>シイレサキ</t>
    </rPh>
    <phoneticPr fontId="1"/>
  </si>
  <si>
    <t>TD見積シートM.仕入先名</t>
    <rPh sb="9" eb="13">
      <t>シイレサキメイ</t>
    </rPh>
    <phoneticPr fontId="1"/>
  </si>
  <si>
    <t>TD見積シートM.配送先CD</t>
    <rPh sb="9" eb="12">
      <t>ハイソウサキ</t>
    </rPh>
    <phoneticPr fontId="1"/>
  </si>
  <si>
    <t>TD見積シートM.配送先名</t>
    <rPh sb="9" eb="13">
      <t>ハイソウサキメイ</t>
    </rPh>
    <phoneticPr fontId="1"/>
  </si>
  <si>
    <t>TD見積シートM.単位名</t>
    <rPh sb="9" eb="12">
      <t>タンイメイ</t>
    </rPh>
    <phoneticPr fontId="1"/>
  </si>
  <si>
    <t>TD見積シートM.発注調整数</t>
    <rPh sb="9" eb="14">
      <t>ハッチュウチョウセイスウ</t>
    </rPh>
    <phoneticPr fontId="1"/>
  </si>
  <si>
    <t>項目27,28以降について</t>
    <rPh sb="0" eb="2">
      <t>コウモク</t>
    </rPh>
    <rPh sb="7" eb="9">
      <t>イコウ</t>
    </rPh>
    <phoneticPr fontId="2"/>
  </si>
  <si>
    <t>項目一覧</t>
    <rPh sb="0" eb="2">
      <t>コウモク</t>
    </rPh>
    <rPh sb="2" eb="4">
      <t>イチラン</t>
    </rPh>
    <phoneticPr fontId="2"/>
  </si>
  <si>
    <t>16.備考</t>
    <rPh sb="3" eb="5">
      <t>ビコウ</t>
    </rPh>
    <phoneticPr fontId="2"/>
  </si>
  <si>
    <t>2文字しか入らないが問題ないか</t>
    <rPh sb="1" eb="3">
      <t>モジ</t>
    </rPh>
    <rPh sb="5" eb="6">
      <t>ハイ</t>
    </rPh>
    <rPh sb="10" eb="12">
      <t>モンダイ</t>
    </rPh>
    <phoneticPr fontId="2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</si>
  <si>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</si>
  <si>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</si>
  <si>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</si>
  <si>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</si>
  <si>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</si>
  <si>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</si>
  <si>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</si>
  <si>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</si>
  <si>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</si>
  <si>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</si>
  <si>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</si>
  <si>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</si>
  <si>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</si>
  <si>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</si>
  <si>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</si>
  <si>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</si>
  <si>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</si>
  <si>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</si>
  <si>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</si>
  <si>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</si>
  <si>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</si>
  <si>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</si>
  <si>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</si>
  <si>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</si>
  <si>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</si>
  <si>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</si>
  <si>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</si>
  <si>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</si>
  <si>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</si>
  <si>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</si>
  <si>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</si>
  <si>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</si>
  <si>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</si>
  <si>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</si>
  <si>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</si>
  <si>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</si>
  <si>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</si>
  <si>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〇</t>
    <phoneticPr fontId="2"/>
  </si>
  <si>
    <t>見積名称</t>
    <phoneticPr fontId="2"/>
  </si>
  <si>
    <t>仕分数1～30まで必要な数入れる認識であっているか。その際に罫線とヘッダも追加するか。</t>
    <rPh sb="0" eb="3">
      <t>シワケスウ</t>
    </rPh>
    <rPh sb="9" eb="11">
      <t>ヒツヨウ</t>
    </rPh>
    <rPh sb="12" eb="13">
      <t>カズ</t>
    </rPh>
    <rPh sb="13" eb="14">
      <t>ハイ</t>
    </rPh>
    <rPh sb="16" eb="18">
      <t>ニンシキ</t>
    </rPh>
    <rPh sb="28" eb="29">
      <t>サイ</t>
    </rPh>
    <rPh sb="30" eb="32">
      <t>ケイセン</t>
    </rPh>
    <rPh sb="37" eb="39">
      <t>ツイカ</t>
    </rPh>
    <phoneticPr fontId="2"/>
  </si>
  <si>
    <t>認識あっている</t>
    <rPh sb="0" eb="2">
      <t>ニンシキ</t>
    </rPh>
    <phoneticPr fontId="2"/>
  </si>
  <si>
    <t>問題ない</t>
    <rPh sb="0" eb="2">
      <t>モンダイ</t>
    </rPh>
    <phoneticPr fontId="2"/>
  </si>
  <si>
    <t>回答</t>
    <rPh sb="0" eb="2">
      <t>カイトウ</t>
    </rPh>
    <phoneticPr fontId="2"/>
  </si>
  <si>
    <t>不要項目</t>
    <rPh sb="0" eb="4">
      <t>フヨウコウモク</t>
    </rPh>
    <phoneticPr fontId="1"/>
  </si>
  <si>
    <t>FROM TD見積 AS MT</t>
    <phoneticPr fontId="2"/>
  </si>
  <si>
    <t>WHERE</t>
    <phoneticPr fontId="2"/>
  </si>
  <si>
    <t>WHERE句が存在する場合</t>
    <rPh sb="4" eb="5">
      <t>ク</t>
    </rPh>
    <rPh sb="6" eb="8">
      <t>ソンザイ</t>
    </rPh>
    <rPh sb="10" eb="12">
      <t>バアイ</t>
    </rPh>
    <phoneticPr fontId="2"/>
  </si>
  <si>
    <t>and 得意先CD LIKE  '画面.得意先CD%'</t>
    <rPh sb="17" eb="19">
      <t>ガメン</t>
    </rPh>
    <phoneticPr fontId="2"/>
  </si>
  <si>
    <t>and 納入先CD Like '画面.納入先CD%'</t>
    <rPh sb="16" eb="18">
      <t>ガメン</t>
    </rPh>
    <phoneticPr fontId="2"/>
  </si>
  <si>
    <t>and MT.見積番号 &gt;= 画面.開始見積番号 And MT.見積番号 &lt;= 画面.終了見積番号</t>
    <rPh sb="15" eb="17">
      <t>ガメン</t>
    </rPh>
    <rPh sb="18" eb="20">
      <t>カイシ</t>
    </rPh>
    <rPh sb="43" eb="45">
      <t>シュウリョウ</t>
    </rPh>
    <phoneticPr fontId="2"/>
  </si>
  <si>
    <t>and 見積件名 Like '%画面.見積件名%'</t>
    <rPh sb="16" eb="18">
      <t>ガメン</t>
    </rPh>
    <phoneticPr fontId="2"/>
  </si>
  <si>
    <t>and MT.合計金額 + MT.出精値引 &gt;= 画面.開始見積金額 And MT.合計金額 + MT.出精値引 &lt;= 画面.終了見積金額</t>
    <rPh sb="25" eb="27">
      <t>ガメン</t>
    </rPh>
    <rPh sb="28" eb="34">
      <t>カイシミツモリキンガク</t>
    </rPh>
    <rPh sb="60" eb="62">
      <t>ガメン</t>
    </rPh>
    <rPh sb="63" eb="65">
      <t>シュウリョウ</t>
    </rPh>
    <rPh sb="65" eb="69">
      <t>ミツモリキンガク</t>
    </rPh>
    <phoneticPr fontId="2"/>
  </si>
  <si>
    <t>and MT.見積日付 &gt;= 画面.開始見積日付 And MT.見積日付 &lt;= 画面.終了見積日付</t>
    <rPh sb="15" eb="17">
      <t>ガメン</t>
    </rPh>
    <rPh sb="18" eb="20">
      <t>カイシ</t>
    </rPh>
    <rPh sb="20" eb="24">
      <t>ミツモリヒヅケ</t>
    </rPh>
    <rPh sb="40" eb="42">
      <t>ガメン</t>
    </rPh>
    <rPh sb="43" eb="45">
      <t>シュウリョウ</t>
    </rPh>
    <rPh sb="45" eb="49">
      <t>ミツモリヒヅケ</t>
    </rPh>
    <phoneticPr fontId="2"/>
  </si>
  <si>
    <t>画面.得意先CDが存在する場合</t>
    <rPh sb="0" eb="2">
      <t>ガメン</t>
    </rPh>
    <rPh sb="3" eb="6">
      <t>トクイサキ</t>
    </rPh>
    <rPh sb="9" eb="11">
      <t>ソンザイ</t>
    </rPh>
    <rPh sb="13" eb="15">
      <t>バアイ</t>
    </rPh>
    <phoneticPr fontId="2"/>
  </si>
  <si>
    <t>画面.納入先CDが存在する場合</t>
    <rPh sb="0" eb="2">
      <t>ガメン</t>
    </rPh>
    <rPh sb="3" eb="6">
      <t>ノウニュウサキ</t>
    </rPh>
    <rPh sb="9" eb="11">
      <t>ソンザイ</t>
    </rPh>
    <rPh sb="13" eb="15">
      <t>バアイ</t>
    </rPh>
    <phoneticPr fontId="2"/>
  </si>
  <si>
    <t>画面.開始見積番号または画面.終了見積番号が存在する場合</t>
    <rPh sb="0" eb="2">
      <t>ガメン</t>
    </rPh>
    <rPh sb="3" eb="9">
      <t>カイシミツモリバンゴウ</t>
    </rPh>
    <rPh sb="12" eb="14">
      <t>ガメン</t>
    </rPh>
    <rPh sb="15" eb="17">
      <t>シュウリョウ</t>
    </rPh>
    <rPh sb="17" eb="21">
      <t>ミツモリバンゴウ</t>
    </rPh>
    <rPh sb="22" eb="24">
      <t>ソンザイ</t>
    </rPh>
    <rPh sb="26" eb="28">
      <t>バアイ</t>
    </rPh>
    <phoneticPr fontId="2"/>
  </si>
  <si>
    <t>画面.見積件名が存在する場合</t>
    <rPh sb="0" eb="2">
      <t>ガメン</t>
    </rPh>
    <rPh sb="3" eb="7">
      <t>ミツモリケンメイ</t>
    </rPh>
    <rPh sb="8" eb="10">
      <t>ソンザイ</t>
    </rPh>
    <rPh sb="12" eb="14">
      <t>バアイ</t>
    </rPh>
    <phoneticPr fontId="2"/>
  </si>
  <si>
    <t>画面.開始見積金額または画面.終了見積金額が存在する場合</t>
    <rPh sb="0" eb="2">
      <t>ガメン</t>
    </rPh>
    <rPh sb="3" eb="5">
      <t>カイシ</t>
    </rPh>
    <rPh sb="5" eb="7">
      <t>ミツモリ</t>
    </rPh>
    <rPh sb="7" eb="9">
      <t>キンガク</t>
    </rPh>
    <rPh sb="12" eb="14">
      <t>ガメン</t>
    </rPh>
    <rPh sb="15" eb="17">
      <t>シュウリョウ</t>
    </rPh>
    <rPh sb="17" eb="19">
      <t>ミツモリ</t>
    </rPh>
    <rPh sb="19" eb="21">
      <t>キンガク</t>
    </rPh>
    <rPh sb="22" eb="24">
      <t>ソンザイ</t>
    </rPh>
    <rPh sb="26" eb="28">
      <t>バアイ</t>
    </rPh>
    <phoneticPr fontId="2"/>
  </si>
  <si>
    <t>画面.開始見積日付または画面.終了見積日付が存在する場合</t>
    <rPh sb="0" eb="2">
      <t>ガメン</t>
    </rPh>
    <rPh sb="3" eb="5">
      <t>カイシ</t>
    </rPh>
    <rPh sb="5" eb="9">
      <t>ミツモリヒヅケ</t>
    </rPh>
    <rPh sb="12" eb="14">
      <t>ガメン</t>
    </rPh>
    <rPh sb="15" eb="19">
      <t>シュウリョウミツモリ</t>
    </rPh>
    <rPh sb="19" eb="21">
      <t>ヒヅケ</t>
    </rPh>
    <rPh sb="22" eb="24">
      <t>ソンザイ</t>
    </rPh>
    <rPh sb="26" eb="28">
      <t>バアイ</t>
    </rPh>
    <phoneticPr fontId="2"/>
  </si>
  <si>
    <t>order by</t>
    <phoneticPr fontId="2"/>
  </si>
  <si>
    <t xml:space="preserve">ORDER BY MT.見積日付 DESC, MT.見積番号 DESC </t>
    <phoneticPr fontId="2"/>
  </si>
  <si>
    <t>MT.見積日付、MT.見積番号の降順でソート</t>
    <phoneticPr fontId="2"/>
  </si>
  <si>
    <t>見積番号</t>
    <rPh sb="0" eb="4">
      <t>ミツモリバンゴウ</t>
    </rPh>
    <phoneticPr fontId="2"/>
  </si>
  <si>
    <t>見積日付</t>
    <rPh sb="0" eb="4">
      <t>ミツモリヒヅケ</t>
    </rPh>
    <phoneticPr fontId="2"/>
  </si>
  <si>
    <t>物件種別</t>
    <rPh sb="0" eb="4">
      <t>ブッケンシュベツ</t>
    </rPh>
    <phoneticPr fontId="2"/>
  </si>
  <si>
    <t>得意先CD</t>
    <rPh sb="0" eb="3">
      <t>トクイサキ</t>
    </rPh>
    <phoneticPr fontId="2"/>
  </si>
  <si>
    <t>見積件名</t>
    <rPh sb="0" eb="4">
      <t>ミツモリケンメイ</t>
    </rPh>
    <phoneticPr fontId="2"/>
  </si>
  <si>
    <t>合計金額</t>
    <rPh sb="0" eb="4">
      <t>ゴウケイキンガク</t>
    </rPh>
    <phoneticPr fontId="2"/>
  </si>
  <si>
    <t>見積書出力日</t>
    <rPh sb="0" eb="5">
      <t>ミツモリショシュツリョク</t>
    </rPh>
    <rPh sb="5" eb="6">
      <t>ビ</t>
    </rPh>
    <phoneticPr fontId="2"/>
  </si>
  <si>
    <t>注文発行日</t>
    <rPh sb="0" eb="2">
      <t>チュウモン</t>
    </rPh>
    <rPh sb="2" eb="5">
      <t>ハッコウビ</t>
    </rPh>
    <phoneticPr fontId="2"/>
  </si>
  <si>
    <t>TD見積.見積番号</t>
  </si>
  <si>
    <t>TD見積.見積日付</t>
  </si>
  <si>
    <t>TD見積.物件種別</t>
  </si>
  <si>
    <t>TD見積.得意先CD</t>
  </si>
  <si>
    <t>TD見積.見積件名</t>
  </si>
  <si>
    <t>TD見積.合計金額 + TD見積.出精値引 AS 合計金額</t>
  </si>
  <si>
    <t>TD見積.見積書出力日</t>
  </si>
  <si>
    <t>TD見積.注文発行日</t>
  </si>
  <si>
    <t>SQL1</t>
    <phoneticPr fontId="2"/>
  </si>
  <si>
    <t>SQL2</t>
    <phoneticPr fontId="2"/>
  </si>
  <si>
    <t>見積番号</t>
    <rPh sb="0" eb="2">
      <t>ミツモリ</t>
    </rPh>
    <rPh sb="2" eb="4">
      <t>バンゴウ</t>
    </rPh>
    <phoneticPr fontId="2"/>
  </si>
  <si>
    <t>得意先名1</t>
    <rPh sb="0" eb="4">
      <t>トクイサキメイ</t>
    </rPh>
    <phoneticPr fontId="2"/>
  </si>
  <si>
    <t>得意先名2</t>
    <rPh sb="0" eb="4">
      <t>トクイサキメイ</t>
    </rPh>
    <phoneticPr fontId="2"/>
  </si>
  <si>
    <t>現場名</t>
    <rPh sb="0" eb="3">
      <t>ゲンバメイ</t>
    </rPh>
    <phoneticPr fontId="2"/>
  </si>
  <si>
    <t>納期S</t>
    <rPh sb="0" eb="2">
      <t>ノウキ</t>
    </rPh>
    <phoneticPr fontId="2"/>
  </si>
  <si>
    <t>納期E</t>
    <rPh sb="0" eb="2">
      <t>ノウキ</t>
    </rPh>
    <phoneticPr fontId="2"/>
  </si>
  <si>
    <t>From TD見積</t>
    <phoneticPr fontId="2"/>
  </si>
  <si>
    <t>WHERE 見積番号 = 画面.見積番号</t>
    <rPh sb="13" eb="15">
      <t>ガメン</t>
    </rPh>
    <rPh sb="16" eb="20">
      <t>ミツモリバンゴウ</t>
    </rPh>
    <phoneticPr fontId="2"/>
  </si>
  <si>
    <t>TD見積.見積番号</t>
    <rPh sb="5" eb="7">
      <t>ミツモリ</t>
    </rPh>
    <rPh sb="7" eb="9">
      <t>バンゴウ</t>
    </rPh>
    <phoneticPr fontId="2"/>
  </si>
  <si>
    <t>TD見積.見積件名</t>
    <rPh sb="5" eb="9">
      <t>ミツモリケンメイ</t>
    </rPh>
    <phoneticPr fontId="2"/>
  </si>
  <si>
    <t>TD見積.得意先名1</t>
    <rPh sb="5" eb="9">
      <t>トクイサキメイ</t>
    </rPh>
    <phoneticPr fontId="2"/>
  </si>
  <si>
    <t>TD見積.得意先名2</t>
    <rPh sb="5" eb="9">
      <t>トクイサキメイ</t>
    </rPh>
    <phoneticPr fontId="2"/>
  </si>
  <si>
    <t>TD見積.現場名</t>
    <rPh sb="5" eb="8">
      <t>ゲンバメイ</t>
    </rPh>
    <phoneticPr fontId="2"/>
  </si>
  <si>
    <t>TD見積.納期S</t>
    <rPh sb="5" eb="7">
      <t>ノウキ</t>
    </rPh>
    <phoneticPr fontId="2"/>
  </si>
  <si>
    <t>TD見積.納期E</t>
    <rPh sb="5" eb="7">
      <t>ノウキ</t>
    </rPh>
    <phoneticPr fontId="2"/>
  </si>
  <si>
    <t>SQL3</t>
    <phoneticPr fontId="2"/>
  </si>
  <si>
    <t>CreateDate</t>
    <phoneticPr fontId="2"/>
  </si>
  <si>
    <t>PCName</t>
    <phoneticPr fontId="2"/>
  </si>
  <si>
    <t>From TW見積出力履歴</t>
    <phoneticPr fontId="2"/>
  </si>
  <si>
    <t>WHERE ListName = "部材リスト"</t>
    <phoneticPr fontId="2"/>
  </si>
  <si>
    <t>AND Number = 画面.見積番号</t>
    <rPh sb="13" eb="15">
      <t>ガメン</t>
    </rPh>
    <rPh sb="16" eb="18">
      <t>ミツモリ</t>
    </rPh>
    <rPh sb="18" eb="20">
      <t>バンゴウ</t>
    </rPh>
    <phoneticPr fontId="2"/>
  </si>
  <si>
    <t>TW見積出力履歴.CreateDate</t>
    <phoneticPr fontId="2"/>
  </si>
  <si>
    <t>TW見積出力履歴.PCName</t>
    <phoneticPr fontId="2"/>
  </si>
  <si>
    <t>SQL4</t>
    <phoneticPr fontId="2"/>
  </si>
  <si>
    <t>@MAX仕分番号</t>
    <phoneticPr fontId="2"/>
  </si>
  <si>
    <t>MAX(仕分MAX.仕分番号)</t>
    <phoneticPr fontId="2"/>
  </si>
  <si>
    <t>FROM</t>
    <phoneticPr fontId="2"/>
  </si>
  <si>
    <t>(</t>
    <phoneticPr fontId="2"/>
  </si>
  <si>
    <t>) AS 仕分MAX</t>
    <phoneticPr fontId="2"/>
  </si>
  <si>
    <t>SQL5</t>
    <phoneticPr fontId="2"/>
  </si>
  <si>
    <t>見積番号</t>
    <rPh sb="0" eb="1">
      <t>ミツモリ</t>
    </rPh>
    <rPh sb="1" eb="3">
      <t>バンゴウ</t>
    </rPh>
    <phoneticPr fontId="2"/>
  </si>
  <si>
    <t>仕分番号</t>
    <rPh sb="0" eb="3">
      <t>シワケバンゴウ</t>
    </rPh>
    <phoneticPr fontId="2"/>
  </si>
  <si>
    <t>数量</t>
    <rPh sb="0" eb="1">
      <t>スウリョウ</t>
    </rPh>
    <phoneticPr fontId="2"/>
  </si>
  <si>
    <t>FROM  TD見積シート内訳</t>
    <phoneticPr fontId="2"/>
  </si>
  <si>
    <t>group by</t>
    <phoneticPr fontId="2"/>
  </si>
  <si>
    <t>GROUP BY  見積番号, 仕分番号</t>
    <phoneticPr fontId="2"/>
  </si>
  <si>
    <t>HAVING  (SUM(数量) &lt;&gt; 0)</t>
    <phoneticPr fontId="2"/>
  </si>
  <si>
    <t>having</t>
    <phoneticPr fontId="2"/>
  </si>
  <si>
    <t>TD見積シート内訳.見積番号</t>
    <phoneticPr fontId="2"/>
  </si>
  <si>
    <t>TD見積シート内訳.仕分番号</t>
    <phoneticPr fontId="2"/>
  </si>
  <si>
    <t>SUM(TD見積シート内訳.数量) AS 数量</t>
    <phoneticPr fontId="2"/>
  </si>
  <si>
    <t>仕分ＭＡＸ取得</t>
    <phoneticPr fontId="2"/>
  </si>
  <si>
    <t>@MAX仕分番号は変数</t>
    <phoneticPr fontId="2"/>
  </si>
  <si>
    <t>SQL6</t>
    <phoneticPr fontId="2"/>
  </si>
  <si>
    <t>見出し用仕分名称</t>
    <rPh sb="0" eb="1">
      <t>ミダ</t>
    </rPh>
    <rPh sb="2" eb="3">
      <t>ヨウ</t>
    </rPh>
    <rPh sb="3" eb="7">
      <t>シワケメイショウ</t>
    </rPh>
    <phoneticPr fontId="2"/>
  </si>
  <si>
    <t>FROM  TD見積シート内訳 AS U</t>
    <phoneticPr fontId="2"/>
  </si>
  <si>
    <t>LEFT JOIN TD見積シート内訳名称 AS UM ON U.見積番号 = UM.見積番号 AND U.仕分番号 = UM.仕分番号</t>
    <phoneticPr fontId="2"/>
  </si>
  <si>
    <t>GROUP BY  U.見積番号, U.仕分番号, UM.略称</t>
    <phoneticPr fontId="2"/>
  </si>
  <si>
    <t>見積番号</t>
    <rPh sb="0" eb="3">
      <t>ミツモリバンゴウ</t>
    </rPh>
    <phoneticPr fontId="2"/>
  </si>
  <si>
    <t>略称</t>
    <rPh sb="0" eb="1">
      <t>リャクショウ</t>
    </rPh>
    <phoneticPr fontId="2"/>
  </si>
  <si>
    <t>ISNULL(TD見積シート内訳名称.略称,'') AS 略称</t>
    <phoneticPr fontId="2"/>
  </si>
  <si>
    <t>WHERE  U.見積番号 = 画面.見積番号</t>
    <rPh sb="16" eb="18">
      <t>ガメン</t>
    </rPh>
    <rPh sb="19" eb="23">
      <t>ミツモリバンゴウ</t>
    </rPh>
    <phoneticPr fontId="2"/>
  </si>
  <si>
    <t>WHERE  見積番号 = 画面.見積番号</t>
    <rPh sb="14" eb="16">
      <t>ガメン</t>
    </rPh>
    <phoneticPr fontId="2"/>
  </si>
  <si>
    <t>HAVING  U.仕分番号 &lt;= SQL4.@MAX仕分番号</t>
    <phoneticPr fontId="2"/>
  </si>
  <si>
    <t>@MAX仕分番号の数だけMSM.仕分数1,MSM.仕分数2,のように増える</t>
    <rPh sb="4" eb="8">
      <t>シワケバンゴウ</t>
    </rPh>
    <rPh sb="9" eb="10">
      <t>カズ</t>
    </rPh>
    <rPh sb="16" eb="19">
      <t>シワケスウ</t>
    </rPh>
    <rPh sb="34" eb="35">
      <t>フ</t>
    </rPh>
    <phoneticPr fontId="2"/>
  </si>
  <si>
    <t>SQL7</t>
    <phoneticPr fontId="2"/>
  </si>
  <si>
    <t>抽出条件セット</t>
    <phoneticPr fontId="2"/>
  </si>
  <si>
    <t>総数量</t>
    <phoneticPr fontId="2"/>
  </si>
  <si>
    <t>SELECT  TOP 1 MSM1.総数量</t>
    <phoneticPr fontId="2"/>
  </si>
  <si>
    <t>FROM TD見積シートM AS MSM1</t>
    <phoneticPr fontId="2"/>
  </si>
  <si>
    <t>WHERE MSM1.見積番号 = MSM.見積番号</t>
    <phoneticPr fontId="2"/>
  </si>
  <si>
    <t>AND  MSM1.見積区分 IN ('''',''1'',''2'',''3'',''4'',''5'',''6'',''7'',''8'',''9'')</t>
    <phoneticPr fontId="2"/>
  </si>
  <si>
    <t>AND  MSM1.行番号 &lt;= MSM.行番号</t>
    <phoneticPr fontId="2"/>
  </si>
  <si>
    <t>order by</t>
    <phoneticPr fontId="2"/>
  </si>
  <si>
    <t>SQL8</t>
    <phoneticPr fontId="2"/>
  </si>
  <si>
    <t>SET @WHERE総数</t>
    <phoneticPr fontId="2"/>
  </si>
  <si>
    <t>SET @WHERE社在</t>
    <phoneticPr fontId="2"/>
  </si>
  <si>
    <t>TD見積シートM.総数量</t>
    <phoneticPr fontId="2"/>
  </si>
  <si>
    <t>社内在庫数</t>
  </si>
  <si>
    <t>社内在庫数</t>
    <phoneticPr fontId="2"/>
  </si>
  <si>
    <t>SELECT  TOP 1 MSM1.社内在庫数</t>
    <phoneticPr fontId="2"/>
  </si>
  <si>
    <t>SQL9</t>
    <phoneticPr fontId="2"/>
  </si>
  <si>
    <t>SELECT  TOP 1 MSM1.客先在庫数</t>
    <phoneticPr fontId="2"/>
  </si>
  <si>
    <t>SET @WHERE客在</t>
    <phoneticPr fontId="2"/>
  </si>
  <si>
    <t>TD見積シートM.社内在庫数</t>
    <phoneticPr fontId="2"/>
  </si>
  <si>
    <t>客先在庫数</t>
    <phoneticPr fontId="2"/>
  </si>
  <si>
    <t>ORDER BY U.仕分番号 昇順でソート</t>
    <rPh sb="16" eb="18">
      <t>ショウジュン</t>
    </rPh>
    <phoneticPr fontId="2"/>
  </si>
  <si>
    <t>ORDER BY MSM1.行番号 DESC 降順でソート</t>
    <rPh sb="23" eb="25">
      <t>コウジュン</t>
    </rPh>
    <phoneticPr fontId="2"/>
  </si>
  <si>
    <t>TD見積シートM.客先在庫数</t>
    <phoneticPr fontId="2"/>
  </si>
  <si>
    <t>SQL10</t>
    <phoneticPr fontId="2"/>
  </si>
  <si>
    <t>SET @WHERE転用</t>
    <phoneticPr fontId="2"/>
  </si>
  <si>
    <t>SELECT  TOP 1 MSM1.転用数</t>
    <phoneticPr fontId="2"/>
  </si>
  <si>
    <t>転用数</t>
  </si>
  <si>
    <t>転用数</t>
    <phoneticPr fontId="2"/>
  </si>
  <si>
    <t>TD見積シートM.転用数</t>
    <phoneticPr fontId="2"/>
  </si>
  <si>
    <t>SQL11</t>
    <phoneticPr fontId="2"/>
  </si>
  <si>
    <t>総数量</t>
  </si>
  <si>
    <t>SET @WHERE総数A</t>
    <phoneticPr fontId="2"/>
  </si>
  <si>
    <t>ORDER BY MSM1.行番号 ASC 昇順でソート</t>
    <rPh sb="22" eb="24">
      <t>ショウジュン</t>
    </rPh>
    <phoneticPr fontId="2"/>
  </si>
  <si>
    <t>SQL12</t>
    <phoneticPr fontId="2"/>
  </si>
  <si>
    <t>SET @WHERE社在A</t>
    <phoneticPr fontId="2"/>
  </si>
  <si>
    <t>SQL13</t>
    <phoneticPr fontId="2"/>
  </si>
  <si>
    <t>SET @WHERE客在A</t>
    <phoneticPr fontId="2"/>
  </si>
  <si>
    <t>SQL14</t>
    <phoneticPr fontId="2"/>
  </si>
  <si>
    <t>SET @WHERE転用A</t>
    <phoneticPr fontId="2"/>
  </si>
  <si>
    <t>SQL15</t>
    <phoneticPr fontId="2"/>
  </si>
  <si>
    <t>製品区分</t>
    <phoneticPr fontId="2"/>
  </si>
  <si>
    <t>INNER JOIN VD見積シートM AS MSM ON MH.見積番号 = MSM.見積番号</t>
    <phoneticPr fontId="2"/>
  </si>
  <si>
    <t>LEFT JOIN TM担当者 AS MT ON MH.担当者CD = MT.担当者CD</t>
    <phoneticPr fontId="2"/>
  </si>
  <si>
    <t>WHERE</t>
    <phoneticPr fontId="2"/>
  </si>
  <si>
    <t>MH.見積番号 = 画面.見積番号</t>
    <rPh sb="10" eb="12">
      <t>ガメン</t>
    </rPh>
    <phoneticPr fontId="2"/>
  </si>
  <si>
    <t>AND (</t>
    <phoneticPr fontId="2"/>
  </si>
  <si>
    <t>(MSM.見積区分 IN ('''',''1'',''2'',''3'',''4'',''5'',''6'',''7'',''8'',''9'')</t>
    <phoneticPr fontId="2"/>
  </si>
  <si>
    <t>AND NOT (MSM.総数量 = 0 AND MSM.社内在庫数 = 0 AND MSM.客先在庫数 = 0 AND MSM.転用数 = 0))</t>
    <phoneticPr fontId="2"/>
  </si>
  <si>
    <t>OR</t>
    <phoneticPr fontId="2"/>
  </si>
  <si>
    <t>(MSM.見積区分 IN (''A'')</t>
    <phoneticPr fontId="2"/>
  </si>
  <si>
    <t>)</t>
    <phoneticPr fontId="2"/>
  </si>
  <si>
    <t>(MSM.見積区分 IN (''C'',''S'')</t>
    <phoneticPr fontId="2"/>
  </si>
  <si>
    <t>ORDER BY MH.見積番号,MSM.行番号 昇順でソート</t>
    <rPh sb="25" eb="27">
      <t>ショウジュン</t>
    </rPh>
    <phoneticPr fontId="2"/>
  </si>
  <si>
    <t>AND NOT ( (SQL11) = 0</t>
    <phoneticPr fontId="2"/>
  </si>
  <si>
    <t>AND (SQL12) = 0</t>
    <phoneticPr fontId="2"/>
  </si>
  <si>
    <t>AND (SQL13) = 0</t>
    <phoneticPr fontId="2"/>
  </si>
  <si>
    <t>AND (SQL14) = 0</t>
    <phoneticPr fontId="2"/>
  </si>
  <si>
    <t>AND NOT ( (SQL7) = 0</t>
    <phoneticPr fontId="2"/>
  </si>
  <si>
    <t>AND (SQL8) = 0</t>
    <phoneticPr fontId="2"/>
  </si>
  <si>
    <t>AND (SQL9) = 0</t>
    <phoneticPr fontId="2"/>
  </si>
  <si>
    <t>AND (SQL10) = 0</t>
    <phoneticPr fontId="2"/>
  </si>
  <si>
    <t>見積番号</t>
    <phoneticPr fontId="2"/>
  </si>
  <si>
    <t>見積件名</t>
  </si>
  <si>
    <t>得意先名1</t>
  </si>
  <si>
    <t>得意先名2</t>
  </si>
  <si>
    <t>現場名</t>
  </si>
  <si>
    <t>担当者名</t>
    <phoneticPr fontId="2"/>
  </si>
  <si>
    <t>行番号</t>
  </si>
  <si>
    <t>SP区分</t>
  </si>
  <si>
    <t>PC区分</t>
  </si>
  <si>
    <t>製品NO</t>
  </si>
  <si>
    <t>仕様NO</t>
  </si>
  <si>
    <t>漢字名称</t>
  </si>
  <si>
    <t>W</t>
  </si>
  <si>
    <t>D</t>
  </si>
  <si>
    <t>H</t>
  </si>
  <si>
    <t>D1</t>
  </si>
  <si>
    <t>D2</t>
  </si>
  <si>
    <t>H1</t>
  </si>
  <si>
    <t>H2</t>
  </si>
  <si>
    <t>発注調整数</t>
  </si>
  <si>
    <t>発注数</t>
  </si>
  <si>
    <t>単位名</t>
  </si>
  <si>
    <t>仕入先CD</t>
  </si>
  <si>
    <t>仕入先名</t>
  </si>
  <si>
    <t>配送先CD</t>
  </si>
  <si>
    <t>配送先名</t>
  </si>
  <si>
    <t>明細備考</t>
  </si>
  <si>
    <t>見積区分</t>
  </si>
  <si>
    <t>FROM TD見積 AS MH</t>
    <phoneticPr fontId="2"/>
  </si>
  <si>
    <t>TD見積.得意先名1</t>
  </si>
  <si>
    <t>TD見積.得意先名2</t>
  </si>
  <si>
    <t>TD見積.現場名</t>
  </si>
  <si>
    <t>TD見積.製品区分</t>
  </si>
  <si>
    <t>TM担当者.担当者名</t>
    <phoneticPr fontId="2"/>
  </si>
  <si>
    <t>VD見積シートM.行番号</t>
  </si>
  <si>
    <t>VD見積シートM.SP区分</t>
  </si>
  <si>
    <t>VD見積シートM.PC区分</t>
  </si>
  <si>
    <t>VD見積シートM.製品NO</t>
  </si>
  <si>
    <t>VD見積シートM.仕様NO</t>
  </si>
  <si>
    <t>VD見積シートM.漢字名称</t>
  </si>
  <si>
    <t>VD見積シートM.W</t>
  </si>
  <si>
    <t>VD見積シートM.D</t>
  </si>
  <si>
    <t>VD見積シートM.H</t>
  </si>
  <si>
    <t>VD見積シートM.D1</t>
  </si>
  <si>
    <t>VD見積シートM.D2</t>
  </si>
  <si>
    <t>VD見積シートM.H1</t>
  </si>
  <si>
    <t>VD見積シートM.H2</t>
  </si>
  <si>
    <t>VD見積シートM.総数量</t>
  </si>
  <si>
    <t>VD見積シートM.社内在庫数</t>
  </si>
  <si>
    <t>VD見積シートM.転用数</t>
  </si>
  <si>
    <t>VD見積シートM.発注調整数</t>
  </si>
  <si>
    <t>VD見積シートM.発注数</t>
  </si>
  <si>
    <t>VD見積シートM.単位名</t>
  </si>
  <si>
    <t>VD見積シートM.仕入先CD</t>
  </si>
  <si>
    <t>VD見積シートM.仕入先名</t>
  </si>
  <si>
    <t>VD見積シートM.配送先CD</t>
  </si>
  <si>
    <t>VD見積シートM.配送先名</t>
  </si>
  <si>
    <t>VD見積シートM.明細備考</t>
  </si>
  <si>
    <t>VD見積シートM.見積区分</t>
  </si>
  <si>
    <t>処理詳細</t>
    <rPh sb="0" eb="4">
      <t>ショリショウサイ</t>
    </rPh>
    <phoneticPr fontId="2"/>
  </si>
  <si>
    <t>usp_MT0400部材リスト出力_展開_3150が存在しないため連携依頼中</t>
    <rPh sb="26" eb="28">
      <t>ソンザイ</t>
    </rPh>
    <rPh sb="33" eb="38">
      <t>レンケイイライチュウ</t>
    </rPh>
    <phoneticPr fontId="2"/>
  </si>
  <si>
    <t>ストアド連携待ち</t>
    <rPh sb="4" eb="6">
      <t>レンケイ</t>
    </rPh>
    <rPh sb="6" eb="7">
      <t>マ</t>
    </rPh>
    <phoneticPr fontId="2"/>
  </si>
  <si>
    <t>SQL16</t>
    <phoneticPr fontId="2"/>
  </si>
  <si>
    <t>insert</t>
    <phoneticPr fontId="2"/>
  </si>
  <si>
    <t>ListName</t>
    <phoneticPr fontId="2"/>
  </si>
  <si>
    <t>FROM TW見積出力履歴</t>
    <phoneticPr fontId="2"/>
  </si>
  <si>
    <t>FROM TW見積出力履歴.ListName</t>
    <phoneticPr fontId="2"/>
  </si>
  <si>
    <t>WHERE ListName = "部材リスト"</t>
    <rPh sb="18" eb="20">
      <t>ブザイ</t>
    </rPh>
    <phoneticPr fontId="2"/>
  </si>
  <si>
    <t>AND Number = 画面.見積番号</t>
    <phoneticPr fontId="2"/>
  </si>
  <si>
    <t>SQL17</t>
    <phoneticPr fontId="2"/>
  </si>
  <si>
    <t>"部材リスト"</t>
    <rPh sb="1" eb="3">
      <t>ブザイ</t>
    </rPh>
    <phoneticPr fontId="2"/>
  </si>
  <si>
    <t>Number</t>
    <phoneticPr fontId="2"/>
  </si>
  <si>
    <t>画面.見積番号</t>
    <rPh sb="0" eb="2">
      <t>ガメン</t>
    </rPh>
    <rPh sb="3" eb="7">
      <t>ミツモリバンゴウ</t>
    </rPh>
    <phoneticPr fontId="2"/>
  </si>
  <si>
    <t>PCName</t>
    <phoneticPr fontId="2"/>
  </si>
  <si>
    <t>PCName　コンピュータ名</t>
    <phoneticPr fontId="2"/>
  </si>
  <si>
    <t>CreateDate</t>
    <phoneticPr fontId="2"/>
  </si>
  <si>
    <t>当日日付</t>
    <rPh sb="0" eb="4">
      <t>トウジツヒヅケ</t>
    </rPh>
    <phoneticPr fontId="2"/>
  </si>
  <si>
    <t>SQL16が存在しない場合実行</t>
    <rPh sb="5" eb="7">
      <t>ソンザイ</t>
    </rPh>
    <rPh sb="11" eb="13">
      <t>バアイ</t>
    </rPh>
    <rPh sb="13" eb="15">
      <t>ジッコウ</t>
    </rPh>
    <phoneticPr fontId="2"/>
  </si>
  <si>
    <t>SQL18</t>
    <phoneticPr fontId="2"/>
  </si>
  <si>
    <t>update</t>
    <phoneticPr fontId="2"/>
  </si>
  <si>
    <t>TW見積出力履歴</t>
    <phoneticPr fontId="2"/>
  </si>
  <si>
    <t>set</t>
    <phoneticPr fontId="2"/>
  </si>
  <si>
    <t>当日日付</t>
    <phoneticPr fontId="2"/>
  </si>
  <si>
    <t>SQL16が存在する場合実行</t>
    <rPh sb="5" eb="7">
      <t>ソンザイ</t>
    </rPh>
    <rPh sb="10" eb="12">
      <t>バアイ</t>
    </rPh>
    <rPh sb="12" eb="14">
      <t>ジッコウ</t>
    </rPh>
    <phoneticPr fontId="2"/>
  </si>
  <si>
    <t>A3横</t>
    <rPh sb="2" eb="3">
      <t>ヨコ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</si>
  <si>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</si>
  <si>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</si>
  <si>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</si>
  <si>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</si>
  <si>
    <t>不要になった</t>
    <rPh sb="0" eb="2">
      <t>フヨウ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</si>
</sst>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_ "/>
    <numFmt numFmtId="177" formatCode="0_ "/>
    <numFmt numFmtId="178" formatCode="#"/>
    <numFmt numFmtId="179" formatCode="#,##0.00;[Red]\-#,##0.00;"/>
  </numFmts>
  <fonts count="1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18"/>
      <name val="ＭＳ Ｐゴシック"/>
      <family val="3"/>
      <charset val="128"/>
    </font>
    <font>
      <sz val="18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7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8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8" fillId="2" borderId="14" xfId="0" applyFont="1" applyFill="1" applyBorder="1">
      <alignment vertical="center"/>
    </xf>
    <xf numFmtId="0" fontId="4" fillId="0" borderId="0" xfId="1"/>
    <xf numFmtId="0" fontId="9" fillId="0" borderId="0" xfId="1" applyFont="1"/>
    <xf numFmtId="0" fontId="10" fillId="0" borderId="0" xfId="1" applyFont="1"/>
    <xf numFmtId="177" fontId="11" fillId="0" borderId="1" xfId="1" applyNumberFormat="1" applyFont="1" applyBorder="1" applyAlignment="1">
      <alignment vertical="center"/>
    </xf>
    <xf numFmtId="0" fontId="11" fillId="0" borderId="1" xfId="1" applyFont="1" applyBorder="1" applyAlignment="1">
      <alignment horizontal="center" vertical="center"/>
    </xf>
    <xf numFmtId="49" fontId="11" fillId="0" borderId="5" xfId="1" applyNumberFormat="1" applyFont="1" applyBorder="1" applyAlignment="1">
      <alignment vertical="center"/>
    </xf>
    <xf numFmtId="0" fontId="4" fillId="0" borderId="6" xfId="1" applyBorder="1" applyAlignment="1">
      <alignment vertical="center"/>
    </xf>
    <xf numFmtId="0" fontId="4" fillId="0" borderId="7" xfId="1" applyBorder="1" applyAlignment="1">
      <alignment vertical="center"/>
    </xf>
    <xf numFmtId="0" fontId="11" fillId="0" borderId="6" xfId="1" applyFont="1" applyBorder="1" applyAlignment="1">
      <alignment vertical="center"/>
    </xf>
    <xf numFmtId="0" fontId="11" fillId="0" borderId="7" xfId="1" applyFont="1" applyBorder="1" applyAlignment="1">
      <alignment vertical="center"/>
    </xf>
    <xf numFmtId="31" fontId="4" fillId="0" borderId="7" xfId="1" applyNumberFormat="1" applyBorder="1" applyAlignment="1">
      <alignment horizontal="right" vertical="center"/>
    </xf>
    <xf numFmtId="49" fontId="4" fillId="0" borderId="7" xfId="1" applyNumberFormat="1" applyBorder="1" applyAlignment="1">
      <alignment vertical="center"/>
    </xf>
    <xf numFmtId="0" fontId="14" fillId="0" borderId="41" xfId="1" applyFont="1" applyBorder="1" applyAlignment="1">
      <alignment horizontal="center"/>
    </xf>
    <xf numFmtId="0" fontId="13" fillId="0" borderId="41" xfId="1" applyFont="1" applyBorder="1" applyAlignment="1">
      <alignment horizontal="center" wrapText="1"/>
    </xf>
    <xf numFmtId="0" fontId="13" fillId="0" borderId="41" xfId="1" applyFont="1" applyBorder="1" applyAlignment="1">
      <alignment horizontal="center"/>
    </xf>
    <xf numFmtId="0" fontId="13" fillId="0" borderId="42" xfId="1" applyFont="1" applyBorder="1" applyAlignment="1">
      <alignment horizontal="center"/>
    </xf>
    <xf numFmtId="0" fontId="13" fillId="0" borderId="43" xfId="1" applyFont="1" applyBorder="1" applyAlignment="1">
      <alignment horizontal="center"/>
    </xf>
    <xf numFmtId="0" fontId="14" fillId="0" borderId="44" xfId="1" applyFont="1" applyBorder="1" applyAlignment="1">
      <alignment horizontal="center" wrapText="1"/>
    </xf>
    <xf numFmtId="0" fontId="14" fillId="0" borderId="41" xfId="1" applyFont="1" applyBorder="1" applyAlignment="1">
      <alignment horizontal="center" wrapText="1"/>
    </xf>
    <xf numFmtId="49" fontId="14" fillId="0" borderId="41" xfId="1" applyNumberFormat="1" applyFont="1" applyBorder="1" applyAlignment="1">
      <alignment horizontal="center" wrapText="1"/>
    </xf>
    <xf numFmtId="49" fontId="14" fillId="0" borderId="41" xfId="1" applyNumberFormat="1" applyFont="1" applyBorder="1" applyAlignment="1">
      <alignment horizontal="center"/>
    </xf>
    <xf numFmtId="0" fontId="14" fillId="0" borderId="0" xfId="1" applyFont="1"/>
    <xf numFmtId="177" fontId="13" fillId="0" borderId="9" xfId="1" applyNumberFormat="1" applyFont="1" applyBorder="1"/>
    <xf numFmtId="49" fontId="13" fillId="0" borderId="9" xfId="1" applyNumberFormat="1" applyFont="1" applyBorder="1" applyAlignment="1">
      <alignment horizontal="center"/>
    </xf>
    <xf numFmtId="49" fontId="13" fillId="0" borderId="9" xfId="1" applyNumberFormat="1" applyFont="1" applyBorder="1"/>
    <xf numFmtId="49" fontId="13" fillId="0" borderId="8" xfId="1" applyNumberFormat="1" applyFont="1" applyBorder="1" applyAlignment="1">
      <alignment shrinkToFit="1"/>
    </xf>
    <xf numFmtId="178" fontId="13" fillId="0" borderId="9" xfId="1" applyNumberFormat="1" applyFont="1" applyBorder="1" applyAlignment="1">
      <alignment shrinkToFit="1"/>
    </xf>
    <xf numFmtId="49" fontId="13" fillId="0" borderId="9" xfId="1" applyNumberFormat="1" applyFont="1" applyBorder="1" applyAlignment="1">
      <alignment horizontal="right" shrinkToFit="1"/>
    </xf>
    <xf numFmtId="49" fontId="13" fillId="0" borderId="10" xfId="1" applyNumberFormat="1" applyFont="1" applyBorder="1" applyAlignment="1">
      <alignment horizontal="right" shrinkToFit="1"/>
    </xf>
    <xf numFmtId="49" fontId="13" fillId="0" borderId="10" xfId="1" applyNumberFormat="1" applyFont="1" applyBorder="1" applyAlignment="1">
      <alignment horizontal="right" wrapText="1" shrinkToFit="1"/>
    </xf>
    <xf numFmtId="49" fontId="13" fillId="0" borderId="10" xfId="1" applyNumberFormat="1" applyFont="1" applyBorder="1" applyAlignment="1">
      <alignment shrinkToFit="1"/>
    </xf>
    <xf numFmtId="49" fontId="13" fillId="0" borderId="45" xfId="1" applyNumberFormat="1" applyFont="1" applyBorder="1" applyAlignment="1">
      <alignment shrinkToFit="1"/>
    </xf>
    <xf numFmtId="40" fontId="13" fillId="0" borderId="8" xfId="1" applyNumberFormat="1" applyFont="1" applyBorder="1" applyAlignment="1">
      <alignment shrinkToFit="1"/>
    </xf>
    <xf numFmtId="40" fontId="13" fillId="0" borderId="9" xfId="1" applyNumberFormat="1" applyFont="1" applyBorder="1" applyAlignment="1">
      <alignment shrinkToFit="1"/>
    </xf>
    <xf numFmtId="179" fontId="13" fillId="0" borderId="9" xfId="1" applyNumberFormat="1" applyFont="1" applyBorder="1" applyAlignment="1">
      <alignment shrinkToFit="1"/>
    </xf>
    <xf numFmtId="0" fontId="3" fillId="2" borderId="60" xfId="0" applyFont="1" applyFill="1" applyBorder="1" applyAlignment="1">
      <alignment horizontal="left"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63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3" fillId="2" borderId="67" xfId="0" applyFont="1" applyFill="1" applyBorder="1">
      <alignment vertical="center"/>
    </xf>
    <xf numFmtId="0" fontId="3" fillId="2" borderId="67" xfId="0" quotePrefix="1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16" fillId="2" borderId="2" xfId="0" applyFont="1" applyFill="1" applyBorder="1">
      <alignment vertical="center"/>
    </xf>
    <xf numFmtId="0" fontId="16" fillId="2" borderId="67" xfId="0" applyFont="1" applyFill="1" applyBorder="1">
      <alignment vertical="center"/>
    </xf>
    <xf numFmtId="0" fontId="15" fillId="2" borderId="0" xfId="0" applyFont="1" applyFill="1" applyBorder="1">
      <alignment vertical="center"/>
    </xf>
    <xf numFmtId="0" fontId="15" fillId="2" borderId="0" xfId="0" applyFont="1" applyFill="1" applyBorder="1" applyAlignment="1">
      <alignment horizontal="center" vertical="center"/>
    </xf>
    <xf numFmtId="0" fontId="15" fillId="2" borderId="67" xfId="0" applyFont="1" applyFill="1" applyBorder="1">
      <alignment vertical="center"/>
    </xf>
    <xf numFmtId="0" fontId="15" fillId="2" borderId="67" xfId="0" quotePrefix="1" applyFont="1" applyFill="1" applyBorder="1">
      <alignment vertical="center"/>
    </xf>
    <xf numFmtId="0" fontId="3" fillId="2" borderId="67" xfId="0" quotePrefix="1" applyFont="1" applyFill="1" applyBorder="1" applyAlignment="1">
      <alignment vertical="center"/>
    </xf>
    <xf numFmtId="0" fontId="3" fillId="2" borderId="72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6" xfId="0" applyFont="1" applyFill="1" applyBorder="1">
      <alignment vertical="center"/>
    </xf>
    <xf numFmtId="0" fontId="3" fillId="2" borderId="73" xfId="0" applyFont="1" applyFill="1" applyBorder="1">
      <alignment vertical="center"/>
    </xf>
    <xf numFmtId="0" fontId="15" fillId="2" borderId="0" xfId="0" applyFont="1" applyFill="1">
      <alignment vertical="center"/>
    </xf>
    <xf numFmtId="0" fontId="3" fillId="2" borderId="48" xfId="0" applyFont="1" applyFill="1" applyBorder="1">
      <alignment vertical="center"/>
    </xf>
    <xf numFmtId="0" fontId="3" fillId="2" borderId="49" xfId="0" applyFont="1" applyFill="1" applyBorder="1">
      <alignment vertical="center"/>
    </xf>
    <xf numFmtId="0" fontId="3" fillId="2" borderId="50" xfId="0" applyFont="1" applyFill="1" applyBorder="1">
      <alignment vertical="center"/>
    </xf>
    <xf numFmtId="0" fontId="3" fillId="2" borderId="65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15" fillId="2" borderId="48" xfId="0" applyFont="1" applyFill="1" applyBorder="1">
      <alignment vertical="center"/>
    </xf>
    <xf numFmtId="0" fontId="3" fillId="2" borderId="8" xfId="0" applyFont="1" applyFill="1" applyBorder="1">
      <alignment vertical="center"/>
    </xf>
    <xf numFmtId="31" fontId="4" fillId="0" borderId="7" xfId="1" applyNumberFormat="1" applyBorder="1" applyAlignment="1">
      <alignment horizontal="right" vertical="center"/>
    </xf>
    <xf numFmtId="0" fontId="4" fillId="0" borderId="7" xfId="1" applyBorder="1" applyAlignment="1">
      <alignment vertical="center"/>
    </xf>
    <xf numFmtId="0" fontId="11" fillId="0" borderId="5" xfId="1" applyFont="1" applyBorder="1" applyAlignment="1">
      <alignment horizontal="center" vertical="center"/>
    </xf>
    <xf numFmtId="0" fontId="11" fillId="0" borderId="5" xfId="1" applyFont="1" applyBorder="1" applyAlignment="1">
      <alignment vertical="center"/>
    </xf>
    <xf numFmtId="49" fontId="11" fillId="0" borderId="6" xfId="1" applyNumberFormat="1" applyFont="1" applyBorder="1" applyAlignment="1">
      <alignment vertical="center"/>
    </xf>
    <xf numFmtId="0" fontId="4" fillId="0" borderId="5" xfId="1" applyBorder="1" applyAlignment="1">
      <alignment vertical="center"/>
    </xf>
    <xf numFmtId="0" fontId="3" fillId="6" borderId="20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left" vertical="center"/>
    </xf>
    <xf numFmtId="0" fontId="1" fillId="6" borderId="6" xfId="0" applyFont="1" applyFill="1" applyBorder="1" applyAlignment="1">
      <alignment horizontal="left" vertical="center"/>
    </xf>
    <xf numFmtId="0" fontId="1" fillId="6" borderId="7" xfId="0" applyFont="1" applyFill="1" applyBorder="1" applyAlignment="1">
      <alignment horizontal="left" vertical="center"/>
    </xf>
    <xf numFmtId="49" fontId="13" fillId="0" borderId="70" xfId="1" applyNumberFormat="1" applyFont="1" applyBorder="1" applyAlignment="1">
      <alignment shrinkToFit="1"/>
    </xf>
    <xf numFmtId="49" fontId="13" fillId="0" borderId="74" xfId="1" applyNumberFormat="1" applyFont="1" applyBorder="1" applyAlignment="1">
      <alignment shrinkToFit="1"/>
    </xf>
    <xf numFmtId="0" fontId="3" fillId="5" borderId="17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0" fontId="3" fillId="2" borderId="48" xfId="0" quotePrefix="1" applyFont="1" applyFill="1" applyBorder="1">
      <alignment vertical="center"/>
    </xf>
    <xf numFmtId="0" fontId="3" fillId="2" borderId="5" xfId="0" quotePrefix="1" applyFont="1" applyFill="1" applyBorder="1">
      <alignment vertical="center"/>
    </xf>
    <xf numFmtId="0" fontId="3" fillId="2" borderId="61" xfId="0" quotePrefix="1" applyFont="1" applyFill="1" applyBorder="1">
      <alignment vertical="center"/>
    </xf>
    <xf numFmtId="0" fontId="3" fillId="2" borderId="0" xfId="0" quotePrefix="1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6" borderId="5" xfId="0" applyFont="1" applyFill="1" applyBorder="1" applyAlignment="1">
      <alignment horizontal="center" vertical="center" shrinkToFit="1"/>
    </xf>
    <xf numFmtId="0" fontId="3" fillId="6" borderId="6" xfId="0" applyFont="1" applyFill="1" applyBorder="1" applyAlignment="1">
      <alignment horizontal="center" vertical="center" shrinkToFit="1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left" vertical="center"/>
    </xf>
    <xf numFmtId="0" fontId="3" fillId="7" borderId="6" xfId="0" applyFont="1" applyFill="1" applyBorder="1" applyAlignment="1">
      <alignment horizontal="left" vertical="center"/>
    </xf>
    <xf numFmtId="0" fontId="3" fillId="7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left" vertical="center"/>
    </xf>
    <xf numFmtId="0" fontId="8" fillId="7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1" fillId="7" borderId="6" xfId="0" applyFont="1" applyFill="1" applyBorder="1" applyAlignment="1">
      <alignment horizontal="left" vertical="center"/>
    </xf>
    <xf numFmtId="0" fontId="1" fillId="7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14" fontId="3" fillId="2" borderId="55" xfId="0" applyNumberFormat="1" applyFont="1" applyFill="1" applyBorder="1" applyAlignment="1">
      <alignment horizontal="center" vertical="center" shrinkToFit="1"/>
    </xf>
    <xf numFmtId="0" fontId="3" fillId="2" borderId="55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2" borderId="59" xfId="0" applyFont="1" applyFill="1" applyBorder="1" applyAlignment="1">
      <alignment horizontal="center" vertical="center" shrinkToFit="1"/>
    </xf>
    <xf numFmtId="0" fontId="3" fillId="3" borderId="47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 shrinkToFit="1"/>
    </xf>
    <xf numFmtId="0" fontId="3" fillId="2" borderId="57" xfId="0" applyFont="1" applyFill="1" applyBorder="1" applyAlignment="1">
      <alignment horizontal="center" vertical="center" shrinkToFit="1"/>
    </xf>
    <xf numFmtId="0" fontId="3" fillId="2" borderId="58" xfId="0" applyFont="1" applyFill="1" applyBorder="1" applyAlignment="1">
      <alignment horizontal="center" vertical="center" shrinkToFit="1"/>
    </xf>
    <xf numFmtId="0" fontId="3" fillId="3" borderId="46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11" fillId="0" borderId="5" xfId="1" applyFont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31" fontId="13" fillId="0" borderId="5" xfId="1" applyNumberFormat="1" applyFont="1" applyBorder="1" applyAlignment="1">
      <alignment horizontal="right" vertical="center"/>
    </xf>
    <xf numFmtId="31" fontId="4" fillId="0" borderId="6" xfId="1" applyNumberFormat="1" applyBorder="1" applyAlignment="1">
      <alignment horizontal="right" vertical="center"/>
    </xf>
    <xf numFmtId="31" fontId="4" fillId="0" borderId="7" xfId="1" applyNumberFormat="1" applyBorder="1" applyAlignment="1">
      <alignment horizontal="right" vertical="center"/>
    </xf>
    <xf numFmtId="49" fontId="13" fillId="0" borderId="5" xfId="1" applyNumberFormat="1" applyFont="1" applyBorder="1" applyAlignment="1">
      <alignment vertical="center"/>
    </xf>
    <xf numFmtId="0" fontId="4" fillId="0" borderId="6" xfId="1" applyBorder="1" applyAlignment="1">
      <alignment vertical="center"/>
    </xf>
    <xf numFmtId="0" fontId="4" fillId="0" borderId="7" xfId="1" applyBorder="1" applyAlignment="1">
      <alignment vertical="center"/>
    </xf>
    <xf numFmtId="0" fontId="13" fillId="0" borderId="42" xfId="1" applyFont="1" applyBorder="1" applyAlignment="1">
      <alignment horizontal="center"/>
    </xf>
    <xf numFmtId="0" fontId="13" fillId="0" borderId="44" xfId="1" applyFont="1" applyBorder="1" applyAlignment="1">
      <alignment horizontal="center"/>
    </xf>
    <xf numFmtId="0" fontId="4" fillId="0" borderId="5" xfId="1" applyBorder="1" applyAlignment="1">
      <alignment horizontal="center" vertical="center"/>
    </xf>
    <xf numFmtId="0" fontId="4" fillId="0" borderId="6" xfId="1" applyBorder="1" applyAlignment="1">
      <alignment horizontal="center" vertical="center"/>
    </xf>
  </cellXfs>
  <cellStyles count="2">
    <cellStyle name="標準" xfId="0" builtinId="0"/>
    <cellStyle name="標準 2 2" xfId="1"/>
  </cellStyles>
  <dxfs count="4">
    <dxf>
      <fill>
        <patternFill>
          <bgColor indexed="47"/>
        </patternFill>
      </fill>
    </dxf>
    <dxf>
      <fill>
        <patternFill>
          <bgColor rgb="FFFFCC99"/>
        </patternFill>
      </fill>
    </dxf>
    <dxf>
      <fill>
        <patternFill>
          <bgColor indexed="47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89649</xdr:colOff>
      <xdr:row>6</xdr:row>
      <xdr:rowOff>80684</xdr:rowOff>
    </xdr:from>
    <xdr:to>
      <xdr:col>64</xdr:col>
      <xdr:colOff>183012</xdr:colOff>
      <xdr:row>42</xdr:row>
      <xdr:rowOff>242048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331" y="1210237"/>
          <a:ext cx="17601434" cy="9197787"/>
        </a:xfrm>
        <a:prstGeom prst="rect">
          <a:avLst/>
        </a:prstGeom>
      </xdr:spPr>
    </xdr:pic>
    <xdr:clientData/>
  </xdr:twoCellAnchor>
  <xdr:twoCellAnchor>
    <xdr:from>
      <xdr:col>7</xdr:col>
      <xdr:colOff>80682</xdr:colOff>
      <xdr:row>9</xdr:row>
      <xdr:rowOff>206191</xdr:rowOff>
    </xdr:from>
    <xdr:to>
      <xdr:col>8</xdr:col>
      <xdr:colOff>89647</xdr:colOff>
      <xdr:row>10</xdr:row>
      <xdr:rowOff>224119</xdr:rowOff>
    </xdr:to>
    <xdr:sp macro="" textlink="">
      <xdr:nvSpPr>
        <xdr:cNvPr id="3" name="正方形/長方形 2"/>
        <xdr:cNvSpPr/>
      </xdr:nvSpPr>
      <xdr:spPr>
        <a:xfrm>
          <a:off x="1828800" y="2088779"/>
          <a:ext cx="286871" cy="26894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44824</xdr:colOff>
      <xdr:row>9</xdr:row>
      <xdr:rowOff>215155</xdr:rowOff>
    </xdr:from>
    <xdr:to>
      <xdr:col>15</xdr:col>
      <xdr:colOff>35860</xdr:colOff>
      <xdr:row>10</xdr:row>
      <xdr:rowOff>233082</xdr:rowOff>
    </xdr:to>
    <xdr:sp macro="" textlink="">
      <xdr:nvSpPr>
        <xdr:cNvPr id="5" name="正方形/長方形 4"/>
        <xdr:cNvSpPr/>
      </xdr:nvSpPr>
      <xdr:spPr>
        <a:xfrm>
          <a:off x="3738283" y="2097743"/>
          <a:ext cx="268942" cy="26893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80682</xdr:colOff>
      <xdr:row>10</xdr:row>
      <xdr:rowOff>233085</xdr:rowOff>
    </xdr:from>
    <xdr:to>
      <xdr:col>8</xdr:col>
      <xdr:colOff>89647</xdr:colOff>
      <xdr:row>12</xdr:row>
      <xdr:rowOff>1</xdr:rowOff>
    </xdr:to>
    <xdr:sp macro="" textlink="">
      <xdr:nvSpPr>
        <xdr:cNvPr id="6" name="正方形/長方形 5"/>
        <xdr:cNvSpPr/>
      </xdr:nvSpPr>
      <xdr:spPr>
        <a:xfrm>
          <a:off x="1828800" y="2366685"/>
          <a:ext cx="286871" cy="26894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29</xdr:col>
      <xdr:colOff>188259</xdr:colOff>
      <xdr:row>10</xdr:row>
      <xdr:rowOff>233085</xdr:rowOff>
    </xdr:from>
    <xdr:to>
      <xdr:col>30</xdr:col>
      <xdr:colOff>197224</xdr:colOff>
      <xdr:row>12</xdr:row>
      <xdr:rowOff>1</xdr:rowOff>
    </xdr:to>
    <xdr:sp macro="" textlink="">
      <xdr:nvSpPr>
        <xdr:cNvPr id="7" name="正方形/長方形 6"/>
        <xdr:cNvSpPr/>
      </xdr:nvSpPr>
      <xdr:spPr>
        <a:xfrm>
          <a:off x="8050306" y="2366685"/>
          <a:ext cx="286871" cy="26894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71717</xdr:colOff>
      <xdr:row>12</xdr:row>
      <xdr:rowOff>3</xdr:rowOff>
    </xdr:from>
    <xdr:to>
      <xdr:col>8</xdr:col>
      <xdr:colOff>89647</xdr:colOff>
      <xdr:row>13</xdr:row>
      <xdr:rowOff>26894</xdr:rowOff>
    </xdr:to>
    <xdr:sp macro="" textlink="">
      <xdr:nvSpPr>
        <xdr:cNvPr id="8" name="正方形/長方形 7"/>
        <xdr:cNvSpPr/>
      </xdr:nvSpPr>
      <xdr:spPr>
        <a:xfrm>
          <a:off x="1819835" y="2635627"/>
          <a:ext cx="295836" cy="27790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29</xdr:col>
      <xdr:colOff>179294</xdr:colOff>
      <xdr:row>12</xdr:row>
      <xdr:rowOff>8968</xdr:rowOff>
    </xdr:from>
    <xdr:to>
      <xdr:col>30</xdr:col>
      <xdr:colOff>197224</xdr:colOff>
      <xdr:row>13</xdr:row>
      <xdr:rowOff>35859</xdr:rowOff>
    </xdr:to>
    <xdr:sp macro="" textlink="">
      <xdr:nvSpPr>
        <xdr:cNvPr id="9" name="正方形/長方形 8"/>
        <xdr:cNvSpPr/>
      </xdr:nvSpPr>
      <xdr:spPr>
        <a:xfrm>
          <a:off x="8041341" y="2644592"/>
          <a:ext cx="295836" cy="27790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</xdr:col>
      <xdr:colOff>71718</xdr:colOff>
      <xdr:row>16</xdr:row>
      <xdr:rowOff>125509</xdr:rowOff>
    </xdr:from>
    <xdr:to>
      <xdr:col>3</xdr:col>
      <xdr:colOff>89648</xdr:colOff>
      <xdr:row>17</xdr:row>
      <xdr:rowOff>152400</xdr:rowOff>
    </xdr:to>
    <xdr:sp macro="" textlink="">
      <xdr:nvSpPr>
        <xdr:cNvPr id="10" name="正方形/長方形 9"/>
        <xdr:cNvSpPr/>
      </xdr:nvSpPr>
      <xdr:spPr>
        <a:xfrm>
          <a:off x="430306" y="3765180"/>
          <a:ext cx="295836" cy="27790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</xdr:col>
      <xdr:colOff>268941</xdr:colOff>
      <xdr:row>16</xdr:row>
      <xdr:rowOff>125508</xdr:rowOff>
    </xdr:from>
    <xdr:to>
      <xdr:col>5</xdr:col>
      <xdr:colOff>8965</xdr:colOff>
      <xdr:row>17</xdr:row>
      <xdr:rowOff>152399</xdr:rowOff>
    </xdr:to>
    <xdr:sp macro="" textlink="">
      <xdr:nvSpPr>
        <xdr:cNvPr id="11" name="正方形/長方形 10"/>
        <xdr:cNvSpPr/>
      </xdr:nvSpPr>
      <xdr:spPr>
        <a:xfrm>
          <a:off x="905435" y="3765179"/>
          <a:ext cx="295836" cy="27790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152400</xdr:colOff>
      <xdr:row>16</xdr:row>
      <xdr:rowOff>125507</xdr:rowOff>
    </xdr:from>
    <xdr:to>
      <xdr:col>6</xdr:col>
      <xdr:colOff>170330</xdr:colOff>
      <xdr:row>17</xdr:row>
      <xdr:rowOff>152398</xdr:rowOff>
    </xdr:to>
    <xdr:sp macro="" textlink="">
      <xdr:nvSpPr>
        <xdr:cNvPr id="12" name="正方形/長方形 11"/>
        <xdr:cNvSpPr/>
      </xdr:nvSpPr>
      <xdr:spPr>
        <a:xfrm>
          <a:off x="1344706" y="3765178"/>
          <a:ext cx="295836" cy="27790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71716</xdr:colOff>
      <xdr:row>16</xdr:row>
      <xdr:rowOff>125506</xdr:rowOff>
    </xdr:from>
    <xdr:to>
      <xdr:col>8</xdr:col>
      <xdr:colOff>134469</xdr:colOff>
      <xdr:row>17</xdr:row>
      <xdr:rowOff>161364</xdr:rowOff>
    </xdr:to>
    <xdr:sp macro="" textlink="">
      <xdr:nvSpPr>
        <xdr:cNvPr id="13" name="正方形/長方形 12"/>
        <xdr:cNvSpPr/>
      </xdr:nvSpPr>
      <xdr:spPr>
        <a:xfrm>
          <a:off x="1819834" y="3765177"/>
          <a:ext cx="340659" cy="28686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8963</xdr:colOff>
      <xdr:row>16</xdr:row>
      <xdr:rowOff>125506</xdr:rowOff>
    </xdr:from>
    <xdr:to>
      <xdr:col>12</xdr:col>
      <xdr:colOff>71716</xdr:colOff>
      <xdr:row>17</xdr:row>
      <xdr:rowOff>161364</xdr:rowOff>
    </xdr:to>
    <xdr:sp macro="" textlink="">
      <xdr:nvSpPr>
        <xdr:cNvPr id="14" name="正方形/長方形 13"/>
        <xdr:cNvSpPr/>
      </xdr:nvSpPr>
      <xdr:spPr>
        <a:xfrm>
          <a:off x="2868704" y="3765177"/>
          <a:ext cx="340659" cy="28686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53787</xdr:colOff>
      <xdr:row>16</xdr:row>
      <xdr:rowOff>134470</xdr:rowOff>
    </xdr:from>
    <xdr:to>
      <xdr:col>15</xdr:col>
      <xdr:colOff>116540</xdr:colOff>
      <xdr:row>17</xdr:row>
      <xdr:rowOff>170328</xdr:rowOff>
    </xdr:to>
    <xdr:sp macro="" textlink="">
      <xdr:nvSpPr>
        <xdr:cNvPr id="15" name="正方形/長方形 14"/>
        <xdr:cNvSpPr/>
      </xdr:nvSpPr>
      <xdr:spPr>
        <a:xfrm>
          <a:off x="3747246" y="3774141"/>
          <a:ext cx="340659" cy="28686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125505</xdr:colOff>
      <xdr:row>16</xdr:row>
      <xdr:rowOff>125505</xdr:rowOff>
    </xdr:from>
    <xdr:to>
      <xdr:col>28</xdr:col>
      <xdr:colOff>188258</xdr:colOff>
      <xdr:row>17</xdr:row>
      <xdr:rowOff>161363</xdr:rowOff>
    </xdr:to>
    <xdr:sp macro="" textlink="">
      <xdr:nvSpPr>
        <xdr:cNvPr id="16" name="正方形/長方形 15"/>
        <xdr:cNvSpPr/>
      </xdr:nvSpPr>
      <xdr:spPr>
        <a:xfrm>
          <a:off x="7431740" y="3765176"/>
          <a:ext cx="340659" cy="28686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29</xdr:col>
      <xdr:colOff>188257</xdr:colOff>
      <xdr:row>16</xdr:row>
      <xdr:rowOff>125505</xdr:rowOff>
    </xdr:from>
    <xdr:to>
      <xdr:col>30</xdr:col>
      <xdr:colOff>251010</xdr:colOff>
      <xdr:row>17</xdr:row>
      <xdr:rowOff>161363</xdr:rowOff>
    </xdr:to>
    <xdr:sp macro="" textlink="">
      <xdr:nvSpPr>
        <xdr:cNvPr id="17" name="正方形/長方形 16"/>
        <xdr:cNvSpPr/>
      </xdr:nvSpPr>
      <xdr:spPr>
        <a:xfrm>
          <a:off x="8050304" y="3765176"/>
          <a:ext cx="340659" cy="28686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268939</xdr:colOff>
      <xdr:row>16</xdr:row>
      <xdr:rowOff>116540</xdr:rowOff>
    </xdr:from>
    <xdr:to>
      <xdr:col>33</xdr:col>
      <xdr:colOff>53786</xdr:colOff>
      <xdr:row>17</xdr:row>
      <xdr:rowOff>152398</xdr:rowOff>
    </xdr:to>
    <xdr:sp macro="" textlink="">
      <xdr:nvSpPr>
        <xdr:cNvPr id="18" name="正方形/長方形 17"/>
        <xdr:cNvSpPr/>
      </xdr:nvSpPr>
      <xdr:spPr>
        <a:xfrm>
          <a:off x="8686798" y="3756211"/>
          <a:ext cx="340659" cy="28686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34</xdr:col>
      <xdr:colOff>35857</xdr:colOff>
      <xdr:row>16</xdr:row>
      <xdr:rowOff>116540</xdr:rowOff>
    </xdr:from>
    <xdr:to>
      <xdr:col>35</xdr:col>
      <xdr:colOff>98610</xdr:colOff>
      <xdr:row>17</xdr:row>
      <xdr:rowOff>152398</xdr:rowOff>
    </xdr:to>
    <xdr:sp macro="" textlink="">
      <xdr:nvSpPr>
        <xdr:cNvPr id="19" name="正方形/長方形 18"/>
        <xdr:cNvSpPr/>
      </xdr:nvSpPr>
      <xdr:spPr>
        <a:xfrm>
          <a:off x="9287433" y="3756211"/>
          <a:ext cx="340659" cy="28686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36</xdr:col>
      <xdr:colOff>98610</xdr:colOff>
      <xdr:row>16</xdr:row>
      <xdr:rowOff>116540</xdr:rowOff>
    </xdr:from>
    <xdr:to>
      <xdr:col>37</xdr:col>
      <xdr:colOff>161363</xdr:colOff>
      <xdr:row>17</xdr:row>
      <xdr:rowOff>152398</xdr:rowOff>
    </xdr:to>
    <xdr:sp macro="" textlink="">
      <xdr:nvSpPr>
        <xdr:cNvPr id="20" name="正方形/長方形 19"/>
        <xdr:cNvSpPr/>
      </xdr:nvSpPr>
      <xdr:spPr>
        <a:xfrm>
          <a:off x="9905998" y="3756211"/>
          <a:ext cx="340659" cy="28686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188257</xdr:colOff>
      <xdr:row>16</xdr:row>
      <xdr:rowOff>107575</xdr:rowOff>
    </xdr:from>
    <xdr:to>
      <xdr:col>40</xdr:col>
      <xdr:colOff>251010</xdr:colOff>
      <xdr:row>17</xdr:row>
      <xdr:rowOff>143433</xdr:rowOff>
    </xdr:to>
    <xdr:sp macro="" textlink="">
      <xdr:nvSpPr>
        <xdr:cNvPr id="21" name="正方形/長方形 20"/>
        <xdr:cNvSpPr/>
      </xdr:nvSpPr>
      <xdr:spPr>
        <a:xfrm>
          <a:off x="10829363" y="3747246"/>
          <a:ext cx="340659" cy="28686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8963</xdr:colOff>
      <xdr:row>16</xdr:row>
      <xdr:rowOff>98610</xdr:rowOff>
    </xdr:from>
    <xdr:to>
      <xdr:col>44</xdr:col>
      <xdr:colOff>71716</xdr:colOff>
      <xdr:row>17</xdr:row>
      <xdr:rowOff>134468</xdr:rowOff>
    </xdr:to>
    <xdr:sp macro="" textlink="">
      <xdr:nvSpPr>
        <xdr:cNvPr id="22" name="正方形/長方形 21"/>
        <xdr:cNvSpPr/>
      </xdr:nvSpPr>
      <xdr:spPr>
        <a:xfrm>
          <a:off x="11761692" y="3738281"/>
          <a:ext cx="340659" cy="28686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46</xdr:col>
      <xdr:colOff>8962</xdr:colOff>
      <xdr:row>16</xdr:row>
      <xdr:rowOff>107575</xdr:rowOff>
    </xdr:from>
    <xdr:to>
      <xdr:col>47</xdr:col>
      <xdr:colOff>71715</xdr:colOff>
      <xdr:row>17</xdr:row>
      <xdr:rowOff>143433</xdr:rowOff>
    </xdr:to>
    <xdr:sp macro="" textlink="">
      <xdr:nvSpPr>
        <xdr:cNvPr id="23" name="正方形/長方形 22"/>
        <xdr:cNvSpPr/>
      </xdr:nvSpPr>
      <xdr:spPr>
        <a:xfrm>
          <a:off x="12595409" y="3747246"/>
          <a:ext cx="340659" cy="28686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48</xdr:col>
      <xdr:colOff>62750</xdr:colOff>
      <xdr:row>16</xdr:row>
      <xdr:rowOff>98610</xdr:rowOff>
    </xdr:from>
    <xdr:to>
      <xdr:col>49</xdr:col>
      <xdr:colOff>125503</xdr:colOff>
      <xdr:row>17</xdr:row>
      <xdr:rowOff>134468</xdr:rowOff>
    </xdr:to>
    <xdr:sp macro="" textlink="">
      <xdr:nvSpPr>
        <xdr:cNvPr id="24" name="正方形/長方形 23"/>
        <xdr:cNvSpPr/>
      </xdr:nvSpPr>
      <xdr:spPr>
        <a:xfrm>
          <a:off x="13205009" y="3738281"/>
          <a:ext cx="340659" cy="28686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51</xdr:col>
      <xdr:colOff>89645</xdr:colOff>
      <xdr:row>16</xdr:row>
      <xdr:rowOff>116539</xdr:rowOff>
    </xdr:from>
    <xdr:to>
      <xdr:col>52</xdr:col>
      <xdr:colOff>152398</xdr:colOff>
      <xdr:row>17</xdr:row>
      <xdr:rowOff>152397</xdr:rowOff>
    </xdr:to>
    <xdr:sp macro="" textlink="">
      <xdr:nvSpPr>
        <xdr:cNvPr id="25" name="正方形/長方形 24"/>
        <xdr:cNvSpPr/>
      </xdr:nvSpPr>
      <xdr:spPr>
        <a:xfrm>
          <a:off x="14065621" y="3756210"/>
          <a:ext cx="340659" cy="28686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54</xdr:col>
      <xdr:colOff>116539</xdr:colOff>
      <xdr:row>16</xdr:row>
      <xdr:rowOff>107574</xdr:rowOff>
    </xdr:from>
    <xdr:to>
      <xdr:col>55</xdr:col>
      <xdr:colOff>179292</xdr:colOff>
      <xdr:row>17</xdr:row>
      <xdr:rowOff>143432</xdr:rowOff>
    </xdr:to>
    <xdr:sp macro="" textlink="">
      <xdr:nvSpPr>
        <xdr:cNvPr id="26" name="正方形/長方形 25"/>
        <xdr:cNvSpPr/>
      </xdr:nvSpPr>
      <xdr:spPr>
        <a:xfrm>
          <a:off x="14926233" y="3747245"/>
          <a:ext cx="340659" cy="28686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57</xdr:col>
      <xdr:colOff>152400</xdr:colOff>
      <xdr:row>16</xdr:row>
      <xdr:rowOff>98611</xdr:rowOff>
    </xdr:from>
    <xdr:to>
      <xdr:col>58</xdr:col>
      <xdr:colOff>215153</xdr:colOff>
      <xdr:row>17</xdr:row>
      <xdr:rowOff>134469</xdr:rowOff>
    </xdr:to>
    <xdr:sp macro="" textlink="">
      <xdr:nvSpPr>
        <xdr:cNvPr id="27" name="正方形/長方形 26"/>
        <xdr:cNvSpPr/>
      </xdr:nvSpPr>
      <xdr:spPr>
        <a:xfrm>
          <a:off x="15795812" y="3738282"/>
          <a:ext cx="340659" cy="28686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60</xdr:col>
      <xdr:colOff>161365</xdr:colOff>
      <xdr:row>16</xdr:row>
      <xdr:rowOff>107576</xdr:rowOff>
    </xdr:from>
    <xdr:to>
      <xdr:col>61</xdr:col>
      <xdr:colOff>224118</xdr:colOff>
      <xdr:row>17</xdr:row>
      <xdr:rowOff>143434</xdr:rowOff>
    </xdr:to>
    <xdr:sp macro="" textlink="">
      <xdr:nvSpPr>
        <xdr:cNvPr id="28" name="正方形/長方形 27"/>
        <xdr:cNvSpPr/>
      </xdr:nvSpPr>
      <xdr:spPr>
        <a:xfrm>
          <a:off x="16638494" y="3747247"/>
          <a:ext cx="340659" cy="28686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245839</xdr:colOff>
      <xdr:row>45</xdr:row>
      <xdr:rowOff>87141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4327599" cy="10145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83" t="s">
        <v>0</v>
      </c>
      <c r="C2" s="184"/>
      <c r="D2" s="184"/>
      <c r="E2" s="184"/>
      <c r="F2" s="184"/>
      <c r="G2" s="184"/>
      <c r="H2" s="184" t="s">
        <v>17</v>
      </c>
      <c r="I2" s="184"/>
      <c r="J2" s="184"/>
      <c r="K2" s="184"/>
      <c r="L2" s="184" t="s">
        <v>430</v>
      </c>
      <c r="M2" s="184"/>
      <c r="N2" s="184"/>
      <c r="O2" s="184"/>
      <c r="P2" s="184"/>
      <c r="Q2" s="184"/>
      <c r="R2" s="184" t="s">
        <v>2</v>
      </c>
      <c r="S2" s="184"/>
      <c r="T2" s="184"/>
      <c r="U2" s="184"/>
      <c r="V2" s="184"/>
      <c r="W2" s="184"/>
      <c r="X2" s="185" t="s">
        <v>3</v>
      </c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7"/>
      <c r="AK2" s="185" t="s">
        <v>31</v>
      </c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7"/>
      <c r="AX2" s="184" t="s">
        <v>5</v>
      </c>
      <c r="AY2" s="184"/>
      <c r="AZ2" s="184"/>
      <c r="BA2" s="184"/>
      <c r="BB2" s="184" t="s">
        <v>4</v>
      </c>
      <c r="BC2" s="184"/>
      <c r="BD2" s="184"/>
      <c r="BE2" s="184"/>
      <c r="BF2" s="184" t="s">
        <v>6</v>
      </c>
      <c r="BG2" s="184"/>
      <c r="BH2" s="184"/>
      <c r="BI2" s="184"/>
      <c r="BJ2" s="184" t="s">
        <v>7</v>
      </c>
      <c r="BK2" s="184"/>
      <c r="BL2" s="184"/>
      <c r="BM2" s="198"/>
      <c r="BN2" s="14"/>
    </row>
    <row r="3" spans="1:66" ht="20.100000000000001" customHeight="1" x14ac:dyDescent="0.45">
      <c r="A3" s="8"/>
      <c r="B3" s="188" t="s">
        <v>428</v>
      </c>
      <c r="C3" s="189"/>
      <c r="D3" s="189"/>
      <c r="E3" s="189"/>
      <c r="F3" s="189"/>
      <c r="G3" s="189"/>
      <c r="H3" s="189" t="str">
        <f ca="1">LEFT($X$3,FIND("_",$X$3)-1)</f>
        <v>MH0500</v>
      </c>
      <c r="I3" s="189"/>
      <c r="J3" s="189"/>
      <c r="K3" s="189"/>
      <c r="L3" s="189" t="s">
        <v>429</v>
      </c>
      <c r="M3" s="189"/>
      <c r="N3" s="189"/>
      <c r="O3" s="189"/>
      <c r="P3" s="189"/>
      <c r="Q3" s="189"/>
      <c r="R3" s="192" t="str">
        <f ca="1">MID($X$3,FIND("_",$X$3,FIND("_",$X$3)+1)+1,LEN($X$3)-FIND("_",$X$3,FIND("_",$X$3)+1))</f>
        <v>帳票設計書</v>
      </c>
      <c r="S3" s="189"/>
      <c r="T3" s="189"/>
      <c r="U3" s="189"/>
      <c r="V3" s="189"/>
      <c r="W3" s="189"/>
      <c r="X3" s="193" t="str">
        <f ca="1">REPLACE(LEFT(CELL("filename",$B$2),FIND(".x",CELL("filename",$B$2))-1),1,FIND("[",CELL("filename",$B$2)),)</f>
        <v>MH0500_部材リスト_帳票設計書</v>
      </c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0"/>
      <c r="AK3" s="193" t="str">
        <f ca="1">MID($X$3,FIND("_",$X$3)+1,FIND("_",$X$3,FIND("_",$X$3)+1)-FIND("_",$X$3)-1)</f>
        <v>部材リスト</v>
      </c>
      <c r="AL3" s="194"/>
      <c r="AM3" s="194"/>
      <c r="AN3" s="194"/>
      <c r="AO3" s="194"/>
      <c r="AP3" s="194"/>
      <c r="AQ3" s="194"/>
      <c r="AR3" s="194"/>
      <c r="AS3" s="194"/>
      <c r="AT3" s="194"/>
      <c r="AU3" s="194"/>
      <c r="AV3" s="194"/>
      <c r="AW3" s="190"/>
      <c r="AX3" s="200">
        <v>45583</v>
      </c>
      <c r="AY3" s="189"/>
      <c r="AZ3" s="189"/>
      <c r="BA3" s="189"/>
      <c r="BB3" s="189" t="s">
        <v>431</v>
      </c>
      <c r="BC3" s="189"/>
      <c r="BD3" s="189"/>
      <c r="BE3" s="189"/>
      <c r="BF3" s="200">
        <v>45583</v>
      </c>
      <c r="BG3" s="189"/>
      <c r="BH3" s="189"/>
      <c r="BI3" s="189"/>
      <c r="BJ3" s="189" t="s">
        <v>431</v>
      </c>
      <c r="BK3" s="189"/>
      <c r="BL3" s="189"/>
      <c r="BM3" s="201"/>
      <c r="BN3" s="14"/>
    </row>
    <row r="4" spans="1:66" ht="20.100000000000001" customHeight="1" thickBot="1" x14ac:dyDescent="0.5">
      <c r="A4" s="8"/>
      <c r="B4" s="190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5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7"/>
      <c r="AK4" s="195"/>
      <c r="AL4" s="196"/>
      <c r="AM4" s="196"/>
      <c r="AN4" s="196"/>
      <c r="AO4" s="196"/>
      <c r="AP4" s="196"/>
      <c r="AQ4" s="196"/>
      <c r="AR4" s="196"/>
      <c r="AS4" s="196"/>
      <c r="AT4" s="196"/>
      <c r="AU4" s="196"/>
      <c r="AV4" s="196"/>
      <c r="AW4" s="197"/>
      <c r="AX4" s="191"/>
      <c r="AY4" s="191"/>
      <c r="AZ4" s="191"/>
      <c r="BA4" s="191"/>
      <c r="BB4" s="191"/>
      <c r="BC4" s="191"/>
      <c r="BD4" s="191"/>
      <c r="BE4" s="191"/>
      <c r="BF4" s="191"/>
      <c r="BG4" s="191"/>
      <c r="BH4" s="191"/>
      <c r="BI4" s="191"/>
      <c r="BJ4" s="191"/>
      <c r="BK4" s="191"/>
      <c r="BL4" s="191"/>
      <c r="BM4" s="193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99" t="s">
        <v>8</v>
      </c>
      <c r="D8" s="199"/>
      <c r="E8" s="199"/>
      <c r="F8" s="199"/>
      <c r="G8" s="199" t="s">
        <v>9</v>
      </c>
      <c r="H8" s="199"/>
      <c r="I8" s="199"/>
      <c r="J8" s="199"/>
      <c r="K8" s="199" t="s">
        <v>10</v>
      </c>
      <c r="L8" s="199"/>
      <c r="M8" s="199"/>
      <c r="N8" s="199"/>
      <c r="O8" s="199" t="s">
        <v>11</v>
      </c>
      <c r="P8" s="199"/>
      <c r="Q8" s="199"/>
      <c r="R8" s="199"/>
      <c r="S8" s="199"/>
      <c r="T8" s="199"/>
      <c r="U8" s="199"/>
      <c r="V8" s="199"/>
      <c r="W8" s="199"/>
      <c r="X8" s="199"/>
      <c r="Y8" s="199" t="s">
        <v>12</v>
      </c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7"/>
      <c r="BN8" s="14"/>
    </row>
    <row r="9" spans="1:66" ht="20.100000000000001" customHeight="1" x14ac:dyDescent="0.45">
      <c r="A9" s="8"/>
      <c r="B9" s="7"/>
      <c r="C9" s="202">
        <v>45583</v>
      </c>
      <c r="D9" s="203"/>
      <c r="E9" s="203"/>
      <c r="F9" s="204"/>
      <c r="G9" s="205" t="s">
        <v>16</v>
      </c>
      <c r="H9" s="206"/>
      <c r="I9" s="206"/>
      <c r="J9" s="207"/>
      <c r="K9" s="208" t="s">
        <v>431</v>
      </c>
      <c r="L9" s="203"/>
      <c r="M9" s="203"/>
      <c r="N9" s="204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202"/>
      <c r="D10" s="203"/>
      <c r="E10" s="203"/>
      <c r="F10" s="204"/>
      <c r="G10" s="205"/>
      <c r="H10" s="206"/>
      <c r="I10" s="206"/>
      <c r="J10" s="207"/>
      <c r="K10" s="208"/>
      <c r="L10" s="203"/>
      <c r="M10" s="203"/>
      <c r="N10" s="204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202"/>
      <c r="D11" s="203"/>
      <c r="E11" s="203"/>
      <c r="F11" s="204"/>
      <c r="G11" s="205"/>
      <c r="H11" s="206"/>
      <c r="I11" s="206"/>
      <c r="J11" s="207"/>
      <c r="K11" s="208"/>
      <c r="L11" s="203"/>
      <c r="M11" s="203"/>
      <c r="N11" s="204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202"/>
      <c r="D36" s="203"/>
      <c r="E36" s="203"/>
      <c r="F36" s="204"/>
      <c r="G36" s="205"/>
      <c r="H36" s="206"/>
      <c r="I36" s="206"/>
      <c r="J36" s="207"/>
      <c r="K36" s="208"/>
      <c r="L36" s="203"/>
      <c r="M36" s="203"/>
      <c r="N36" s="204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202"/>
      <c r="D37" s="203"/>
      <c r="E37" s="203"/>
      <c r="F37" s="204"/>
      <c r="G37" s="205"/>
      <c r="H37" s="206"/>
      <c r="I37" s="206"/>
      <c r="J37" s="207"/>
      <c r="K37" s="208"/>
      <c r="L37" s="203"/>
      <c r="M37" s="203"/>
      <c r="N37" s="204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202"/>
      <c r="D38" s="203"/>
      <c r="E38" s="203"/>
      <c r="F38" s="204"/>
      <c r="G38" s="205"/>
      <c r="H38" s="206"/>
      <c r="I38" s="206"/>
      <c r="J38" s="207"/>
      <c r="K38" s="208"/>
      <c r="L38" s="203"/>
      <c r="M38" s="203"/>
      <c r="N38" s="204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202"/>
      <c r="D39" s="203"/>
      <c r="E39" s="203"/>
      <c r="F39" s="204"/>
      <c r="G39" s="205"/>
      <c r="H39" s="206"/>
      <c r="I39" s="206"/>
      <c r="J39" s="207"/>
      <c r="K39" s="208"/>
      <c r="L39" s="203"/>
      <c r="M39" s="203"/>
      <c r="N39" s="204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202"/>
      <c r="D40" s="203"/>
      <c r="E40" s="203"/>
      <c r="F40" s="204"/>
      <c r="G40" s="205"/>
      <c r="H40" s="206"/>
      <c r="I40" s="206"/>
      <c r="J40" s="207"/>
      <c r="K40" s="208"/>
      <c r="L40" s="203"/>
      <c r="M40" s="203"/>
      <c r="N40" s="204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202"/>
      <c r="D41" s="203"/>
      <c r="E41" s="203"/>
      <c r="F41" s="204"/>
      <c r="G41" s="205"/>
      <c r="H41" s="206"/>
      <c r="I41" s="206"/>
      <c r="J41" s="207"/>
      <c r="K41" s="208"/>
      <c r="L41" s="203"/>
      <c r="M41" s="203"/>
      <c r="N41" s="204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202"/>
      <c r="D42" s="203"/>
      <c r="E42" s="203"/>
      <c r="F42" s="204"/>
      <c r="G42" s="205"/>
      <c r="H42" s="206"/>
      <c r="I42" s="206"/>
      <c r="J42" s="207"/>
      <c r="K42" s="208"/>
      <c r="L42" s="203"/>
      <c r="M42" s="203"/>
      <c r="N42" s="204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202"/>
      <c r="D43" s="203"/>
      <c r="E43" s="203"/>
      <c r="F43" s="204"/>
      <c r="G43" s="205"/>
      <c r="H43" s="206"/>
      <c r="I43" s="206"/>
      <c r="J43" s="207"/>
      <c r="K43" s="208"/>
      <c r="L43" s="203"/>
      <c r="M43" s="203"/>
      <c r="N43" s="204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202"/>
      <c r="D44" s="203"/>
      <c r="E44" s="203"/>
      <c r="F44" s="204"/>
      <c r="G44" s="205"/>
      <c r="H44" s="206"/>
      <c r="I44" s="206"/>
      <c r="J44" s="207"/>
      <c r="K44" s="208"/>
      <c r="L44" s="203"/>
      <c r="M44" s="203"/>
      <c r="N44" s="204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202"/>
      <c r="D45" s="203"/>
      <c r="E45" s="203"/>
      <c r="F45" s="204"/>
      <c r="G45" s="205"/>
      <c r="H45" s="206"/>
      <c r="I45" s="206"/>
      <c r="J45" s="207"/>
      <c r="K45" s="208"/>
      <c r="L45" s="203"/>
      <c r="M45" s="203"/>
      <c r="N45" s="204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202"/>
      <c r="D46" s="203"/>
      <c r="E46" s="203"/>
      <c r="F46" s="204"/>
      <c r="G46" s="205"/>
      <c r="H46" s="206"/>
      <c r="I46" s="206"/>
      <c r="J46" s="207"/>
      <c r="K46" s="208"/>
      <c r="L46" s="203"/>
      <c r="M46" s="203"/>
      <c r="N46" s="204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202"/>
      <c r="D47" s="203"/>
      <c r="E47" s="203"/>
      <c r="F47" s="204"/>
      <c r="G47" s="205"/>
      <c r="H47" s="206"/>
      <c r="I47" s="206"/>
      <c r="J47" s="207"/>
      <c r="K47" s="208"/>
      <c r="L47" s="203"/>
      <c r="M47" s="203"/>
      <c r="N47" s="204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83" t="s">
        <v>0</v>
      </c>
      <c r="C2" s="184"/>
      <c r="D2" s="184"/>
      <c r="E2" s="184"/>
      <c r="F2" s="184"/>
      <c r="G2" s="184"/>
      <c r="H2" s="184" t="s">
        <v>17</v>
      </c>
      <c r="I2" s="184"/>
      <c r="J2" s="184"/>
      <c r="K2" s="184"/>
      <c r="L2" s="184" t="s">
        <v>430</v>
      </c>
      <c r="M2" s="184"/>
      <c r="N2" s="184"/>
      <c r="O2" s="184"/>
      <c r="P2" s="184"/>
      <c r="Q2" s="184"/>
      <c r="R2" s="184" t="s">
        <v>2</v>
      </c>
      <c r="S2" s="184"/>
      <c r="T2" s="184"/>
      <c r="U2" s="184"/>
      <c r="V2" s="184"/>
      <c r="W2" s="184"/>
      <c r="X2" s="185" t="s">
        <v>3</v>
      </c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7"/>
      <c r="AK2" s="185" t="s">
        <v>32</v>
      </c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7"/>
      <c r="AX2" s="184" t="s">
        <v>5</v>
      </c>
      <c r="AY2" s="184"/>
      <c r="AZ2" s="184"/>
      <c r="BA2" s="184"/>
      <c r="BB2" s="184" t="s">
        <v>4</v>
      </c>
      <c r="BC2" s="184"/>
      <c r="BD2" s="184"/>
      <c r="BE2" s="184"/>
      <c r="BF2" s="184" t="s">
        <v>6</v>
      </c>
      <c r="BG2" s="184"/>
      <c r="BH2" s="184"/>
      <c r="BI2" s="184"/>
      <c r="BJ2" s="184" t="s">
        <v>7</v>
      </c>
      <c r="BK2" s="184"/>
      <c r="BL2" s="184"/>
      <c r="BM2" s="198"/>
      <c r="BN2" s="35"/>
    </row>
    <row r="3" spans="1:66" ht="20.100000000000001" customHeight="1" x14ac:dyDescent="0.45">
      <c r="A3" s="32"/>
      <c r="B3" s="188" t="str">
        <f>変更履歴!B3</f>
        <v>受発注システム</v>
      </c>
      <c r="C3" s="189"/>
      <c r="D3" s="189"/>
      <c r="E3" s="189"/>
      <c r="F3" s="189"/>
      <c r="G3" s="189"/>
      <c r="H3" s="189" t="str">
        <f ca="1">変更履歴!H3</f>
        <v>MH0500</v>
      </c>
      <c r="I3" s="189"/>
      <c r="J3" s="189"/>
      <c r="K3" s="189"/>
      <c r="L3" s="189" t="str">
        <f>変更履歴!L3</f>
        <v>受発注</v>
      </c>
      <c r="M3" s="189"/>
      <c r="N3" s="189"/>
      <c r="O3" s="189"/>
      <c r="P3" s="189"/>
      <c r="Q3" s="189"/>
      <c r="R3" s="189" t="str">
        <f ca="1">変更履歴!R3</f>
        <v>帳票設計書</v>
      </c>
      <c r="S3" s="189"/>
      <c r="T3" s="189"/>
      <c r="U3" s="189"/>
      <c r="V3" s="189"/>
      <c r="W3" s="189"/>
      <c r="X3" s="193" t="str">
        <f ca="1">変更履歴!X3</f>
        <v>MH0500_部材リスト_帳票設計書</v>
      </c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0"/>
      <c r="AK3" s="193" t="str">
        <f ca="1">変更履歴!AK3</f>
        <v>部材リスト</v>
      </c>
      <c r="AL3" s="194"/>
      <c r="AM3" s="194"/>
      <c r="AN3" s="194"/>
      <c r="AO3" s="194"/>
      <c r="AP3" s="194"/>
      <c r="AQ3" s="194"/>
      <c r="AR3" s="194"/>
      <c r="AS3" s="194"/>
      <c r="AT3" s="194"/>
      <c r="AU3" s="194"/>
      <c r="AV3" s="194"/>
      <c r="AW3" s="190"/>
      <c r="AX3" s="200">
        <f>変更履歴!AX3</f>
        <v>45583</v>
      </c>
      <c r="AY3" s="200"/>
      <c r="AZ3" s="200"/>
      <c r="BA3" s="200"/>
      <c r="BB3" s="189" t="str">
        <f>変更履歴!BB3</f>
        <v>大谷</v>
      </c>
      <c r="BC3" s="189"/>
      <c r="BD3" s="189"/>
      <c r="BE3" s="189"/>
      <c r="BF3" s="200">
        <f>変更履歴!BF3</f>
        <v>45583</v>
      </c>
      <c r="BG3" s="200"/>
      <c r="BH3" s="200"/>
      <c r="BI3" s="200"/>
      <c r="BJ3" s="189" t="str">
        <f>変更履歴!BJ3</f>
        <v>大谷</v>
      </c>
      <c r="BK3" s="189"/>
      <c r="BL3" s="189"/>
      <c r="BM3" s="201"/>
      <c r="BN3" s="35"/>
    </row>
    <row r="4" spans="1:66" ht="20.100000000000001" customHeight="1" thickBot="1" x14ac:dyDescent="0.5">
      <c r="A4" s="32"/>
      <c r="B4" s="190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5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7"/>
      <c r="AK4" s="195"/>
      <c r="AL4" s="196"/>
      <c r="AM4" s="196"/>
      <c r="AN4" s="196"/>
      <c r="AO4" s="196"/>
      <c r="AP4" s="196"/>
      <c r="AQ4" s="196"/>
      <c r="AR4" s="196"/>
      <c r="AS4" s="196"/>
      <c r="AT4" s="196"/>
      <c r="AU4" s="196"/>
      <c r="AV4" s="196"/>
      <c r="AW4" s="197"/>
      <c r="AX4" s="209"/>
      <c r="AY4" s="209"/>
      <c r="AZ4" s="209"/>
      <c r="BA4" s="209"/>
      <c r="BB4" s="191"/>
      <c r="BC4" s="191"/>
      <c r="BD4" s="191"/>
      <c r="BE4" s="191"/>
      <c r="BF4" s="209"/>
      <c r="BG4" s="209"/>
      <c r="BH4" s="209"/>
      <c r="BI4" s="209"/>
      <c r="BJ4" s="191"/>
      <c r="BK4" s="191"/>
      <c r="BL4" s="191"/>
      <c r="BM4" s="193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部材リスト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52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53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54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55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55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55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4" t="s">
        <v>55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427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83" t="s">
        <v>0</v>
      </c>
      <c r="C2" s="184"/>
      <c r="D2" s="184"/>
      <c r="E2" s="184"/>
      <c r="F2" s="184"/>
      <c r="G2" s="184"/>
      <c r="H2" s="184" t="s">
        <v>17</v>
      </c>
      <c r="I2" s="184"/>
      <c r="J2" s="184"/>
      <c r="K2" s="184"/>
      <c r="L2" s="184" t="s">
        <v>430</v>
      </c>
      <c r="M2" s="184"/>
      <c r="N2" s="184"/>
      <c r="O2" s="184"/>
      <c r="P2" s="184"/>
      <c r="Q2" s="184"/>
      <c r="R2" s="184" t="s">
        <v>2</v>
      </c>
      <c r="S2" s="184"/>
      <c r="T2" s="184"/>
      <c r="U2" s="184"/>
      <c r="V2" s="184"/>
      <c r="W2" s="184"/>
      <c r="X2" s="185" t="s">
        <v>3</v>
      </c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7"/>
      <c r="AK2" s="185" t="s">
        <v>32</v>
      </c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7"/>
      <c r="AX2" s="184" t="s">
        <v>5</v>
      </c>
      <c r="AY2" s="184"/>
      <c r="AZ2" s="184"/>
      <c r="BA2" s="184"/>
      <c r="BB2" s="184" t="s">
        <v>4</v>
      </c>
      <c r="BC2" s="184"/>
      <c r="BD2" s="184"/>
      <c r="BE2" s="184"/>
      <c r="BF2" s="184" t="s">
        <v>6</v>
      </c>
      <c r="BG2" s="184"/>
      <c r="BH2" s="184"/>
      <c r="BI2" s="184"/>
      <c r="BJ2" s="184" t="s">
        <v>7</v>
      </c>
      <c r="BK2" s="184"/>
      <c r="BL2" s="184"/>
      <c r="BM2" s="198"/>
      <c r="BN2" s="15"/>
    </row>
    <row r="3" spans="1:66" ht="20.100000000000001" customHeight="1" x14ac:dyDescent="0.45">
      <c r="A3" s="9"/>
      <c r="B3" s="188" t="str">
        <f>変更履歴!B3</f>
        <v>受発注システム</v>
      </c>
      <c r="C3" s="189"/>
      <c r="D3" s="189"/>
      <c r="E3" s="189"/>
      <c r="F3" s="189"/>
      <c r="G3" s="189"/>
      <c r="H3" s="189" t="str">
        <f ca="1">変更履歴!H3</f>
        <v>MH0500</v>
      </c>
      <c r="I3" s="189"/>
      <c r="J3" s="189"/>
      <c r="K3" s="189"/>
      <c r="L3" s="189" t="str">
        <f>変更履歴!L3</f>
        <v>受発注</v>
      </c>
      <c r="M3" s="189"/>
      <c r="N3" s="189"/>
      <c r="O3" s="189"/>
      <c r="P3" s="189"/>
      <c r="Q3" s="189"/>
      <c r="R3" s="189" t="str">
        <f ca="1">変更履歴!R3</f>
        <v>帳票設計書</v>
      </c>
      <c r="S3" s="189"/>
      <c r="T3" s="189"/>
      <c r="U3" s="189"/>
      <c r="V3" s="189"/>
      <c r="W3" s="189"/>
      <c r="X3" s="193" t="str">
        <f ca="1">変更履歴!X3</f>
        <v>MH0500_部材リスト_帳票設計書</v>
      </c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0"/>
      <c r="AK3" s="193" t="str">
        <f ca="1">変更履歴!AK3</f>
        <v>部材リスト</v>
      </c>
      <c r="AL3" s="194"/>
      <c r="AM3" s="194"/>
      <c r="AN3" s="194"/>
      <c r="AO3" s="194"/>
      <c r="AP3" s="194"/>
      <c r="AQ3" s="194"/>
      <c r="AR3" s="194"/>
      <c r="AS3" s="194"/>
      <c r="AT3" s="194"/>
      <c r="AU3" s="194"/>
      <c r="AV3" s="194"/>
      <c r="AW3" s="190"/>
      <c r="AX3" s="200">
        <f>変更履歴!AX3</f>
        <v>45583</v>
      </c>
      <c r="AY3" s="200"/>
      <c r="AZ3" s="200"/>
      <c r="BA3" s="200"/>
      <c r="BB3" s="189" t="str">
        <f>変更履歴!BB3</f>
        <v>大谷</v>
      </c>
      <c r="BC3" s="189"/>
      <c r="BD3" s="189"/>
      <c r="BE3" s="189"/>
      <c r="BF3" s="200">
        <f>変更履歴!BF3</f>
        <v>45583</v>
      </c>
      <c r="BG3" s="200"/>
      <c r="BH3" s="200"/>
      <c r="BI3" s="200"/>
      <c r="BJ3" s="189" t="str">
        <f>変更履歴!BJ3</f>
        <v>大谷</v>
      </c>
      <c r="BK3" s="189"/>
      <c r="BL3" s="189"/>
      <c r="BM3" s="201"/>
      <c r="BN3" s="15"/>
    </row>
    <row r="4" spans="1:66" ht="20.100000000000001" customHeight="1" thickBot="1" x14ac:dyDescent="0.5">
      <c r="A4" s="9"/>
      <c r="B4" s="190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5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7"/>
      <c r="AK4" s="195"/>
      <c r="AL4" s="196"/>
      <c r="AM4" s="196"/>
      <c r="AN4" s="196"/>
      <c r="AO4" s="196"/>
      <c r="AP4" s="196"/>
      <c r="AQ4" s="196"/>
      <c r="AR4" s="196"/>
      <c r="AS4" s="196"/>
      <c r="AT4" s="196"/>
      <c r="AU4" s="196"/>
      <c r="AV4" s="196"/>
      <c r="AW4" s="197"/>
      <c r="AX4" s="209"/>
      <c r="AY4" s="209"/>
      <c r="AZ4" s="209"/>
      <c r="BA4" s="209"/>
      <c r="BB4" s="191"/>
      <c r="BC4" s="191"/>
      <c r="BD4" s="191"/>
      <c r="BE4" s="191"/>
      <c r="BF4" s="209"/>
      <c r="BG4" s="209"/>
      <c r="BH4" s="209"/>
      <c r="BI4" s="209"/>
      <c r="BJ4" s="191"/>
      <c r="BK4" s="191"/>
      <c r="BL4" s="191"/>
      <c r="BM4" s="193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6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83" t="s">
        <v>0</v>
      </c>
      <c r="C2" s="184"/>
      <c r="D2" s="184"/>
      <c r="E2" s="184"/>
      <c r="F2" s="184"/>
      <c r="G2" s="184"/>
      <c r="H2" s="184" t="s">
        <v>17</v>
      </c>
      <c r="I2" s="184"/>
      <c r="J2" s="184"/>
      <c r="K2" s="184"/>
      <c r="L2" s="184" t="s">
        <v>430</v>
      </c>
      <c r="M2" s="184"/>
      <c r="N2" s="184"/>
      <c r="O2" s="184"/>
      <c r="P2" s="184"/>
      <c r="Q2" s="184"/>
      <c r="R2" s="184" t="s">
        <v>2</v>
      </c>
      <c r="S2" s="184"/>
      <c r="T2" s="184"/>
      <c r="U2" s="184"/>
      <c r="V2" s="184"/>
      <c r="W2" s="184"/>
      <c r="X2" s="185" t="s">
        <v>3</v>
      </c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7"/>
      <c r="AK2" s="185" t="s">
        <v>32</v>
      </c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7"/>
      <c r="AX2" s="184" t="s">
        <v>5</v>
      </c>
      <c r="AY2" s="184"/>
      <c r="AZ2" s="184"/>
      <c r="BA2" s="184"/>
      <c r="BB2" s="184" t="s">
        <v>4</v>
      </c>
      <c r="BC2" s="184"/>
      <c r="BD2" s="184"/>
      <c r="BE2" s="184"/>
      <c r="BF2" s="184" t="s">
        <v>6</v>
      </c>
      <c r="BG2" s="184"/>
      <c r="BH2" s="184"/>
      <c r="BI2" s="184"/>
      <c r="BJ2" s="184" t="s">
        <v>7</v>
      </c>
      <c r="BK2" s="184"/>
      <c r="BL2" s="184"/>
      <c r="BM2" s="198"/>
      <c r="BN2" s="15"/>
    </row>
    <row r="3" spans="1:85" ht="20.100000000000001" customHeight="1" x14ac:dyDescent="0.45">
      <c r="A3" s="9"/>
      <c r="B3" s="188" t="str">
        <f>変更履歴!B3</f>
        <v>受発注システム</v>
      </c>
      <c r="C3" s="189"/>
      <c r="D3" s="189"/>
      <c r="E3" s="189"/>
      <c r="F3" s="189"/>
      <c r="G3" s="189"/>
      <c r="H3" s="189" t="str">
        <f ca="1">変更履歴!H3</f>
        <v>MH0500</v>
      </c>
      <c r="I3" s="189"/>
      <c r="J3" s="189"/>
      <c r="K3" s="189"/>
      <c r="L3" s="189" t="str">
        <f>変更履歴!L3</f>
        <v>受発注</v>
      </c>
      <c r="M3" s="189"/>
      <c r="N3" s="189"/>
      <c r="O3" s="189"/>
      <c r="P3" s="189"/>
      <c r="Q3" s="189"/>
      <c r="R3" s="189" t="str">
        <f ca="1">変更履歴!R3</f>
        <v>帳票設計書</v>
      </c>
      <c r="S3" s="189"/>
      <c r="T3" s="189"/>
      <c r="U3" s="189"/>
      <c r="V3" s="189"/>
      <c r="W3" s="189"/>
      <c r="X3" s="193" t="str">
        <f ca="1">変更履歴!X3</f>
        <v>MH0500_部材リスト_帳票設計書</v>
      </c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0"/>
      <c r="AK3" s="193" t="str">
        <f ca="1">変更履歴!AK3</f>
        <v>部材リスト</v>
      </c>
      <c r="AL3" s="194"/>
      <c r="AM3" s="194"/>
      <c r="AN3" s="194"/>
      <c r="AO3" s="194"/>
      <c r="AP3" s="194"/>
      <c r="AQ3" s="194"/>
      <c r="AR3" s="194"/>
      <c r="AS3" s="194"/>
      <c r="AT3" s="194"/>
      <c r="AU3" s="194"/>
      <c r="AV3" s="194"/>
      <c r="AW3" s="190"/>
      <c r="AX3" s="200">
        <f>変更履歴!AX3</f>
        <v>45583</v>
      </c>
      <c r="AY3" s="200"/>
      <c r="AZ3" s="200"/>
      <c r="BA3" s="200"/>
      <c r="BB3" s="189" t="str">
        <f>変更履歴!BB3</f>
        <v>大谷</v>
      </c>
      <c r="BC3" s="189"/>
      <c r="BD3" s="189"/>
      <c r="BE3" s="189"/>
      <c r="BF3" s="200">
        <f>変更履歴!BF3</f>
        <v>45583</v>
      </c>
      <c r="BG3" s="200"/>
      <c r="BH3" s="200"/>
      <c r="BI3" s="200"/>
      <c r="BJ3" s="189" t="str">
        <f>変更履歴!BJ3</f>
        <v>大谷</v>
      </c>
      <c r="BK3" s="189"/>
      <c r="BL3" s="189"/>
      <c r="BM3" s="201"/>
      <c r="BN3" s="15"/>
    </row>
    <row r="4" spans="1:85" ht="20.100000000000001" customHeight="1" thickBot="1" x14ac:dyDescent="0.5">
      <c r="A4" s="9"/>
      <c r="B4" s="190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5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7"/>
      <c r="AK4" s="195"/>
      <c r="AL4" s="196"/>
      <c r="AM4" s="196"/>
      <c r="AN4" s="196"/>
      <c r="AO4" s="196"/>
      <c r="AP4" s="196"/>
      <c r="AQ4" s="196"/>
      <c r="AR4" s="196"/>
      <c r="AS4" s="196"/>
      <c r="AT4" s="196"/>
      <c r="AU4" s="196"/>
      <c r="AV4" s="196"/>
      <c r="AW4" s="197"/>
      <c r="AX4" s="209"/>
      <c r="AY4" s="209"/>
      <c r="AZ4" s="209"/>
      <c r="BA4" s="209"/>
      <c r="BB4" s="191"/>
      <c r="BC4" s="191"/>
      <c r="BD4" s="191"/>
      <c r="BE4" s="191"/>
      <c r="BF4" s="209"/>
      <c r="BG4" s="209"/>
      <c r="BH4" s="209"/>
      <c r="BI4" s="209"/>
      <c r="BJ4" s="191"/>
      <c r="BK4" s="191"/>
      <c r="BL4" s="191"/>
      <c r="BM4" s="193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90" t="s">
        <v>103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253" t="s">
        <v>20</v>
      </c>
      <c r="F10" s="254"/>
      <c r="G10" s="254"/>
      <c r="H10" s="254"/>
      <c r="I10" s="254"/>
      <c r="J10" s="254"/>
      <c r="K10" s="254"/>
      <c r="L10" s="255"/>
      <c r="M10" s="233" t="s">
        <v>24</v>
      </c>
      <c r="N10" s="234"/>
      <c r="O10" s="234"/>
      <c r="P10" s="233" t="s">
        <v>33</v>
      </c>
      <c r="Q10" s="234"/>
      <c r="R10" s="234"/>
      <c r="S10" s="233" t="s">
        <v>34</v>
      </c>
      <c r="T10" s="234"/>
      <c r="U10" s="234"/>
      <c r="V10" s="233" t="s">
        <v>36</v>
      </c>
      <c r="W10" s="234"/>
      <c r="X10" s="234"/>
      <c r="Y10" s="234"/>
      <c r="Z10" s="234"/>
      <c r="AA10" s="235"/>
      <c r="AB10" s="233" t="s">
        <v>35</v>
      </c>
      <c r="AC10" s="234"/>
      <c r="AD10" s="234"/>
      <c r="AE10" s="234"/>
      <c r="AF10" s="234"/>
      <c r="AG10" s="234"/>
      <c r="AH10" s="234"/>
      <c r="AI10" s="234"/>
      <c r="AJ10" s="234"/>
      <c r="AK10" s="234"/>
      <c r="AL10" s="234"/>
      <c r="AM10" s="234"/>
      <c r="AN10" s="234"/>
      <c r="AO10" s="234"/>
      <c r="AP10" s="234"/>
      <c r="AQ10" s="235"/>
      <c r="AR10" s="233" t="s">
        <v>42</v>
      </c>
      <c r="AS10" s="234"/>
      <c r="AT10" s="234"/>
      <c r="AU10" s="234"/>
      <c r="AV10" s="234"/>
      <c r="AW10" s="235"/>
      <c r="AX10" s="233" t="s">
        <v>43</v>
      </c>
      <c r="AY10" s="234"/>
      <c r="AZ10" s="234"/>
      <c r="BA10" s="234"/>
      <c r="BB10" s="234"/>
      <c r="BC10" s="234"/>
      <c r="BD10" s="234"/>
      <c r="BE10" s="234"/>
      <c r="BF10" s="234"/>
      <c r="BG10" s="234"/>
      <c r="BH10" s="234"/>
      <c r="BI10" s="234"/>
      <c r="BJ10" s="234"/>
      <c r="BK10" s="234"/>
      <c r="BL10" s="234"/>
      <c r="BM10" s="234"/>
      <c r="BN10" s="234"/>
      <c r="BO10" s="234"/>
      <c r="BP10" s="234"/>
      <c r="BQ10" s="234"/>
      <c r="BR10" s="234"/>
      <c r="BS10" s="234"/>
      <c r="BT10" s="246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247" t="s">
        <v>82</v>
      </c>
      <c r="F11" s="248"/>
      <c r="G11" s="248"/>
      <c r="H11" s="248"/>
      <c r="I11" s="248"/>
      <c r="J11" s="248"/>
      <c r="K11" s="248"/>
      <c r="L11" s="249"/>
      <c r="M11" s="208" t="s">
        <v>47</v>
      </c>
      <c r="N11" s="203"/>
      <c r="O11" s="203"/>
      <c r="P11" s="208" t="s">
        <v>72</v>
      </c>
      <c r="Q11" s="203"/>
      <c r="R11" s="203"/>
      <c r="S11" s="208">
        <v>9</v>
      </c>
      <c r="T11" s="203"/>
      <c r="U11" s="203"/>
      <c r="V11" s="210" t="s">
        <v>86</v>
      </c>
      <c r="W11" s="211"/>
      <c r="X11" s="211"/>
      <c r="Y11" s="211"/>
      <c r="Z11" s="211"/>
      <c r="AA11" s="213"/>
      <c r="AB11" s="214"/>
      <c r="AC11" s="215"/>
      <c r="AD11" s="215"/>
      <c r="AE11" s="215"/>
      <c r="AF11" s="215"/>
      <c r="AG11" s="215"/>
      <c r="AH11" s="215"/>
      <c r="AI11" s="215"/>
      <c r="AJ11" s="215"/>
      <c r="AK11" s="215"/>
      <c r="AL11" s="215"/>
      <c r="AM11" s="215"/>
      <c r="AN11" s="215"/>
      <c r="AO11" s="215"/>
      <c r="AP11" s="215"/>
      <c r="AQ11" s="216"/>
      <c r="AR11" s="208"/>
      <c r="AS11" s="203"/>
      <c r="AT11" s="203"/>
      <c r="AU11" s="203"/>
      <c r="AV11" s="203"/>
      <c r="AW11" s="204"/>
      <c r="AX11" s="210"/>
      <c r="AY11" s="211"/>
      <c r="AZ11" s="211"/>
      <c r="BA11" s="211"/>
      <c r="BB11" s="211"/>
      <c r="BC11" s="211"/>
      <c r="BD11" s="211"/>
      <c r="BE11" s="211"/>
      <c r="BF11" s="211"/>
      <c r="BG11" s="211"/>
      <c r="BH11" s="211"/>
      <c r="BI11" s="211"/>
      <c r="BJ11" s="211"/>
      <c r="BK11" s="211"/>
      <c r="BL11" s="211"/>
      <c r="BM11" s="211"/>
      <c r="BN11" s="211"/>
      <c r="BO11" s="211"/>
      <c r="BP11" s="211"/>
      <c r="BQ11" s="211"/>
      <c r="BR11" s="211"/>
      <c r="BS11" s="211"/>
      <c r="BT11" s="212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247" t="s">
        <v>56</v>
      </c>
      <c r="F12" s="248"/>
      <c r="G12" s="248"/>
      <c r="H12" s="248"/>
      <c r="I12" s="248"/>
      <c r="J12" s="248"/>
      <c r="K12" s="248"/>
      <c r="L12" s="249"/>
      <c r="M12" s="208" t="s">
        <v>38</v>
      </c>
      <c r="N12" s="203"/>
      <c r="O12" s="203"/>
      <c r="P12" s="208" t="s">
        <v>73</v>
      </c>
      <c r="Q12" s="203"/>
      <c r="R12" s="203"/>
      <c r="S12" s="208">
        <v>39</v>
      </c>
      <c r="T12" s="203"/>
      <c r="U12" s="203"/>
      <c r="V12" s="210" t="s">
        <v>87</v>
      </c>
      <c r="W12" s="211"/>
      <c r="X12" s="211"/>
      <c r="Y12" s="211"/>
      <c r="Z12" s="211"/>
      <c r="AA12" s="213"/>
      <c r="AB12" s="214"/>
      <c r="AC12" s="215"/>
      <c r="AD12" s="215"/>
      <c r="AE12" s="215"/>
      <c r="AF12" s="215"/>
      <c r="AG12" s="215"/>
      <c r="AH12" s="215"/>
      <c r="AI12" s="215"/>
      <c r="AJ12" s="215"/>
      <c r="AK12" s="215"/>
      <c r="AL12" s="215"/>
      <c r="AM12" s="215"/>
      <c r="AN12" s="215"/>
      <c r="AO12" s="215"/>
      <c r="AP12" s="215"/>
      <c r="AQ12" s="216"/>
      <c r="AR12" s="208"/>
      <c r="AS12" s="203"/>
      <c r="AT12" s="203"/>
      <c r="AU12" s="203"/>
      <c r="AV12" s="203"/>
      <c r="AW12" s="204"/>
      <c r="AX12" s="210"/>
      <c r="AY12" s="211"/>
      <c r="AZ12" s="211"/>
      <c r="BA12" s="211"/>
      <c r="BB12" s="211"/>
      <c r="BC12" s="211"/>
      <c r="BD12" s="211"/>
      <c r="BE12" s="211"/>
      <c r="BF12" s="211"/>
      <c r="BG12" s="211"/>
      <c r="BH12" s="211"/>
      <c r="BI12" s="211"/>
      <c r="BJ12" s="211"/>
      <c r="BK12" s="211"/>
      <c r="BL12" s="211"/>
      <c r="BM12" s="211"/>
      <c r="BN12" s="211"/>
      <c r="BO12" s="211"/>
      <c r="BP12" s="211"/>
      <c r="BQ12" s="211"/>
      <c r="BR12" s="211"/>
      <c r="BS12" s="211"/>
      <c r="BT12" s="212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247" t="s">
        <v>57</v>
      </c>
      <c r="F13" s="248"/>
      <c r="G13" s="248"/>
      <c r="H13" s="248"/>
      <c r="I13" s="248"/>
      <c r="J13" s="248"/>
      <c r="K13" s="248"/>
      <c r="L13" s="249"/>
      <c r="M13" s="208" t="s">
        <v>38</v>
      </c>
      <c r="N13" s="203"/>
      <c r="O13" s="203"/>
      <c r="P13" s="208" t="s">
        <v>73</v>
      </c>
      <c r="Q13" s="203"/>
      <c r="R13" s="203"/>
      <c r="S13" s="208">
        <v>28</v>
      </c>
      <c r="T13" s="203"/>
      <c r="U13" s="203"/>
      <c r="V13" s="210" t="s">
        <v>88</v>
      </c>
      <c r="W13" s="211"/>
      <c r="X13" s="211"/>
      <c r="Y13" s="211"/>
      <c r="Z13" s="211"/>
      <c r="AA13" s="213"/>
      <c r="AB13" s="214"/>
      <c r="AC13" s="215"/>
      <c r="AD13" s="215"/>
      <c r="AE13" s="215"/>
      <c r="AF13" s="215"/>
      <c r="AG13" s="215"/>
      <c r="AH13" s="215"/>
      <c r="AI13" s="215"/>
      <c r="AJ13" s="215"/>
      <c r="AK13" s="215"/>
      <c r="AL13" s="215"/>
      <c r="AM13" s="215"/>
      <c r="AN13" s="215"/>
      <c r="AO13" s="215"/>
      <c r="AP13" s="215"/>
      <c r="AQ13" s="216"/>
      <c r="AR13" s="208"/>
      <c r="AS13" s="203"/>
      <c r="AT13" s="203"/>
      <c r="AU13" s="203"/>
      <c r="AV13" s="203"/>
      <c r="AW13" s="204"/>
      <c r="AX13" s="210"/>
      <c r="AY13" s="211"/>
      <c r="AZ13" s="211"/>
      <c r="BA13" s="211"/>
      <c r="BB13" s="211"/>
      <c r="BC13" s="211"/>
      <c r="BD13" s="211"/>
      <c r="BE13" s="211"/>
      <c r="BF13" s="211"/>
      <c r="BG13" s="211"/>
      <c r="BH13" s="211"/>
      <c r="BI13" s="211"/>
      <c r="BJ13" s="211"/>
      <c r="BK13" s="211"/>
      <c r="BL13" s="211"/>
      <c r="BM13" s="211"/>
      <c r="BN13" s="211"/>
      <c r="BO13" s="211"/>
      <c r="BP13" s="211"/>
      <c r="BQ13" s="211"/>
      <c r="BR13" s="211"/>
      <c r="BS13" s="211"/>
      <c r="BT13" s="212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247" t="s">
        <v>59</v>
      </c>
      <c r="F14" s="248"/>
      <c r="G14" s="248"/>
      <c r="H14" s="248"/>
      <c r="I14" s="248"/>
      <c r="J14" s="248"/>
      <c r="K14" s="248"/>
      <c r="L14" s="249"/>
      <c r="M14" s="208" t="s">
        <v>8</v>
      </c>
      <c r="N14" s="203"/>
      <c r="O14" s="203"/>
      <c r="P14" s="208" t="s">
        <v>72</v>
      </c>
      <c r="Q14" s="203"/>
      <c r="R14" s="203"/>
      <c r="S14" s="208">
        <v>8</v>
      </c>
      <c r="T14" s="203"/>
      <c r="U14" s="203"/>
      <c r="V14" s="210" t="s">
        <v>104</v>
      </c>
      <c r="W14" s="211"/>
      <c r="X14" s="211"/>
      <c r="Y14" s="211"/>
      <c r="Z14" s="211"/>
      <c r="AA14" s="213"/>
      <c r="AB14" s="214"/>
      <c r="AC14" s="215"/>
      <c r="AD14" s="215"/>
      <c r="AE14" s="215"/>
      <c r="AF14" s="215"/>
      <c r="AG14" s="215"/>
      <c r="AH14" s="215"/>
      <c r="AI14" s="215"/>
      <c r="AJ14" s="215"/>
      <c r="AK14" s="215"/>
      <c r="AL14" s="215"/>
      <c r="AM14" s="215"/>
      <c r="AN14" s="215"/>
      <c r="AO14" s="215"/>
      <c r="AP14" s="215"/>
      <c r="AQ14" s="216"/>
      <c r="AR14" s="208"/>
      <c r="AS14" s="203"/>
      <c r="AT14" s="203"/>
      <c r="AU14" s="203"/>
      <c r="AV14" s="203"/>
      <c r="AW14" s="204"/>
      <c r="AX14" s="210"/>
      <c r="AY14" s="211"/>
      <c r="AZ14" s="211"/>
      <c r="BA14" s="211"/>
      <c r="BB14" s="211"/>
      <c r="BC14" s="211"/>
      <c r="BD14" s="211"/>
      <c r="BE14" s="211"/>
      <c r="BF14" s="211"/>
      <c r="BG14" s="211"/>
      <c r="BH14" s="211"/>
      <c r="BI14" s="211"/>
      <c r="BJ14" s="211"/>
      <c r="BK14" s="211"/>
      <c r="BL14" s="211"/>
      <c r="BM14" s="211"/>
      <c r="BN14" s="211"/>
      <c r="BO14" s="211"/>
      <c r="BP14" s="211"/>
      <c r="BQ14" s="211"/>
      <c r="BR14" s="211"/>
      <c r="BS14" s="211"/>
      <c r="BT14" s="212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247" t="s">
        <v>58</v>
      </c>
      <c r="F15" s="248"/>
      <c r="G15" s="248"/>
      <c r="H15" s="248"/>
      <c r="I15" s="248"/>
      <c r="J15" s="248"/>
      <c r="K15" s="248"/>
      <c r="L15" s="249"/>
      <c r="M15" s="208" t="s">
        <v>38</v>
      </c>
      <c r="N15" s="203"/>
      <c r="O15" s="203"/>
      <c r="P15" s="208" t="s">
        <v>73</v>
      </c>
      <c r="Q15" s="203"/>
      <c r="R15" s="203"/>
      <c r="S15" s="228">
        <v>31</v>
      </c>
      <c r="T15" s="229"/>
      <c r="U15" s="229"/>
      <c r="V15" s="210" t="s">
        <v>89</v>
      </c>
      <c r="W15" s="211"/>
      <c r="X15" s="211"/>
      <c r="Y15" s="211"/>
      <c r="Z15" s="211"/>
      <c r="AA15" s="213"/>
      <c r="AB15" s="214"/>
      <c r="AC15" s="215"/>
      <c r="AD15" s="215"/>
      <c r="AE15" s="215"/>
      <c r="AF15" s="215"/>
      <c r="AG15" s="215"/>
      <c r="AH15" s="215"/>
      <c r="AI15" s="215"/>
      <c r="AJ15" s="215"/>
      <c r="AK15" s="215"/>
      <c r="AL15" s="215"/>
      <c r="AM15" s="215"/>
      <c r="AN15" s="215"/>
      <c r="AO15" s="215"/>
      <c r="AP15" s="215"/>
      <c r="AQ15" s="216"/>
      <c r="AR15" s="208"/>
      <c r="AS15" s="203"/>
      <c r="AT15" s="203"/>
      <c r="AU15" s="203"/>
      <c r="AV15" s="203"/>
      <c r="AW15" s="204"/>
      <c r="AX15" s="210"/>
      <c r="AY15" s="211"/>
      <c r="AZ15" s="211"/>
      <c r="BA15" s="211"/>
      <c r="BB15" s="211"/>
      <c r="BC15" s="211"/>
      <c r="BD15" s="211"/>
      <c r="BE15" s="211"/>
      <c r="BF15" s="211"/>
      <c r="BG15" s="211"/>
      <c r="BH15" s="211"/>
      <c r="BI15" s="211"/>
      <c r="BJ15" s="211"/>
      <c r="BK15" s="211"/>
      <c r="BL15" s="211"/>
      <c r="BM15" s="211"/>
      <c r="BN15" s="211"/>
      <c r="BO15" s="211"/>
      <c r="BP15" s="211"/>
      <c r="BQ15" s="211"/>
      <c r="BR15" s="211"/>
      <c r="BS15" s="211"/>
      <c r="BT15" s="212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247" t="s">
        <v>60</v>
      </c>
      <c r="F16" s="248"/>
      <c r="G16" s="248"/>
      <c r="H16" s="248"/>
      <c r="I16" s="248"/>
      <c r="J16" s="248"/>
      <c r="K16" s="248"/>
      <c r="L16" s="249"/>
      <c r="M16" s="208" t="s">
        <v>38</v>
      </c>
      <c r="N16" s="203"/>
      <c r="O16" s="203"/>
      <c r="P16" s="208" t="s">
        <v>73</v>
      </c>
      <c r="Q16" s="203"/>
      <c r="R16" s="203"/>
      <c r="S16" s="228">
        <v>13</v>
      </c>
      <c r="T16" s="229"/>
      <c r="U16" s="229"/>
      <c r="V16" s="210" t="s">
        <v>90</v>
      </c>
      <c r="W16" s="211"/>
      <c r="X16" s="211"/>
      <c r="Y16" s="211"/>
      <c r="Z16" s="211"/>
      <c r="AA16" s="213"/>
      <c r="AB16" s="214"/>
      <c r="AC16" s="215"/>
      <c r="AD16" s="215"/>
      <c r="AE16" s="215"/>
      <c r="AF16" s="215"/>
      <c r="AG16" s="215"/>
      <c r="AH16" s="215"/>
      <c r="AI16" s="215"/>
      <c r="AJ16" s="215"/>
      <c r="AK16" s="215"/>
      <c r="AL16" s="215"/>
      <c r="AM16" s="215"/>
      <c r="AN16" s="215"/>
      <c r="AO16" s="215"/>
      <c r="AP16" s="215"/>
      <c r="AQ16" s="216"/>
      <c r="AR16" s="208"/>
      <c r="AS16" s="203"/>
      <c r="AT16" s="203"/>
      <c r="AU16" s="203"/>
      <c r="AV16" s="203"/>
      <c r="AW16" s="204"/>
      <c r="AX16" s="210"/>
      <c r="AY16" s="211"/>
      <c r="AZ16" s="211"/>
      <c r="BA16" s="211"/>
      <c r="BB16" s="211"/>
      <c r="BC16" s="211"/>
      <c r="BD16" s="211"/>
      <c r="BE16" s="211"/>
      <c r="BF16" s="211"/>
      <c r="BG16" s="211"/>
      <c r="BH16" s="211"/>
      <c r="BI16" s="211"/>
      <c r="BJ16" s="211"/>
      <c r="BK16" s="211"/>
      <c r="BL16" s="211"/>
      <c r="BM16" s="211"/>
      <c r="BN16" s="211"/>
      <c r="BO16" s="211"/>
      <c r="BP16" s="211"/>
      <c r="BQ16" s="211"/>
      <c r="BR16" s="211"/>
      <c r="BS16" s="211"/>
      <c r="BT16" s="212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247" t="s">
        <v>46</v>
      </c>
      <c r="F17" s="248"/>
      <c r="G17" s="248"/>
      <c r="H17" s="248"/>
      <c r="I17" s="248"/>
      <c r="J17" s="248"/>
      <c r="K17" s="248"/>
      <c r="L17" s="249"/>
      <c r="M17" s="208" t="s">
        <v>47</v>
      </c>
      <c r="N17" s="203"/>
      <c r="O17" s="203"/>
      <c r="P17" s="208" t="s">
        <v>72</v>
      </c>
      <c r="Q17" s="203"/>
      <c r="R17" s="203"/>
      <c r="S17" s="208">
        <v>3</v>
      </c>
      <c r="T17" s="203"/>
      <c r="U17" s="203"/>
      <c r="V17" s="210" t="s">
        <v>91</v>
      </c>
      <c r="W17" s="211"/>
      <c r="X17" s="211"/>
      <c r="Y17" s="211"/>
      <c r="Z17" s="211"/>
      <c r="AA17" s="213"/>
      <c r="AB17" s="214"/>
      <c r="AC17" s="215"/>
      <c r="AD17" s="215"/>
      <c r="AE17" s="215"/>
      <c r="AF17" s="215"/>
      <c r="AG17" s="215"/>
      <c r="AH17" s="215"/>
      <c r="AI17" s="215"/>
      <c r="AJ17" s="215"/>
      <c r="AK17" s="215"/>
      <c r="AL17" s="215"/>
      <c r="AM17" s="215"/>
      <c r="AN17" s="215"/>
      <c r="AO17" s="215"/>
      <c r="AP17" s="215"/>
      <c r="AQ17" s="216"/>
      <c r="AR17" s="208"/>
      <c r="AS17" s="203"/>
      <c r="AT17" s="203"/>
      <c r="AU17" s="203"/>
      <c r="AV17" s="203"/>
      <c r="AW17" s="204"/>
      <c r="AX17" s="210"/>
      <c r="AY17" s="211"/>
      <c r="AZ17" s="211"/>
      <c r="BA17" s="211"/>
      <c r="BB17" s="211"/>
      <c r="BC17" s="211"/>
      <c r="BD17" s="211"/>
      <c r="BE17" s="211"/>
      <c r="BF17" s="211"/>
      <c r="BG17" s="211"/>
      <c r="BH17" s="211"/>
      <c r="BI17" s="211"/>
      <c r="BJ17" s="211"/>
      <c r="BK17" s="211"/>
      <c r="BL17" s="211"/>
      <c r="BM17" s="211"/>
      <c r="BN17" s="211"/>
      <c r="BO17" s="211"/>
      <c r="BP17" s="211"/>
      <c r="BQ17" s="211"/>
      <c r="BR17" s="211"/>
      <c r="BS17" s="211"/>
      <c r="BT17" s="212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178">
        <v>8</v>
      </c>
      <c r="E18" s="250" t="s">
        <v>61</v>
      </c>
      <c r="F18" s="251"/>
      <c r="G18" s="251"/>
      <c r="H18" s="251"/>
      <c r="I18" s="251"/>
      <c r="J18" s="251"/>
      <c r="K18" s="251"/>
      <c r="L18" s="252"/>
      <c r="M18" s="230" t="s">
        <v>38</v>
      </c>
      <c r="N18" s="231"/>
      <c r="O18" s="231"/>
      <c r="P18" s="230" t="s">
        <v>72</v>
      </c>
      <c r="Q18" s="231"/>
      <c r="R18" s="231"/>
      <c r="S18" s="230">
        <v>1</v>
      </c>
      <c r="T18" s="231"/>
      <c r="U18" s="231"/>
      <c r="V18" s="237" t="s">
        <v>92</v>
      </c>
      <c r="W18" s="238"/>
      <c r="X18" s="238"/>
      <c r="Y18" s="238"/>
      <c r="Z18" s="238"/>
      <c r="AA18" s="239"/>
      <c r="AB18" s="237"/>
      <c r="AC18" s="238"/>
      <c r="AD18" s="238"/>
      <c r="AE18" s="238"/>
      <c r="AF18" s="238"/>
      <c r="AG18" s="238"/>
      <c r="AH18" s="238"/>
      <c r="AI18" s="238"/>
      <c r="AJ18" s="238"/>
      <c r="AK18" s="238"/>
      <c r="AL18" s="238"/>
      <c r="AM18" s="238"/>
      <c r="AN18" s="238"/>
      <c r="AO18" s="238"/>
      <c r="AP18" s="238"/>
      <c r="AQ18" s="239"/>
      <c r="AR18" s="230"/>
      <c r="AS18" s="231"/>
      <c r="AT18" s="231"/>
      <c r="AU18" s="231"/>
      <c r="AV18" s="231"/>
      <c r="AW18" s="236"/>
      <c r="AX18" s="243" t="s">
        <v>189</v>
      </c>
      <c r="AY18" s="244"/>
      <c r="AZ18" s="244"/>
      <c r="BA18" s="244"/>
      <c r="BB18" s="244"/>
      <c r="BC18" s="244"/>
      <c r="BD18" s="244"/>
      <c r="BE18" s="244"/>
      <c r="BF18" s="244"/>
      <c r="BG18" s="244"/>
      <c r="BH18" s="244"/>
      <c r="BI18" s="244"/>
      <c r="BJ18" s="244"/>
      <c r="BK18" s="244"/>
      <c r="BL18" s="244"/>
      <c r="BM18" s="244"/>
      <c r="BN18" s="244"/>
      <c r="BO18" s="244"/>
      <c r="BP18" s="244"/>
      <c r="BQ18" s="244"/>
      <c r="BR18" s="244"/>
      <c r="BS18" s="244"/>
      <c r="BT18" s="245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178">
        <v>9</v>
      </c>
      <c r="E19" s="250" t="s">
        <v>62</v>
      </c>
      <c r="F19" s="251"/>
      <c r="G19" s="251"/>
      <c r="H19" s="251"/>
      <c r="I19" s="251"/>
      <c r="J19" s="251"/>
      <c r="K19" s="251"/>
      <c r="L19" s="252"/>
      <c r="M19" s="230" t="s">
        <v>38</v>
      </c>
      <c r="N19" s="231"/>
      <c r="O19" s="231"/>
      <c r="P19" s="230" t="s">
        <v>72</v>
      </c>
      <c r="Q19" s="231"/>
      <c r="R19" s="231"/>
      <c r="S19" s="230">
        <v>1</v>
      </c>
      <c r="T19" s="231"/>
      <c r="U19" s="231"/>
      <c r="V19" s="237" t="s">
        <v>93</v>
      </c>
      <c r="W19" s="238"/>
      <c r="X19" s="238"/>
      <c r="Y19" s="238"/>
      <c r="Z19" s="238"/>
      <c r="AA19" s="239"/>
      <c r="AB19" s="237"/>
      <c r="AC19" s="238"/>
      <c r="AD19" s="238"/>
      <c r="AE19" s="238"/>
      <c r="AF19" s="238"/>
      <c r="AG19" s="238"/>
      <c r="AH19" s="238"/>
      <c r="AI19" s="238"/>
      <c r="AJ19" s="238"/>
      <c r="AK19" s="238"/>
      <c r="AL19" s="238"/>
      <c r="AM19" s="238"/>
      <c r="AN19" s="238"/>
      <c r="AO19" s="238"/>
      <c r="AP19" s="238"/>
      <c r="AQ19" s="239"/>
      <c r="AR19" s="230"/>
      <c r="AS19" s="231"/>
      <c r="AT19" s="231"/>
      <c r="AU19" s="231"/>
      <c r="AV19" s="231"/>
      <c r="AW19" s="236"/>
      <c r="AX19" s="243" t="s">
        <v>189</v>
      </c>
      <c r="AY19" s="244"/>
      <c r="AZ19" s="244"/>
      <c r="BA19" s="244"/>
      <c r="BB19" s="244"/>
      <c r="BC19" s="244"/>
      <c r="BD19" s="244"/>
      <c r="BE19" s="244"/>
      <c r="BF19" s="244"/>
      <c r="BG19" s="244"/>
      <c r="BH19" s="244"/>
      <c r="BI19" s="244"/>
      <c r="BJ19" s="244"/>
      <c r="BK19" s="244"/>
      <c r="BL19" s="244"/>
      <c r="BM19" s="244"/>
      <c r="BN19" s="244"/>
      <c r="BO19" s="244"/>
      <c r="BP19" s="244"/>
      <c r="BQ19" s="244"/>
      <c r="BR19" s="244"/>
      <c r="BS19" s="244"/>
      <c r="BT19" s="245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 s="29"/>
      <c r="D20" s="37">
        <v>10</v>
      </c>
      <c r="E20" s="247" t="s">
        <v>80</v>
      </c>
      <c r="F20" s="248"/>
      <c r="G20" s="248"/>
      <c r="H20" s="248"/>
      <c r="I20" s="248"/>
      <c r="J20" s="248"/>
      <c r="K20" s="248"/>
      <c r="L20" s="249"/>
      <c r="M20" s="208" t="s">
        <v>38</v>
      </c>
      <c r="N20" s="203"/>
      <c r="O20" s="203"/>
      <c r="P20" s="208" t="s">
        <v>72</v>
      </c>
      <c r="Q20" s="203"/>
      <c r="R20" s="203"/>
      <c r="S20" s="208">
        <v>7</v>
      </c>
      <c r="T20" s="203"/>
      <c r="U20" s="203"/>
      <c r="V20" s="210" t="s">
        <v>94</v>
      </c>
      <c r="W20" s="211"/>
      <c r="X20" s="211"/>
      <c r="Y20" s="211"/>
      <c r="Z20" s="211"/>
      <c r="AA20" s="213"/>
      <c r="AB20" s="214"/>
      <c r="AC20" s="215"/>
      <c r="AD20" s="215"/>
      <c r="AE20" s="215"/>
      <c r="AF20" s="215"/>
      <c r="AG20" s="215"/>
      <c r="AH20" s="215"/>
      <c r="AI20" s="215"/>
      <c r="AJ20" s="215"/>
      <c r="AK20" s="215"/>
      <c r="AL20" s="215"/>
      <c r="AM20" s="215"/>
      <c r="AN20" s="215"/>
      <c r="AO20" s="215"/>
      <c r="AP20" s="215"/>
      <c r="AQ20" s="216"/>
      <c r="AR20" s="208"/>
      <c r="AS20" s="203"/>
      <c r="AT20" s="203"/>
      <c r="AU20" s="203"/>
      <c r="AV20" s="203"/>
      <c r="AW20" s="204"/>
      <c r="AX20" s="210"/>
      <c r="AY20" s="211"/>
      <c r="AZ20" s="211"/>
      <c r="BA20" s="211"/>
      <c r="BB20" s="211"/>
      <c r="BC20" s="211"/>
      <c r="BD20" s="211"/>
      <c r="BE20" s="211"/>
      <c r="BF20" s="211"/>
      <c r="BG20" s="211"/>
      <c r="BH20" s="211"/>
      <c r="BI20" s="211"/>
      <c r="BJ20" s="211"/>
      <c r="BK20" s="211"/>
      <c r="BL20" s="211"/>
      <c r="BM20" s="211"/>
      <c r="BN20" s="211"/>
      <c r="BO20" s="211"/>
      <c r="BP20" s="211"/>
      <c r="BQ20" s="211"/>
      <c r="BR20" s="211"/>
      <c r="BS20" s="211"/>
      <c r="BT20" s="212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247" t="s">
        <v>81</v>
      </c>
      <c r="F21" s="248"/>
      <c r="G21" s="248"/>
      <c r="H21" s="248"/>
      <c r="I21" s="248"/>
      <c r="J21" s="248"/>
      <c r="K21" s="248"/>
      <c r="L21" s="249"/>
      <c r="M21" s="208" t="s">
        <v>38</v>
      </c>
      <c r="N21" s="203"/>
      <c r="O21" s="203"/>
      <c r="P21" s="208" t="s">
        <v>72</v>
      </c>
      <c r="Q21" s="203"/>
      <c r="R21" s="203"/>
      <c r="S21" s="208">
        <v>7</v>
      </c>
      <c r="T21" s="203"/>
      <c r="U21" s="203"/>
      <c r="V21" s="210" t="s">
        <v>95</v>
      </c>
      <c r="W21" s="211"/>
      <c r="X21" s="211"/>
      <c r="Y21" s="211"/>
      <c r="Z21" s="211"/>
      <c r="AA21" s="213"/>
      <c r="AB21" s="214"/>
      <c r="AC21" s="215"/>
      <c r="AD21" s="215"/>
      <c r="AE21" s="215"/>
      <c r="AF21" s="215"/>
      <c r="AG21" s="215"/>
      <c r="AH21" s="215"/>
      <c r="AI21" s="215"/>
      <c r="AJ21" s="215"/>
      <c r="AK21" s="215"/>
      <c r="AL21" s="215"/>
      <c r="AM21" s="215"/>
      <c r="AN21" s="215"/>
      <c r="AO21" s="215"/>
      <c r="AP21" s="215"/>
      <c r="AQ21" s="216"/>
      <c r="AR21" s="208"/>
      <c r="AS21" s="203"/>
      <c r="AT21" s="203"/>
      <c r="AU21" s="203"/>
      <c r="AV21" s="203"/>
      <c r="AW21" s="204"/>
      <c r="AX21" s="210"/>
      <c r="AY21" s="211"/>
      <c r="AZ21" s="211"/>
      <c r="BA21" s="211"/>
      <c r="BB21" s="211"/>
      <c r="BC21" s="211"/>
      <c r="BD21" s="211"/>
      <c r="BE21" s="211"/>
      <c r="BF21" s="211"/>
      <c r="BG21" s="211"/>
      <c r="BH21" s="211"/>
      <c r="BI21" s="211"/>
      <c r="BJ21" s="211"/>
      <c r="BK21" s="211"/>
      <c r="BL21" s="211"/>
      <c r="BM21" s="211"/>
      <c r="BN21" s="211"/>
      <c r="BO21" s="211"/>
      <c r="BP21" s="211"/>
      <c r="BQ21" s="211"/>
      <c r="BR21" s="211"/>
      <c r="BS21" s="211"/>
      <c r="BT21" s="212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247" t="s">
        <v>63</v>
      </c>
      <c r="F22" s="248"/>
      <c r="G22" s="248"/>
      <c r="H22" s="248"/>
      <c r="I22" s="248"/>
      <c r="J22" s="248"/>
      <c r="K22" s="248"/>
      <c r="L22" s="249"/>
      <c r="M22" s="208" t="s">
        <v>38</v>
      </c>
      <c r="N22" s="203"/>
      <c r="O22" s="203"/>
      <c r="P22" s="208" t="s">
        <v>73</v>
      </c>
      <c r="Q22" s="203"/>
      <c r="R22" s="203"/>
      <c r="S22" s="201" t="s">
        <v>99</v>
      </c>
      <c r="T22" s="232"/>
      <c r="U22" s="232"/>
      <c r="V22" s="210" t="s">
        <v>96</v>
      </c>
      <c r="W22" s="211"/>
      <c r="X22" s="211"/>
      <c r="Y22" s="211"/>
      <c r="Z22" s="211"/>
      <c r="AA22" s="213"/>
      <c r="AB22" s="214" t="s">
        <v>132</v>
      </c>
      <c r="AC22" s="215"/>
      <c r="AD22" s="215"/>
      <c r="AE22" s="215"/>
      <c r="AF22" s="215"/>
      <c r="AG22" s="215"/>
      <c r="AH22" s="215"/>
      <c r="AI22" s="215"/>
      <c r="AJ22" s="215"/>
      <c r="AK22" s="215"/>
      <c r="AL22" s="215"/>
      <c r="AM22" s="215"/>
      <c r="AN22" s="215"/>
      <c r="AO22" s="215"/>
      <c r="AP22" s="215"/>
      <c r="AQ22" s="216"/>
      <c r="AR22" s="208"/>
      <c r="AS22" s="203"/>
      <c r="AT22" s="203"/>
      <c r="AU22" s="203"/>
      <c r="AV22" s="203"/>
      <c r="AW22" s="204"/>
      <c r="AX22" s="210"/>
      <c r="AY22" s="211"/>
      <c r="AZ22" s="211"/>
      <c r="BA22" s="211"/>
      <c r="BB22" s="211"/>
      <c r="BC22" s="211"/>
      <c r="BD22" s="211"/>
      <c r="BE22" s="211"/>
      <c r="BF22" s="211"/>
      <c r="BG22" s="211"/>
      <c r="BH22" s="211"/>
      <c r="BI22" s="211"/>
      <c r="BJ22" s="211"/>
      <c r="BK22" s="211"/>
      <c r="BL22" s="211"/>
      <c r="BM22" s="211"/>
      <c r="BN22" s="211"/>
      <c r="BO22" s="211"/>
      <c r="BP22" s="211"/>
      <c r="BQ22" s="211"/>
      <c r="BR22" s="211"/>
      <c r="BS22" s="211"/>
      <c r="BT22" s="212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247" t="s">
        <v>83</v>
      </c>
      <c r="F23" s="248"/>
      <c r="G23" s="248"/>
      <c r="H23" s="248"/>
      <c r="I23" s="248"/>
      <c r="J23" s="248"/>
      <c r="K23" s="248"/>
      <c r="L23" s="249"/>
      <c r="M23" s="208" t="s">
        <v>47</v>
      </c>
      <c r="N23" s="203"/>
      <c r="O23" s="203"/>
      <c r="P23" s="208" t="s">
        <v>72</v>
      </c>
      <c r="Q23" s="203"/>
      <c r="R23" s="203"/>
      <c r="S23" s="201" t="s">
        <v>99</v>
      </c>
      <c r="T23" s="232"/>
      <c r="U23" s="232"/>
      <c r="V23" s="210" t="s">
        <v>97</v>
      </c>
      <c r="W23" s="211"/>
      <c r="X23" s="211"/>
      <c r="Y23" s="211"/>
      <c r="Z23" s="211"/>
      <c r="AA23" s="213"/>
      <c r="AB23" s="214"/>
      <c r="AC23" s="215"/>
      <c r="AD23" s="215"/>
      <c r="AE23" s="215"/>
      <c r="AF23" s="215"/>
      <c r="AG23" s="215"/>
      <c r="AH23" s="215"/>
      <c r="AI23" s="215"/>
      <c r="AJ23" s="215"/>
      <c r="AK23" s="215"/>
      <c r="AL23" s="215"/>
      <c r="AM23" s="215"/>
      <c r="AN23" s="215"/>
      <c r="AO23" s="215"/>
      <c r="AP23" s="215"/>
      <c r="AQ23" s="216"/>
      <c r="AR23" s="208"/>
      <c r="AS23" s="203"/>
      <c r="AT23" s="203"/>
      <c r="AU23" s="203"/>
      <c r="AV23" s="203"/>
      <c r="AW23" s="204"/>
      <c r="AX23" s="210"/>
      <c r="AY23" s="211"/>
      <c r="AZ23" s="211"/>
      <c r="BA23" s="211"/>
      <c r="BB23" s="211"/>
      <c r="BC23" s="211"/>
      <c r="BD23" s="211"/>
      <c r="BE23" s="211"/>
      <c r="BF23" s="211"/>
      <c r="BG23" s="211"/>
      <c r="BH23" s="211"/>
      <c r="BI23" s="211"/>
      <c r="BJ23" s="211"/>
      <c r="BK23" s="211"/>
      <c r="BL23" s="211"/>
      <c r="BM23" s="211"/>
      <c r="BN23" s="211"/>
      <c r="BO23" s="211"/>
      <c r="BP23" s="211"/>
      <c r="BQ23" s="211"/>
      <c r="BR23" s="211"/>
      <c r="BS23" s="211"/>
      <c r="BT23" s="212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247" t="s">
        <v>84</v>
      </c>
      <c r="F24" s="248"/>
      <c r="G24" s="248"/>
      <c r="H24" s="248"/>
      <c r="I24" s="248"/>
      <c r="J24" s="248"/>
      <c r="K24" s="248"/>
      <c r="L24" s="249"/>
      <c r="M24" s="208" t="s">
        <v>47</v>
      </c>
      <c r="N24" s="203"/>
      <c r="O24" s="203"/>
      <c r="P24" s="208" t="s">
        <v>72</v>
      </c>
      <c r="Q24" s="203"/>
      <c r="R24" s="203"/>
      <c r="S24" s="201" t="s">
        <v>99</v>
      </c>
      <c r="T24" s="232"/>
      <c r="U24" s="232"/>
      <c r="V24" s="210" t="s">
        <v>98</v>
      </c>
      <c r="W24" s="211"/>
      <c r="X24" s="211"/>
      <c r="Y24" s="211"/>
      <c r="Z24" s="211"/>
      <c r="AA24" s="213"/>
      <c r="AB24" s="214"/>
      <c r="AC24" s="215"/>
      <c r="AD24" s="215"/>
      <c r="AE24" s="215"/>
      <c r="AF24" s="215"/>
      <c r="AG24" s="215"/>
      <c r="AH24" s="215"/>
      <c r="AI24" s="215"/>
      <c r="AJ24" s="215"/>
      <c r="AK24" s="215"/>
      <c r="AL24" s="215"/>
      <c r="AM24" s="215"/>
      <c r="AN24" s="215"/>
      <c r="AO24" s="215"/>
      <c r="AP24" s="215"/>
      <c r="AQ24" s="216"/>
      <c r="AR24" s="208"/>
      <c r="AS24" s="203"/>
      <c r="AT24" s="203"/>
      <c r="AU24" s="203"/>
      <c r="AV24" s="203"/>
      <c r="AW24" s="204"/>
      <c r="AX24" s="210"/>
      <c r="AY24" s="211"/>
      <c r="AZ24" s="211"/>
      <c r="BA24" s="211"/>
      <c r="BB24" s="211"/>
      <c r="BC24" s="211"/>
      <c r="BD24" s="211"/>
      <c r="BE24" s="211"/>
      <c r="BF24" s="211"/>
      <c r="BG24" s="211"/>
      <c r="BH24" s="211"/>
      <c r="BI24" s="211"/>
      <c r="BJ24" s="211"/>
      <c r="BK24" s="211"/>
      <c r="BL24" s="211"/>
      <c r="BM24" s="211"/>
      <c r="BN24" s="211"/>
      <c r="BO24" s="211"/>
      <c r="BP24" s="211"/>
      <c r="BQ24" s="211"/>
      <c r="BR24" s="211"/>
      <c r="BS24" s="211"/>
      <c r="BT24" s="212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247" t="s">
        <v>85</v>
      </c>
      <c r="F25" s="248"/>
      <c r="G25" s="248"/>
      <c r="H25" s="248"/>
      <c r="I25" s="248"/>
      <c r="J25" s="248"/>
      <c r="K25" s="248"/>
      <c r="L25" s="249"/>
      <c r="M25" s="208" t="s">
        <v>47</v>
      </c>
      <c r="N25" s="203"/>
      <c r="O25" s="203"/>
      <c r="P25" s="208" t="s">
        <v>72</v>
      </c>
      <c r="Q25" s="203"/>
      <c r="R25" s="203"/>
      <c r="S25" s="201" t="s">
        <v>99</v>
      </c>
      <c r="T25" s="232"/>
      <c r="U25" s="232"/>
      <c r="V25" s="210" t="s">
        <v>134</v>
      </c>
      <c r="W25" s="211"/>
      <c r="X25" s="211"/>
      <c r="Y25" s="211"/>
      <c r="Z25" s="211"/>
      <c r="AA25" s="213"/>
      <c r="AB25" s="214"/>
      <c r="AC25" s="215"/>
      <c r="AD25" s="215"/>
      <c r="AE25" s="215"/>
      <c r="AF25" s="215"/>
      <c r="AG25" s="215"/>
      <c r="AH25" s="215"/>
      <c r="AI25" s="215"/>
      <c r="AJ25" s="215"/>
      <c r="AK25" s="215"/>
      <c r="AL25" s="215"/>
      <c r="AM25" s="215"/>
      <c r="AN25" s="215"/>
      <c r="AO25" s="215"/>
      <c r="AP25" s="215"/>
      <c r="AQ25" s="216"/>
      <c r="AR25" s="208"/>
      <c r="AS25" s="203"/>
      <c r="AT25" s="203"/>
      <c r="AU25" s="203"/>
      <c r="AV25" s="203"/>
      <c r="AW25" s="204"/>
      <c r="AX25" s="210"/>
      <c r="AY25" s="211"/>
      <c r="AZ25" s="211"/>
      <c r="BA25" s="211"/>
      <c r="BB25" s="211"/>
      <c r="BC25" s="211"/>
      <c r="BD25" s="211"/>
      <c r="BE25" s="211"/>
      <c r="BF25" s="211"/>
      <c r="BG25" s="211"/>
      <c r="BH25" s="211"/>
      <c r="BI25" s="211"/>
      <c r="BJ25" s="211"/>
      <c r="BK25" s="211"/>
      <c r="BL25" s="211"/>
      <c r="BM25" s="211"/>
      <c r="BN25" s="211"/>
      <c r="BO25" s="211"/>
      <c r="BP25" s="211"/>
      <c r="BQ25" s="211"/>
      <c r="BR25" s="211"/>
      <c r="BS25" s="211"/>
      <c r="BT25" s="212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247" t="s">
        <v>64</v>
      </c>
      <c r="F26" s="248"/>
      <c r="G26" s="248"/>
      <c r="H26" s="248"/>
      <c r="I26" s="248"/>
      <c r="J26" s="248"/>
      <c r="K26" s="248"/>
      <c r="L26" s="249"/>
      <c r="M26" s="208" t="s">
        <v>38</v>
      </c>
      <c r="N26" s="203"/>
      <c r="O26" s="203"/>
      <c r="P26" s="208" t="s">
        <v>73</v>
      </c>
      <c r="Q26" s="203"/>
      <c r="R26" s="203"/>
      <c r="S26" s="228">
        <v>2</v>
      </c>
      <c r="T26" s="229"/>
      <c r="U26" s="229"/>
      <c r="V26" s="210" t="s">
        <v>135</v>
      </c>
      <c r="W26" s="211"/>
      <c r="X26" s="211"/>
      <c r="Y26" s="211"/>
      <c r="Z26" s="211"/>
      <c r="AA26" s="213"/>
      <c r="AB26" s="214"/>
      <c r="AC26" s="215"/>
      <c r="AD26" s="215"/>
      <c r="AE26" s="215"/>
      <c r="AF26" s="215"/>
      <c r="AG26" s="215"/>
      <c r="AH26" s="215"/>
      <c r="AI26" s="215"/>
      <c r="AJ26" s="215"/>
      <c r="AK26" s="215"/>
      <c r="AL26" s="215"/>
      <c r="AM26" s="215"/>
      <c r="AN26" s="215"/>
      <c r="AO26" s="215"/>
      <c r="AP26" s="215"/>
      <c r="AQ26" s="216"/>
      <c r="AR26" s="208"/>
      <c r="AS26" s="203"/>
      <c r="AT26" s="203"/>
      <c r="AU26" s="203"/>
      <c r="AV26" s="203"/>
      <c r="AW26" s="204"/>
      <c r="AX26" s="210"/>
      <c r="AY26" s="211"/>
      <c r="AZ26" s="211"/>
      <c r="BA26" s="211"/>
      <c r="BB26" s="211"/>
      <c r="BC26" s="211"/>
      <c r="BD26" s="211"/>
      <c r="BE26" s="211"/>
      <c r="BF26" s="211"/>
      <c r="BG26" s="211"/>
      <c r="BH26" s="211"/>
      <c r="BI26" s="211"/>
      <c r="BJ26" s="211"/>
      <c r="BK26" s="211"/>
      <c r="BL26" s="211"/>
      <c r="BM26" s="211"/>
      <c r="BN26" s="211"/>
      <c r="BO26" s="211"/>
      <c r="BP26" s="211"/>
      <c r="BQ26" s="211"/>
      <c r="BR26" s="211"/>
      <c r="BS26" s="211"/>
      <c r="BT26" s="212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s="5" customFormat="1" ht="20.100000000000001" customHeight="1" x14ac:dyDescent="0.45">
      <c r="A27" s="29"/>
      <c r="B27" s="35"/>
      <c r="C27"/>
      <c r="D27" s="37">
        <v>17</v>
      </c>
      <c r="E27" s="87" t="s">
        <v>75</v>
      </c>
      <c r="F27" s="88"/>
      <c r="G27" s="88"/>
      <c r="H27" s="88"/>
      <c r="I27" s="88"/>
      <c r="J27" s="88"/>
      <c r="K27" s="88"/>
      <c r="L27" s="89"/>
      <c r="M27" s="208" t="s">
        <v>38</v>
      </c>
      <c r="N27" s="203"/>
      <c r="O27" s="204"/>
      <c r="P27" s="208" t="s">
        <v>72</v>
      </c>
      <c r="Q27" s="203"/>
      <c r="R27" s="203"/>
      <c r="S27" s="201">
        <v>4</v>
      </c>
      <c r="T27" s="232"/>
      <c r="U27" s="232"/>
      <c r="V27" s="210" t="s">
        <v>136</v>
      </c>
      <c r="W27" s="211"/>
      <c r="X27" s="211"/>
      <c r="Y27" s="211"/>
      <c r="Z27" s="211"/>
      <c r="AA27" s="213"/>
      <c r="AB27" s="214"/>
      <c r="AC27" s="215"/>
      <c r="AD27" s="215"/>
      <c r="AE27" s="215"/>
      <c r="AF27" s="215"/>
      <c r="AG27" s="215"/>
      <c r="AH27" s="215"/>
      <c r="AI27" s="215"/>
      <c r="AJ27" s="215"/>
      <c r="AK27" s="215"/>
      <c r="AL27" s="215"/>
      <c r="AM27" s="215"/>
      <c r="AN27" s="215"/>
      <c r="AO27" s="215"/>
      <c r="AP27" s="215"/>
      <c r="AQ27" s="216"/>
      <c r="AR27" s="208"/>
      <c r="AS27" s="203"/>
      <c r="AT27" s="203"/>
      <c r="AU27" s="203"/>
      <c r="AV27" s="203"/>
      <c r="AW27" s="204"/>
      <c r="AX27" s="210"/>
      <c r="AY27" s="211"/>
      <c r="AZ27" s="211"/>
      <c r="BA27" s="211"/>
      <c r="BB27" s="211"/>
      <c r="BC27" s="211"/>
      <c r="BD27" s="211"/>
      <c r="BE27" s="211"/>
      <c r="BF27" s="211"/>
      <c r="BG27" s="211"/>
      <c r="BH27" s="211"/>
      <c r="BI27" s="211"/>
      <c r="BJ27" s="211"/>
      <c r="BK27" s="211"/>
      <c r="BL27" s="211"/>
      <c r="BM27" s="211"/>
      <c r="BN27" s="211"/>
      <c r="BO27" s="211"/>
      <c r="BP27" s="211"/>
      <c r="BQ27" s="211"/>
      <c r="BR27" s="211"/>
      <c r="BS27" s="211"/>
      <c r="BT27" s="212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20.100000000000001" customHeight="1" x14ac:dyDescent="0.45">
      <c r="A28" s="29"/>
      <c r="B28" s="44"/>
      <c r="C28"/>
      <c r="D28" s="37">
        <v>18</v>
      </c>
      <c r="E28" s="247" t="s">
        <v>65</v>
      </c>
      <c r="F28" s="248"/>
      <c r="G28" s="248"/>
      <c r="H28" s="248"/>
      <c r="I28" s="248"/>
      <c r="J28" s="248"/>
      <c r="K28" s="248"/>
      <c r="L28" s="249"/>
      <c r="M28" s="208" t="s">
        <v>38</v>
      </c>
      <c r="N28" s="203"/>
      <c r="O28" s="204"/>
      <c r="P28" s="208" t="s">
        <v>73</v>
      </c>
      <c r="Q28" s="203"/>
      <c r="R28" s="203"/>
      <c r="S28" s="201">
        <v>8</v>
      </c>
      <c r="T28" s="232"/>
      <c r="U28" s="232"/>
      <c r="V28" s="210" t="s">
        <v>137</v>
      </c>
      <c r="W28" s="211"/>
      <c r="X28" s="211"/>
      <c r="Y28" s="211"/>
      <c r="Z28" s="211"/>
      <c r="AA28" s="213"/>
      <c r="AB28" s="214"/>
      <c r="AC28" s="215"/>
      <c r="AD28" s="215"/>
      <c r="AE28" s="215"/>
      <c r="AF28" s="215"/>
      <c r="AG28" s="215"/>
      <c r="AH28" s="215"/>
      <c r="AI28" s="215"/>
      <c r="AJ28" s="215"/>
      <c r="AK28" s="215"/>
      <c r="AL28" s="215"/>
      <c r="AM28" s="215"/>
      <c r="AN28" s="215"/>
      <c r="AO28" s="215"/>
      <c r="AP28" s="215"/>
      <c r="AQ28" s="216"/>
      <c r="AR28" s="208"/>
      <c r="AS28" s="203"/>
      <c r="AT28" s="203"/>
      <c r="AU28" s="203"/>
      <c r="AV28" s="203"/>
      <c r="AW28" s="204"/>
      <c r="AX28" s="210"/>
      <c r="AY28" s="211"/>
      <c r="AZ28" s="211"/>
      <c r="BA28" s="211"/>
      <c r="BB28" s="211"/>
      <c r="BC28" s="211"/>
      <c r="BD28" s="211"/>
      <c r="BE28" s="211"/>
      <c r="BF28" s="211"/>
      <c r="BG28" s="211"/>
      <c r="BH28" s="211"/>
      <c r="BI28" s="211"/>
      <c r="BJ28" s="211"/>
      <c r="BK28" s="211"/>
      <c r="BL28" s="211"/>
      <c r="BM28" s="211"/>
      <c r="BN28" s="211"/>
      <c r="BO28" s="211"/>
      <c r="BP28" s="211"/>
      <c r="BQ28" s="211"/>
      <c r="BR28" s="211"/>
      <c r="BS28" s="211"/>
      <c r="BT28" s="212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8" x14ac:dyDescent="0.45">
      <c r="A29" s="29"/>
      <c r="B29" s="44"/>
      <c r="C29"/>
      <c r="D29" s="37">
        <v>19</v>
      </c>
      <c r="E29" s="87" t="s">
        <v>76</v>
      </c>
      <c r="F29" s="88"/>
      <c r="G29" s="88"/>
      <c r="H29" s="88"/>
      <c r="I29" s="88"/>
      <c r="J29" s="88"/>
      <c r="K29" s="88"/>
      <c r="L29" s="89"/>
      <c r="M29" s="208" t="s">
        <v>38</v>
      </c>
      <c r="N29" s="203"/>
      <c r="O29" s="204"/>
      <c r="P29" s="208" t="s">
        <v>72</v>
      </c>
      <c r="Q29" s="203"/>
      <c r="R29" s="203"/>
      <c r="S29" s="201">
        <v>4</v>
      </c>
      <c r="T29" s="232"/>
      <c r="U29" s="232"/>
      <c r="V29" s="210" t="s">
        <v>138</v>
      </c>
      <c r="W29" s="211"/>
      <c r="X29" s="211"/>
      <c r="Y29" s="211"/>
      <c r="Z29" s="211"/>
      <c r="AA29" s="213"/>
      <c r="AB29" s="214"/>
      <c r="AC29" s="215"/>
      <c r="AD29" s="215"/>
      <c r="AE29" s="215"/>
      <c r="AF29" s="215"/>
      <c r="AG29" s="215"/>
      <c r="AH29" s="215"/>
      <c r="AI29" s="215"/>
      <c r="AJ29" s="215"/>
      <c r="AK29" s="215"/>
      <c r="AL29" s="215"/>
      <c r="AM29" s="215"/>
      <c r="AN29" s="215"/>
      <c r="AO29" s="215"/>
      <c r="AP29" s="215"/>
      <c r="AQ29" s="216"/>
      <c r="AR29" s="208"/>
      <c r="AS29" s="203"/>
      <c r="AT29" s="203"/>
      <c r="AU29" s="203"/>
      <c r="AV29" s="203"/>
      <c r="AW29" s="204"/>
      <c r="AX29" s="210"/>
      <c r="AY29" s="211"/>
      <c r="AZ29" s="211"/>
      <c r="BA29" s="211"/>
      <c r="BB29" s="211"/>
      <c r="BC29" s="211"/>
      <c r="BD29" s="211"/>
      <c r="BE29" s="211"/>
      <c r="BF29" s="211"/>
      <c r="BG29" s="211"/>
      <c r="BH29" s="211"/>
      <c r="BI29" s="211"/>
      <c r="BJ29" s="211"/>
      <c r="BK29" s="211"/>
      <c r="BL29" s="211"/>
      <c r="BM29" s="211"/>
      <c r="BN29" s="211"/>
      <c r="BO29" s="211"/>
      <c r="BP29" s="211"/>
      <c r="BQ29" s="211"/>
      <c r="BR29" s="211"/>
      <c r="BS29" s="211"/>
      <c r="BT29" s="212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s="5" customFormat="1" ht="18" customHeight="1" x14ac:dyDescent="0.45">
      <c r="A30" s="30"/>
      <c r="B30" s="44"/>
      <c r="C30" s="30"/>
      <c r="D30" s="37">
        <v>20</v>
      </c>
      <c r="E30" s="247" t="s">
        <v>66</v>
      </c>
      <c r="F30" s="248"/>
      <c r="G30" s="248"/>
      <c r="H30" s="248"/>
      <c r="I30" s="248"/>
      <c r="J30" s="248"/>
      <c r="K30" s="248"/>
      <c r="L30" s="249"/>
      <c r="M30" s="208" t="s">
        <v>38</v>
      </c>
      <c r="N30" s="203"/>
      <c r="O30" s="204"/>
      <c r="P30" s="208" t="s">
        <v>73</v>
      </c>
      <c r="Q30" s="203"/>
      <c r="R30" s="203"/>
      <c r="S30" s="201">
        <v>8</v>
      </c>
      <c r="T30" s="232"/>
      <c r="U30" s="232"/>
      <c r="V30" s="210" t="s">
        <v>139</v>
      </c>
      <c r="W30" s="211"/>
      <c r="X30" s="211"/>
      <c r="Y30" s="211"/>
      <c r="Z30" s="211"/>
      <c r="AA30" s="213"/>
      <c r="AB30" s="214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5"/>
      <c r="AO30" s="215"/>
      <c r="AP30" s="215"/>
      <c r="AQ30" s="216"/>
      <c r="AR30" s="208"/>
      <c r="AS30" s="203"/>
      <c r="AT30" s="203"/>
      <c r="AU30" s="203"/>
      <c r="AV30" s="203"/>
      <c r="AW30" s="204"/>
      <c r="AX30" s="210"/>
      <c r="AY30" s="211"/>
      <c r="AZ30" s="211"/>
      <c r="BA30" s="211"/>
      <c r="BB30" s="211"/>
      <c r="BC30" s="211"/>
      <c r="BD30" s="211"/>
      <c r="BE30" s="211"/>
      <c r="BF30" s="211"/>
      <c r="BG30" s="211"/>
      <c r="BH30" s="211"/>
      <c r="BI30" s="211"/>
      <c r="BJ30" s="211"/>
      <c r="BK30" s="211"/>
      <c r="BL30" s="211"/>
      <c r="BM30" s="211"/>
      <c r="BN30" s="211"/>
      <c r="BO30" s="211"/>
      <c r="BP30" s="211"/>
      <c r="BQ30" s="211"/>
      <c r="BR30" s="211"/>
      <c r="BS30" s="211"/>
      <c r="BT30" s="212"/>
      <c r="BU30" s="41"/>
      <c r="BV30" s="40"/>
      <c r="BW30" s="41"/>
      <c r="BX30" s="41"/>
      <c r="BY30" s="41"/>
      <c r="BZ30" s="41"/>
      <c r="CA30" s="41"/>
      <c r="CB30" s="41"/>
      <c r="CC30" s="30"/>
      <c r="CD30" s="30"/>
      <c r="CE30" s="30"/>
      <c r="CF30" s="30"/>
      <c r="CG30" s="30"/>
    </row>
    <row r="31" spans="1:85" s="5" customFormat="1" ht="28.8" customHeight="1" x14ac:dyDescent="0.45">
      <c r="A31" s="30"/>
      <c r="B31" s="44"/>
      <c r="C31" s="29"/>
      <c r="D31" s="37">
        <v>21</v>
      </c>
      <c r="E31" s="87" t="s">
        <v>67</v>
      </c>
      <c r="F31" s="88"/>
      <c r="G31" s="88"/>
      <c r="H31" s="88"/>
      <c r="I31" s="88"/>
      <c r="J31" s="88"/>
      <c r="K31" s="88"/>
      <c r="L31" s="89"/>
      <c r="M31" s="208" t="s">
        <v>47</v>
      </c>
      <c r="N31" s="203"/>
      <c r="O31" s="204"/>
      <c r="P31" s="208" t="s">
        <v>72</v>
      </c>
      <c r="Q31" s="203"/>
      <c r="R31" s="203"/>
      <c r="S31" s="201" t="s">
        <v>99</v>
      </c>
      <c r="T31" s="232"/>
      <c r="U31" s="232"/>
      <c r="V31" s="223" t="s">
        <v>78</v>
      </c>
      <c r="W31" s="224"/>
      <c r="X31" s="224"/>
      <c r="Y31" s="224"/>
      <c r="Z31" s="224"/>
      <c r="AA31" s="225"/>
      <c r="AB31" s="214" t="s">
        <v>79</v>
      </c>
      <c r="AC31" s="215"/>
      <c r="AD31" s="215"/>
      <c r="AE31" s="215"/>
      <c r="AF31" s="215"/>
      <c r="AG31" s="215"/>
      <c r="AH31" s="215"/>
      <c r="AI31" s="215"/>
      <c r="AJ31" s="215"/>
      <c r="AK31" s="215"/>
      <c r="AL31" s="215"/>
      <c r="AM31" s="215"/>
      <c r="AN31" s="215"/>
      <c r="AO31" s="215"/>
      <c r="AP31" s="215"/>
      <c r="AQ31" s="216"/>
      <c r="AR31" s="208">
        <v>9.99</v>
      </c>
      <c r="AS31" s="203"/>
      <c r="AT31" s="203"/>
      <c r="AU31" s="203"/>
      <c r="AV31" s="203"/>
      <c r="AW31" s="204"/>
      <c r="AX31" s="210"/>
      <c r="AY31" s="211"/>
      <c r="AZ31" s="211"/>
      <c r="BA31" s="211"/>
      <c r="BB31" s="211"/>
      <c r="BC31" s="211"/>
      <c r="BD31" s="211"/>
      <c r="BE31" s="211"/>
      <c r="BF31" s="211"/>
      <c r="BG31" s="211"/>
      <c r="BH31" s="211"/>
      <c r="BI31" s="211"/>
      <c r="BJ31" s="211"/>
      <c r="BK31" s="211"/>
      <c r="BL31" s="211"/>
      <c r="BM31" s="211"/>
      <c r="BN31" s="211"/>
      <c r="BO31" s="211"/>
      <c r="BP31" s="211"/>
      <c r="BQ31" s="211"/>
      <c r="BR31" s="211"/>
      <c r="BS31" s="211"/>
      <c r="BT31" s="212"/>
      <c r="BU31" s="41"/>
      <c r="BV31" s="40"/>
      <c r="BW31" s="41"/>
      <c r="BX31" s="41"/>
      <c r="BY31" s="41"/>
      <c r="BZ31" s="41"/>
      <c r="CA31" s="41"/>
      <c r="CB31" s="41"/>
      <c r="CC31" s="30"/>
      <c r="CD31" s="30"/>
      <c r="CE31" s="30"/>
      <c r="CF31" s="30"/>
      <c r="CG31" s="30"/>
    </row>
    <row r="32" spans="1:85" s="5" customFormat="1" ht="20.100000000000001" customHeight="1" x14ac:dyDescent="0.45">
      <c r="A32" s="29"/>
      <c r="B32" s="35"/>
      <c r="C32" s="29"/>
      <c r="D32" s="37">
        <v>22</v>
      </c>
      <c r="E32" s="87" t="s">
        <v>68</v>
      </c>
      <c r="F32" s="88"/>
      <c r="G32" s="88"/>
      <c r="H32" s="88"/>
      <c r="I32" s="88"/>
      <c r="J32" s="88"/>
      <c r="K32" s="88"/>
      <c r="L32" s="89"/>
      <c r="M32" s="208" t="s">
        <v>38</v>
      </c>
      <c r="N32" s="203"/>
      <c r="O32" s="204"/>
      <c r="P32" s="208" t="s">
        <v>72</v>
      </c>
      <c r="Q32" s="203"/>
      <c r="R32" s="203"/>
      <c r="S32" s="201">
        <v>6</v>
      </c>
      <c r="T32" s="232"/>
      <c r="U32" s="232"/>
      <c r="V32" s="210" t="s">
        <v>140</v>
      </c>
      <c r="W32" s="211"/>
      <c r="X32" s="211"/>
      <c r="Y32" s="211"/>
      <c r="Z32" s="211"/>
      <c r="AA32" s="213"/>
      <c r="AB32" s="214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5"/>
      <c r="AQ32" s="216"/>
      <c r="AR32" s="208">
        <v>9.99</v>
      </c>
      <c r="AS32" s="203"/>
      <c r="AT32" s="203"/>
      <c r="AU32" s="203"/>
      <c r="AV32" s="203"/>
      <c r="AW32" s="204"/>
      <c r="AX32" s="210"/>
      <c r="AY32" s="211"/>
      <c r="AZ32" s="211"/>
      <c r="BA32" s="211"/>
      <c r="BB32" s="211"/>
      <c r="BC32" s="211"/>
      <c r="BD32" s="211"/>
      <c r="BE32" s="211"/>
      <c r="BF32" s="211"/>
      <c r="BG32" s="211"/>
      <c r="BH32" s="211"/>
      <c r="BI32" s="211"/>
      <c r="BJ32" s="211"/>
      <c r="BK32" s="211"/>
      <c r="BL32" s="211"/>
      <c r="BM32" s="211"/>
      <c r="BN32" s="211"/>
      <c r="BO32" s="211"/>
      <c r="BP32" s="211"/>
      <c r="BQ32" s="211"/>
      <c r="BR32" s="211"/>
      <c r="BS32" s="211"/>
      <c r="BT32" s="212"/>
      <c r="BU32" s="29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31"/>
      <c r="CG32" s="31"/>
    </row>
    <row r="33" spans="1:85" s="5" customFormat="1" ht="20.100000000000001" customHeight="1" x14ac:dyDescent="0.45">
      <c r="A33" s="29"/>
      <c r="B33" s="35"/>
      <c r="C33" s="29"/>
      <c r="D33" s="37">
        <v>23</v>
      </c>
      <c r="E33" s="87" t="s">
        <v>69</v>
      </c>
      <c r="F33" s="88"/>
      <c r="G33" s="88"/>
      <c r="H33" s="88"/>
      <c r="I33" s="88"/>
      <c r="J33" s="88"/>
      <c r="K33" s="88"/>
      <c r="L33" s="89"/>
      <c r="M33" s="208" t="s">
        <v>47</v>
      </c>
      <c r="N33" s="203"/>
      <c r="O33" s="204"/>
      <c r="P33" s="208" t="s">
        <v>72</v>
      </c>
      <c r="Q33" s="203"/>
      <c r="R33" s="203"/>
      <c r="S33" s="201" t="s">
        <v>99</v>
      </c>
      <c r="T33" s="232"/>
      <c r="U33" s="232"/>
      <c r="V33" s="210" t="s">
        <v>102</v>
      </c>
      <c r="W33" s="211"/>
      <c r="X33" s="211"/>
      <c r="Y33" s="211"/>
      <c r="Z33" s="211"/>
      <c r="AA33" s="213"/>
      <c r="AB33" s="214"/>
      <c r="AC33" s="215"/>
      <c r="AD33" s="215"/>
      <c r="AE33" s="215"/>
      <c r="AF33" s="215"/>
      <c r="AG33" s="215"/>
      <c r="AH33" s="215"/>
      <c r="AI33" s="215"/>
      <c r="AJ33" s="215"/>
      <c r="AK33" s="215"/>
      <c r="AL33" s="215"/>
      <c r="AM33" s="215"/>
      <c r="AN33" s="215"/>
      <c r="AO33" s="215"/>
      <c r="AP33" s="215"/>
      <c r="AQ33" s="216"/>
      <c r="AR33" s="208">
        <v>9.99</v>
      </c>
      <c r="AS33" s="203"/>
      <c r="AT33" s="203"/>
      <c r="AU33" s="203"/>
      <c r="AV33" s="203"/>
      <c r="AW33" s="204"/>
      <c r="AX33" s="210"/>
      <c r="AY33" s="211"/>
      <c r="AZ33" s="211"/>
      <c r="BA33" s="211"/>
      <c r="BB33" s="211"/>
      <c r="BC33" s="211"/>
      <c r="BD33" s="211"/>
      <c r="BE33" s="211"/>
      <c r="BF33" s="211"/>
      <c r="BG33" s="211"/>
      <c r="BH33" s="211"/>
      <c r="BI33" s="211"/>
      <c r="BJ33" s="211"/>
      <c r="BK33" s="211"/>
      <c r="BL33" s="211"/>
      <c r="BM33" s="211"/>
      <c r="BN33" s="211"/>
      <c r="BO33" s="211"/>
      <c r="BP33" s="211"/>
      <c r="BQ33" s="211"/>
      <c r="BR33" s="211"/>
      <c r="BS33" s="211"/>
      <c r="BT33" s="212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s="5" customFormat="1" ht="20.100000000000001" customHeight="1" x14ac:dyDescent="0.45">
      <c r="A34" s="29"/>
      <c r="B34" s="35"/>
      <c r="C34" s="29"/>
      <c r="D34" s="37">
        <v>24</v>
      </c>
      <c r="E34" s="87" t="s">
        <v>70</v>
      </c>
      <c r="F34" s="88"/>
      <c r="G34" s="88"/>
      <c r="H34" s="88"/>
      <c r="I34" s="88"/>
      <c r="J34" s="88"/>
      <c r="K34" s="88"/>
      <c r="L34" s="89"/>
      <c r="M34" s="208" t="s">
        <v>47</v>
      </c>
      <c r="N34" s="203"/>
      <c r="O34" s="204"/>
      <c r="P34" s="208" t="s">
        <v>72</v>
      </c>
      <c r="Q34" s="203"/>
      <c r="R34" s="203"/>
      <c r="S34" s="201" t="s">
        <v>99</v>
      </c>
      <c r="T34" s="232"/>
      <c r="U34" s="232"/>
      <c r="V34" s="210" t="s">
        <v>101</v>
      </c>
      <c r="W34" s="211"/>
      <c r="X34" s="211"/>
      <c r="Y34" s="211"/>
      <c r="Z34" s="211"/>
      <c r="AA34" s="213"/>
      <c r="AB34" s="214"/>
      <c r="AC34" s="215"/>
      <c r="AD34" s="215"/>
      <c r="AE34" s="215"/>
      <c r="AF34" s="215"/>
      <c r="AG34" s="215"/>
      <c r="AH34" s="215"/>
      <c r="AI34" s="215"/>
      <c r="AJ34" s="215"/>
      <c r="AK34" s="215"/>
      <c r="AL34" s="215"/>
      <c r="AM34" s="215"/>
      <c r="AN34" s="215"/>
      <c r="AO34" s="215"/>
      <c r="AP34" s="215"/>
      <c r="AQ34" s="216"/>
      <c r="AR34" s="208">
        <v>9.99</v>
      </c>
      <c r="AS34" s="203"/>
      <c r="AT34" s="203"/>
      <c r="AU34" s="203"/>
      <c r="AV34" s="203"/>
      <c r="AW34" s="204"/>
      <c r="AX34" s="210"/>
      <c r="AY34" s="211"/>
      <c r="AZ34" s="211"/>
      <c r="BA34" s="211"/>
      <c r="BB34" s="211"/>
      <c r="BC34" s="211"/>
      <c r="BD34" s="211"/>
      <c r="BE34" s="211"/>
      <c r="BF34" s="211"/>
      <c r="BG34" s="211"/>
      <c r="BH34" s="211"/>
      <c r="BI34" s="211"/>
      <c r="BJ34" s="211"/>
      <c r="BK34" s="211"/>
      <c r="BL34" s="211"/>
      <c r="BM34" s="211"/>
      <c r="BN34" s="211"/>
      <c r="BO34" s="211"/>
      <c r="BP34" s="211"/>
      <c r="BQ34" s="211"/>
      <c r="BR34" s="211"/>
      <c r="BS34" s="211"/>
      <c r="BT34" s="212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ht="19.5" customHeight="1" x14ac:dyDescent="0.45">
      <c r="A35" s="29"/>
      <c r="B35" s="44"/>
      <c r="C35" s="29"/>
      <c r="D35" s="171">
        <v>25</v>
      </c>
      <c r="E35" s="172" t="s">
        <v>77</v>
      </c>
      <c r="F35" s="173"/>
      <c r="G35" s="173"/>
      <c r="H35" s="173"/>
      <c r="I35" s="173"/>
      <c r="J35" s="173"/>
      <c r="K35" s="173"/>
      <c r="L35" s="174"/>
      <c r="M35" s="220" t="s">
        <v>47</v>
      </c>
      <c r="N35" s="221"/>
      <c r="O35" s="222"/>
      <c r="P35" s="220" t="s">
        <v>72</v>
      </c>
      <c r="Q35" s="221"/>
      <c r="R35" s="221"/>
      <c r="S35" s="226" t="s">
        <v>99</v>
      </c>
      <c r="T35" s="227"/>
      <c r="U35" s="227"/>
      <c r="V35" s="217" t="s">
        <v>141</v>
      </c>
      <c r="W35" s="218"/>
      <c r="X35" s="218"/>
      <c r="Y35" s="218"/>
      <c r="Z35" s="218"/>
      <c r="AA35" s="219"/>
      <c r="AB35" s="217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8"/>
      <c r="AQ35" s="219"/>
      <c r="AR35" s="220">
        <v>9.99</v>
      </c>
      <c r="AS35" s="221"/>
      <c r="AT35" s="221"/>
      <c r="AU35" s="221"/>
      <c r="AV35" s="221"/>
      <c r="AW35" s="222"/>
      <c r="AX35" s="210"/>
      <c r="AY35" s="211"/>
      <c r="AZ35" s="211"/>
      <c r="BA35" s="211"/>
      <c r="BB35" s="211"/>
      <c r="BC35" s="211"/>
      <c r="BD35" s="211"/>
      <c r="BE35" s="211"/>
      <c r="BF35" s="211"/>
      <c r="BG35" s="211"/>
      <c r="BH35" s="211"/>
      <c r="BI35" s="211"/>
      <c r="BJ35" s="211"/>
      <c r="BK35" s="211"/>
      <c r="BL35" s="211"/>
      <c r="BM35" s="211"/>
      <c r="BN35" s="211"/>
      <c r="BO35" s="211"/>
      <c r="BP35" s="211"/>
      <c r="BQ35" s="211"/>
      <c r="BR35" s="211"/>
      <c r="BS35" s="211"/>
      <c r="BT35" s="212"/>
      <c r="BU35" s="41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ht="20.100000000000001" customHeight="1" x14ac:dyDescent="0.45">
      <c r="A36" s="29"/>
      <c r="B36" s="44"/>
      <c r="C36" s="29"/>
      <c r="D36" s="37">
        <v>26</v>
      </c>
      <c r="E36" s="87" t="s">
        <v>71</v>
      </c>
      <c r="F36" s="88"/>
      <c r="G36" s="88"/>
      <c r="H36" s="88"/>
      <c r="I36" s="88"/>
      <c r="J36" s="88"/>
      <c r="K36" s="88"/>
      <c r="L36" s="89"/>
      <c r="M36" s="208" t="s">
        <v>47</v>
      </c>
      <c r="N36" s="203"/>
      <c r="O36" s="204"/>
      <c r="P36" s="208" t="s">
        <v>72</v>
      </c>
      <c r="Q36" s="203"/>
      <c r="R36" s="203"/>
      <c r="S36" s="201" t="s">
        <v>99</v>
      </c>
      <c r="T36" s="232"/>
      <c r="U36" s="232"/>
      <c r="V36" s="210" t="s">
        <v>133</v>
      </c>
      <c r="W36" s="211"/>
      <c r="X36" s="211"/>
      <c r="Y36" s="211"/>
      <c r="Z36" s="211"/>
      <c r="AA36" s="213"/>
      <c r="AB36" s="214" t="s">
        <v>100</v>
      </c>
      <c r="AC36" s="215"/>
      <c r="AD36" s="215"/>
      <c r="AE36" s="215"/>
      <c r="AF36" s="215"/>
      <c r="AG36" s="215"/>
      <c r="AH36" s="215"/>
      <c r="AI36" s="215"/>
      <c r="AJ36" s="215"/>
      <c r="AK36" s="215"/>
      <c r="AL36" s="215"/>
      <c r="AM36" s="215"/>
      <c r="AN36" s="215"/>
      <c r="AO36" s="215"/>
      <c r="AP36" s="215"/>
      <c r="AQ36" s="216"/>
      <c r="AR36" s="208">
        <v>9.99</v>
      </c>
      <c r="AS36" s="203"/>
      <c r="AT36" s="203"/>
      <c r="AU36" s="203"/>
      <c r="AV36" s="203"/>
      <c r="AW36" s="204"/>
      <c r="AX36" s="240"/>
      <c r="AY36" s="241"/>
      <c r="AZ36" s="241"/>
      <c r="BA36" s="241"/>
      <c r="BB36" s="241"/>
      <c r="BC36" s="241"/>
      <c r="BD36" s="241"/>
      <c r="BE36" s="241"/>
      <c r="BF36" s="241"/>
      <c r="BG36" s="241"/>
      <c r="BH36" s="241"/>
      <c r="BI36" s="241"/>
      <c r="BJ36" s="241"/>
      <c r="BK36" s="241"/>
      <c r="BL36" s="241"/>
      <c r="BM36" s="241"/>
      <c r="BN36" s="241"/>
      <c r="BO36" s="241"/>
      <c r="BP36" s="241"/>
      <c r="BQ36" s="241"/>
      <c r="BR36" s="241"/>
      <c r="BS36" s="241"/>
      <c r="BT36" s="242"/>
      <c r="BU36" s="41"/>
      <c r="BV36" s="40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</row>
    <row r="37" spans="1:85" s="5" customFormat="1" ht="20.100000000000001" customHeight="1" x14ac:dyDescent="0.45">
      <c r="A37" s="30"/>
      <c r="B37" s="44"/>
      <c r="C37" s="29"/>
      <c r="D37" s="37">
        <v>27</v>
      </c>
      <c r="E37" s="247"/>
      <c r="F37" s="248"/>
      <c r="G37" s="248"/>
      <c r="H37" s="248"/>
      <c r="I37" s="248"/>
      <c r="J37" s="248"/>
      <c r="K37" s="248"/>
      <c r="L37" s="249"/>
      <c r="M37" s="208"/>
      <c r="N37" s="203"/>
      <c r="O37" s="204"/>
      <c r="P37" s="208"/>
      <c r="Q37" s="203"/>
      <c r="R37" s="203"/>
      <c r="S37" s="201" t="s">
        <v>99</v>
      </c>
      <c r="T37" s="232"/>
      <c r="U37" s="232"/>
      <c r="V37" s="210"/>
      <c r="W37" s="211"/>
      <c r="X37" s="211"/>
      <c r="Y37" s="211"/>
      <c r="Z37" s="211"/>
      <c r="AA37" s="213"/>
      <c r="AB37" s="214"/>
      <c r="AC37" s="215"/>
      <c r="AD37" s="215"/>
      <c r="AE37" s="215"/>
      <c r="AF37" s="215"/>
      <c r="AG37" s="215"/>
      <c r="AH37" s="215"/>
      <c r="AI37" s="215"/>
      <c r="AJ37" s="215"/>
      <c r="AK37" s="215"/>
      <c r="AL37" s="215"/>
      <c r="AM37" s="215"/>
      <c r="AN37" s="215"/>
      <c r="AO37" s="215"/>
      <c r="AP37" s="215"/>
      <c r="AQ37" s="216"/>
      <c r="AR37" s="208">
        <v>9.99</v>
      </c>
      <c r="AS37" s="203"/>
      <c r="AT37" s="203"/>
      <c r="AU37" s="203"/>
      <c r="AV37" s="203"/>
      <c r="AW37" s="204"/>
      <c r="AX37" s="210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  <c r="BJ37" s="211"/>
      <c r="BK37" s="211"/>
      <c r="BL37" s="211"/>
      <c r="BM37" s="211"/>
      <c r="BN37" s="211"/>
      <c r="BO37" s="211"/>
      <c r="BP37" s="211"/>
      <c r="BQ37" s="211"/>
      <c r="BR37" s="211"/>
      <c r="BS37" s="211"/>
      <c r="BT37" s="212"/>
      <c r="BU37" s="41"/>
      <c r="BV37" s="40"/>
      <c r="BW37" s="41"/>
      <c r="BX37" s="41"/>
      <c r="BY37" s="41"/>
      <c r="BZ37" s="41"/>
      <c r="CA37" s="41"/>
      <c r="CB37" s="41"/>
      <c r="CC37" s="30"/>
      <c r="CD37" s="30"/>
      <c r="CE37" s="30"/>
      <c r="CF37" s="30"/>
      <c r="CG37" s="30"/>
    </row>
    <row r="38" spans="1:85" s="5" customFormat="1" ht="20.100000000000001" customHeight="1" x14ac:dyDescent="0.45">
      <c r="A38" s="29"/>
      <c r="B38" s="35"/>
      <c r="C38" s="29"/>
      <c r="D38" s="37">
        <v>28</v>
      </c>
      <c r="E38" s="247"/>
      <c r="F38" s="248"/>
      <c r="G38" s="248"/>
      <c r="H38" s="248"/>
      <c r="I38" s="248"/>
      <c r="J38" s="248"/>
      <c r="K38" s="248"/>
      <c r="L38" s="249"/>
      <c r="M38" s="208"/>
      <c r="N38" s="203"/>
      <c r="O38" s="204"/>
      <c r="P38" s="208"/>
      <c r="Q38" s="203"/>
      <c r="R38" s="203"/>
      <c r="S38" s="201" t="s">
        <v>99</v>
      </c>
      <c r="T38" s="232"/>
      <c r="U38" s="232"/>
      <c r="V38" s="210"/>
      <c r="W38" s="211"/>
      <c r="X38" s="211"/>
      <c r="Y38" s="211"/>
      <c r="Z38" s="211"/>
      <c r="AA38" s="213"/>
      <c r="AB38" s="214"/>
      <c r="AC38" s="215"/>
      <c r="AD38" s="215"/>
      <c r="AE38" s="215"/>
      <c r="AF38" s="215"/>
      <c r="AG38" s="215"/>
      <c r="AH38" s="215"/>
      <c r="AI38" s="215"/>
      <c r="AJ38" s="215"/>
      <c r="AK38" s="215"/>
      <c r="AL38" s="215"/>
      <c r="AM38" s="215"/>
      <c r="AN38" s="215"/>
      <c r="AO38" s="215"/>
      <c r="AP38" s="215"/>
      <c r="AQ38" s="216"/>
      <c r="AR38" s="208">
        <v>9.99</v>
      </c>
      <c r="AS38" s="203"/>
      <c r="AT38" s="203"/>
      <c r="AU38" s="203"/>
      <c r="AV38" s="203"/>
      <c r="AW38" s="204"/>
      <c r="AX38" s="210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  <c r="BM38" s="211"/>
      <c r="BN38" s="211"/>
      <c r="BO38" s="211"/>
      <c r="BP38" s="211"/>
      <c r="BQ38" s="211"/>
      <c r="BR38" s="211"/>
      <c r="BS38" s="211"/>
      <c r="BT38" s="212"/>
      <c r="BU38" s="29"/>
      <c r="BV38" s="40"/>
      <c r="BW38" s="41"/>
      <c r="BX38" s="41"/>
      <c r="BY38" s="41"/>
      <c r="BZ38" s="41"/>
      <c r="CA38" s="41"/>
      <c r="CB38" s="41"/>
      <c r="CC38" s="41"/>
      <c r="CD38" s="41"/>
      <c r="CE38" s="41"/>
      <c r="CF38" s="31"/>
      <c r="CG38" s="31"/>
    </row>
    <row r="39" spans="1:85" s="5" customFormat="1" ht="20.100000000000001" customHeight="1" x14ac:dyDescent="0.45">
      <c r="A39" s="29"/>
      <c r="B39" s="35"/>
      <c r="C39" s="29"/>
      <c r="D39" s="37">
        <v>29</v>
      </c>
      <c r="E39" s="87"/>
      <c r="F39" s="88"/>
      <c r="G39" s="88"/>
      <c r="H39" s="88"/>
      <c r="I39" s="88"/>
      <c r="J39" s="88"/>
      <c r="K39" s="88"/>
      <c r="L39" s="89"/>
      <c r="M39" s="208"/>
      <c r="N39" s="203"/>
      <c r="O39" s="204"/>
      <c r="P39" s="208"/>
      <c r="Q39" s="203"/>
      <c r="R39" s="203"/>
      <c r="S39" s="208"/>
      <c r="T39" s="203"/>
      <c r="U39" s="203"/>
      <c r="V39" s="210"/>
      <c r="W39" s="211"/>
      <c r="X39" s="211"/>
      <c r="Y39" s="211"/>
      <c r="Z39" s="211"/>
      <c r="AA39" s="213"/>
      <c r="AB39" s="214"/>
      <c r="AC39" s="215"/>
      <c r="AD39" s="215"/>
      <c r="AE39" s="215"/>
      <c r="AF39" s="215"/>
      <c r="AG39" s="215"/>
      <c r="AH39" s="215"/>
      <c r="AI39" s="215"/>
      <c r="AJ39" s="215"/>
      <c r="AK39" s="215"/>
      <c r="AL39" s="215"/>
      <c r="AM39" s="215"/>
      <c r="AN39" s="215"/>
      <c r="AO39" s="215"/>
      <c r="AP39" s="215"/>
      <c r="AQ39" s="216"/>
      <c r="AR39" s="208"/>
      <c r="AS39" s="203"/>
      <c r="AT39" s="203"/>
      <c r="AU39" s="203"/>
      <c r="AV39" s="203"/>
      <c r="AW39" s="204"/>
      <c r="AX39" s="210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1"/>
      <c r="BK39" s="211"/>
      <c r="BL39" s="211"/>
      <c r="BM39" s="211"/>
      <c r="BN39" s="211"/>
      <c r="BO39" s="211"/>
      <c r="BP39" s="211"/>
      <c r="BQ39" s="211"/>
      <c r="BR39" s="211"/>
      <c r="BS39" s="211"/>
      <c r="BT39" s="212"/>
      <c r="BU39" s="41"/>
      <c r="BV39" s="40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</row>
    <row r="40" spans="1:85" ht="19.5" customHeight="1" thickBot="1" x14ac:dyDescent="0.5">
      <c r="A40" s="29"/>
      <c r="B40" s="44"/>
      <c r="C40"/>
      <c r="D40" s="37">
        <v>30</v>
      </c>
      <c r="E40" s="87"/>
      <c r="F40" s="88"/>
      <c r="G40" s="88"/>
      <c r="H40" s="88"/>
      <c r="I40" s="88"/>
      <c r="J40" s="88"/>
      <c r="K40" s="88"/>
      <c r="L40" s="89"/>
      <c r="M40" s="208"/>
      <c r="N40" s="203"/>
      <c r="O40" s="204"/>
      <c r="P40" s="208"/>
      <c r="Q40" s="203"/>
      <c r="R40" s="203"/>
      <c r="S40" s="208"/>
      <c r="T40" s="203"/>
      <c r="U40" s="203"/>
      <c r="V40" s="210"/>
      <c r="W40" s="211"/>
      <c r="X40" s="211"/>
      <c r="Y40" s="211"/>
      <c r="Z40" s="211"/>
      <c r="AA40" s="213"/>
      <c r="AB40" s="214"/>
      <c r="AC40" s="215"/>
      <c r="AD40" s="215"/>
      <c r="AE40" s="215"/>
      <c r="AF40" s="215"/>
      <c r="AG40" s="215"/>
      <c r="AH40" s="215"/>
      <c r="AI40" s="215"/>
      <c r="AJ40" s="215"/>
      <c r="AK40" s="215"/>
      <c r="AL40" s="215"/>
      <c r="AM40" s="215"/>
      <c r="AN40" s="215"/>
      <c r="AO40" s="215"/>
      <c r="AP40" s="215"/>
      <c r="AQ40" s="216"/>
      <c r="AR40" s="208"/>
      <c r="AS40" s="203"/>
      <c r="AT40" s="203"/>
      <c r="AU40" s="203"/>
      <c r="AV40" s="203"/>
      <c r="AW40" s="204"/>
      <c r="AX40" s="210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1"/>
      <c r="BK40" s="211"/>
      <c r="BL40" s="211"/>
      <c r="BM40" s="211"/>
      <c r="BN40" s="211"/>
      <c r="BO40" s="211"/>
      <c r="BP40" s="211"/>
      <c r="BQ40" s="211"/>
      <c r="BR40" s="211"/>
      <c r="BS40" s="211"/>
      <c r="BT40" s="212"/>
      <c r="BU40" s="41"/>
      <c r="BV40" s="40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</row>
    <row r="41" spans="1:85" ht="20.100000000000001" customHeight="1" thickTop="1" thickBot="1" x14ac:dyDescent="0.5">
      <c r="A41" s="29"/>
      <c r="B41" s="40"/>
      <c r="C41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46"/>
      <c r="BR41" s="46"/>
      <c r="BS41" s="46"/>
      <c r="BT41" s="46"/>
      <c r="BU41" s="28"/>
    </row>
    <row r="42" spans="1:85" ht="20.100000000000001" customHeight="1" thickTop="1" x14ac:dyDescent="0.45">
      <c r="A42" s="29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33"/>
      <c r="BD42" s="33"/>
      <c r="BE42" s="33"/>
      <c r="BF42" s="33"/>
      <c r="BG42" s="33"/>
      <c r="BH42" s="33"/>
      <c r="BI42" s="42"/>
      <c r="BJ42" s="42"/>
      <c r="BK42" s="42"/>
      <c r="BL42" s="42"/>
      <c r="BM42" s="42"/>
      <c r="BN42" s="42"/>
      <c r="BO42" s="42"/>
      <c r="BP42" s="41"/>
    </row>
    <row r="43" spans="1:85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</row>
    <row r="44" spans="1:85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1:85" ht="20.100000000000001" customHeight="1" x14ac:dyDescent="0.4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1:85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31"/>
      <c r="BH46" s="31"/>
      <c r="BI46" s="31"/>
      <c r="BJ46" s="31"/>
      <c r="BK46" s="31"/>
      <c r="BL46" s="31"/>
      <c r="BM46" s="31"/>
      <c r="BN46" s="31"/>
      <c r="BO46" s="31"/>
      <c r="BP46" s="31"/>
    </row>
    <row r="47" spans="1:85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31"/>
      <c r="BH47" s="31"/>
      <c r="BI47" s="31"/>
      <c r="BJ47" s="31"/>
      <c r="BK47" s="31"/>
      <c r="BL47" s="31"/>
      <c r="BM47" s="31"/>
      <c r="BN47" s="31"/>
      <c r="BO47" s="31"/>
      <c r="BP47" s="31"/>
    </row>
    <row r="48" spans="1:85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31"/>
      <c r="BH48" s="31"/>
      <c r="BI48" s="31"/>
      <c r="BJ48" s="31"/>
      <c r="BK48" s="31"/>
      <c r="BL48" s="31"/>
      <c r="BM48" s="31"/>
      <c r="BN48" s="31"/>
      <c r="BO48" s="31"/>
      <c r="BP48" s="31"/>
    </row>
    <row r="49" spans="1:68" ht="20.100000000000001" customHeight="1" x14ac:dyDescent="0.45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31"/>
      <c r="BH49" s="31"/>
      <c r="BI49" s="31"/>
      <c r="BJ49" s="31"/>
      <c r="BK49" s="31"/>
      <c r="BL49" s="31"/>
      <c r="BM49" s="31"/>
      <c r="BN49" s="31"/>
      <c r="BO49" s="31"/>
      <c r="BP49" s="31"/>
    </row>
    <row r="50" spans="1:68" ht="20.100000000000001" customHeight="1" x14ac:dyDescent="0.45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31"/>
      <c r="BH50" s="31"/>
      <c r="BI50" s="31"/>
      <c r="BJ50" s="31"/>
      <c r="BK50" s="31"/>
      <c r="BL50" s="31"/>
      <c r="BM50" s="31"/>
      <c r="BN50" s="31"/>
      <c r="BO50" s="31"/>
      <c r="BP50" s="31"/>
    </row>
    <row r="51" spans="1:68" ht="20.100000000000001" customHeight="1" x14ac:dyDescent="0.45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31"/>
      <c r="BH51" s="31"/>
      <c r="BI51" s="31"/>
      <c r="BJ51" s="31"/>
      <c r="BK51" s="31"/>
      <c r="BL51" s="31"/>
      <c r="BM51" s="31"/>
      <c r="BN51" s="31"/>
      <c r="BO51" s="31"/>
      <c r="BP51" s="31"/>
    </row>
    <row r="52" spans="1:68" ht="20.100000000000001" customHeight="1" x14ac:dyDescent="0.45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31"/>
      <c r="BH52" s="31"/>
      <c r="BI52" s="31"/>
      <c r="BJ52" s="31"/>
      <c r="BK52" s="31"/>
      <c r="BL52" s="31"/>
      <c r="BM52" s="31"/>
      <c r="BN52" s="31"/>
      <c r="BO52" s="31"/>
      <c r="BP52" s="31"/>
    </row>
    <row r="53" spans="1:68" ht="20.100000000000001" customHeight="1" x14ac:dyDescent="0.45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31"/>
      <c r="BH53" s="31"/>
      <c r="BI53" s="31"/>
      <c r="BJ53" s="31"/>
      <c r="BK53" s="31"/>
      <c r="BL53" s="31"/>
      <c r="BM53" s="31"/>
      <c r="BN53" s="31"/>
      <c r="BO53" s="31"/>
      <c r="BP53" s="31"/>
    </row>
    <row r="54" spans="1:68" ht="20.100000000000001" customHeight="1" x14ac:dyDescent="0.45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</row>
    <row r="55" spans="1:68" ht="20.100000000000001" customHeight="1" x14ac:dyDescent="0.45">
      <c r="B55" s="3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</row>
    <row r="56" spans="1:68" ht="20.100000000000001" customHeight="1" x14ac:dyDescent="0.45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31"/>
      <c r="BP56" s="31"/>
    </row>
    <row r="57" spans="1:68" ht="20.100000000000001" customHeight="1" x14ac:dyDescent="0.45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31"/>
      <c r="BP57" s="31"/>
    </row>
    <row r="58" spans="1:68" ht="20.100000000000001" customHeight="1" x14ac:dyDescent="0.45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31"/>
      <c r="BP58" s="31"/>
    </row>
    <row r="59" spans="1:68" ht="20.100000000000001" customHeight="1" x14ac:dyDescent="0.45">
      <c r="A59" s="29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31"/>
      <c r="BP59" s="31"/>
    </row>
    <row r="60" spans="1:68" ht="20.100000000000001" customHeight="1" x14ac:dyDescent="0.45">
      <c r="A60" s="29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31"/>
      <c r="BP60" s="31"/>
    </row>
    <row r="61" spans="1:68" ht="20.100000000000001" customHeight="1" x14ac:dyDescent="0.4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</row>
    <row r="62" spans="1:68" ht="20.100000000000001" customHeight="1" x14ac:dyDescent="0.4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</row>
    <row r="63" spans="1:68" ht="20.100000000000001" customHeight="1" x14ac:dyDescent="0.4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</row>
  </sheetData>
  <mergeCells count="258">
    <mergeCell ref="M27:O27"/>
    <mergeCell ref="M28:O28"/>
    <mergeCell ref="M29:O29"/>
    <mergeCell ref="M40:O40"/>
    <mergeCell ref="E24:L24"/>
    <mergeCell ref="E28:L28"/>
    <mergeCell ref="E26:L26"/>
    <mergeCell ref="E25:L25"/>
    <mergeCell ref="M25:O25"/>
    <mergeCell ref="M26:O26"/>
    <mergeCell ref="E30:L30"/>
    <mergeCell ref="M30:O30"/>
    <mergeCell ref="E38:L38"/>
    <mergeCell ref="M38:O38"/>
    <mergeCell ref="M35:O35"/>
    <mergeCell ref="E37:L37"/>
    <mergeCell ref="M37:O37"/>
    <mergeCell ref="M34:O34"/>
    <mergeCell ref="M39:O39"/>
    <mergeCell ref="M31:O31"/>
    <mergeCell ref="M32:O32"/>
    <mergeCell ref="M33:O33"/>
    <mergeCell ref="M36:O36"/>
    <mergeCell ref="M24:O24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2:G2"/>
    <mergeCell ref="H2:K2"/>
    <mergeCell ref="L2:Q2"/>
    <mergeCell ref="R2:W2"/>
    <mergeCell ref="E10:L10"/>
    <mergeCell ref="E11:L11"/>
    <mergeCell ref="S11:U11"/>
    <mergeCell ref="S12:U12"/>
    <mergeCell ref="S13:U13"/>
    <mergeCell ref="M10:O10"/>
    <mergeCell ref="M11:O11"/>
    <mergeCell ref="M12:O12"/>
    <mergeCell ref="M13:O13"/>
    <mergeCell ref="B3:G4"/>
    <mergeCell ref="H3:K4"/>
    <mergeCell ref="L3:Q4"/>
    <mergeCell ref="E12:L12"/>
    <mergeCell ref="E13:L13"/>
    <mergeCell ref="E21:L21"/>
    <mergeCell ref="E22:L22"/>
    <mergeCell ref="E23:L23"/>
    <mergeCell ref="E14:L14"/>
    <mergeCell ref="E15:L15"/>
    <mergeCell ref="E20:L20"/>
    <mergeCell ref="M20:O20"/>
    <mergeCell ref="P19:R19"/>
    <mergeCell ref="P21:R21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X2:AJ2"/>
    <mergeCell ref="X3:AJ4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AB20:AQ20"/>
    <mergeCell ref="AK2:AW2"/>
    <mergeCell ref="P20:R20"/>
    <mergeCell ref="S20:U20"/>
    <mergeCell ref="AR23:AW23"/>
    <mergeCell ref="AR19:AW19"/>
    <mergeCell ref="AR21:AW21"/>
    <mergeCell ref="V22:AA22"/>
    <mergeCell ref="P40:R40"/>
    <mergeCell ref="S24:U24"/>
    <mergeCell ref="P25:R25"/>
    <mergeCell ref="P26:R26"/>
    <mergeCell ref="P27:R27"/>
    <mergeCell ref="P28:R28"/>
    <mergeCell ref="P29:R29"/>
    <mergeCell ref="P30:R30"/>
    <mergeCell ref="P38:R38"/>
    <mergeCell ref="P37:R37"/>
    <mergeCell ref="P35:R35"/>
    <mergeCell ref="P36:R36"/>
    <mergeCell ref="S38:U38"/>
    <mergeCell ref="S39:U39"/>
    <mergeCell ref="S40:U40"/>
    <mergeCell ref="P39:R39"/>
    <mergeCell ref="S36:U36"/>
    <mergeCell ref="S37:U37"/>
    <mergeCell ref="P24:R24"/>
    <mergeCell ref="P34:R34"/>
    <mergeCell ref="S29:U29"/>
    <mergeCell ref="S30:U30"/>
    <mergeCell ref="S33:U33"/>
    <mergeCell ref="S34:U34"/>
    <mergeCell ref="AX10:BT10"/>
    <mergeCell ref="AX11:BT11"/>
    <mergeCell ref="AX12:BT12"/>
    <mergeCell ref="AX13:BT13"/>
    <mergeCell ref="AX14:BT14"/>
    <mergeCell ref="V40:AA40"/>
    <mergeCell ref="S10:U10"/>
    <mergeCell ref="S25:U25"/>
    <mergeCell ref="S26:U26"/>
    <mergeCell ref="S27:U27"/>
    <mergeCell ref="S28:U28"/>
    <mergeCell ref="V10:AA1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V25:AA25"/>
    <mergeCell ref="V26:AA26"/>
    <mergeCell ref="V24:AA24"/>
    <mergeCell ref="V19:AA19"/>
    <mergeCell ref="AX15:BT15"/>
    <mergeCell ref="AX16:BT16"/>
    <mergeCell ref="AX17:BT17"/>
    <mergeCell ref="AX18:BT18"/>
    <mergeCell ref="AX19:BT19"/>
    <mergeCell ref="AX34:BT34"/>
    <mergeCell ref="AX20:BT20"/>
    <mergeCell ref="AX26:BT26"/>
    <mergeCell ref="AX27:BT27"/>
    <mergeCell ref="AX28:BT28"/>
    <mergeCell ref="AX29:BT29"/>
    <mergeCell ref="AX40:BT40"/>
    <mergeCell ref="AX21:BT21"/>
    <mergeCell ref="AX22:BT22"/>
    <mergeCell ref="AX23:BT23"/>
    <mergeCell ref="AX24:BT24"/>
    <mergeCell ref="AX25:BT25"/>
    <mergeCell ref="AX35:BT35"/>
    <mergeCell ref="AR40:AW40"/>
    <mergeCell ref="AR34:AW34"/>
    <mergeCell ref="AX36:BT36"/>
    <mergeCell ref="AR25:AW25"/>
    <mergeCell ref="AR26:AW26"/>
    <mergeCell ref="AR27:AW27"/>
    <mergeCell ref="AR28:AW28"/>
    <mergeCell ref="AR29:AW29"/>
    <mergeCell ref="AR32:AW32"/>
    <mergeCell ref="AX32:BT32"/>
    <mergeCell ref="AR31:AW31"/>
    <mergeCell ref="AX31:BT31"/>
    <mergeCell ref="AR30:AW30"/>
    <mergeCell ref="AX30:BT30"/>
    <mergeCell ref="AR24:AW24"/>
    <mergeCell ref="AR38:AW38"/>
    <mergeCell ref="AX38:BT38"/>
    <mergeCell ref="AB28:AQ28"/>
    <mergeCell ref="AR10:AW10"/>
    <mergeCell ref="AR22:AW22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20:AW2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S35:U35"/>
    <mergeCell ref="P32:R32"/>
    <mergeCell ref="P31:R31"/>
    <mergeCell ref="P33:R33"/>
    <mergeCell ref="S14:U14"/>
    <mergeCell ref="S15:U15"/>
    <mergeCell ref="S16:U16"/>
    <mergeCell ref="S17:U17"/>
    <mergeCell ref="S18:U18"/>
    <mergeCell ref="S19:U19"/>
    <mergeCell ref="S21:U21"/>
    <mergeCell ref="S22:U22"/>
    <mergeCell ref="S23:U23"/>
    <mergeCell ref="S31:U31"/>
    <mergeCell ref="S32:U32"/>
    <mergeCell ref="P22:R22"/>
    <mergeCell ref="P23:R23"/>
    <mergeCell ref="V27:AA27"/>
    <mergeCell ref="V32:AA32"/>
    <mergeCell ref="V31:AA31"/>
    <mergeCell ref="V30:AA30"/>
    <mergeCell ref="AB29:AQ29"/>
    <mergeCell ref="AB30:AQ30"/>
    <mergeCell ref="AB31:AQ31"/>
    <mergeCell ref="V20:AA20"/>
    <mergeCell ref="AB40:AQ40"/>
    <mergeCell ref="V38:AA38"/>
    <mergeCell ref="V33:AA33"/>
    <mergeCell ref="V28:AA28"/>
    <mergeCell ref="V39:AA39"/>
    <mergeCell ref="AB21:AQ21"/>
    <mergeCell ref="AB22:AQ22"/>
    <mergeCell ref="AB23:AQ23"/>
    <mergeCell ref="AB24:AQ24"/>
    <mergeCell ref="V29:AA29"/>
    <mergeCell ref="AB25:AQ25"/>
    <mergeCell ref="AB26:AQ26"/>
    <mergeCell ref="AB27:AQ27"/>
    <mergeCell ref="V23:AA23"/>
    <mergeCell ref="AB32:AQ32"/>
    <mergeCell ref="V21:AA21"/>
    <mergeCell ref="AR33:AW33"/>
    <mergeCell ref="AX33:BT33"/>
    <mergeCell ref="V34:AA34"/>
    <mergeCell ref="AR39:AW39"/>
    <mergeCell ref="AX39:BT39"/>
    <mergeCell ref="V37:AA37"/>
    <mergeCell ref="AR37:AW37"/>
    <mergeCell ref="AX37:BT37"/>
    <mergeCell ref="V36:AA36"/>
    <mergeCell ref="AB33:AQ33"/>
    <mergeCell ref="AB34:AQ34"/>
    <mergeCell ref="AB35:AQ35"/>
    <mergeCell ref="AB36:AQ36"/>
    <mergeCell ref="AB37:AQ37"/>
    <mergeCell ref="AB38:AQ38"/>
    <mergeCell ref="AB39:AQ39"/>
    <mergeCell ref="V35:AA35"/>
    <mergeCell ref="AR35:AW35"/>
    <mergeCell ref="AR36:AW36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&amp;R©2021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N28:O40 M11:M40 N11:O26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184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65" t="s">
        <v>0</v>
      </c>
      <c r="C2" s="260"/>
      <c r="D2" s="260"/>
      <c r="E2" s="260"/>
      <c r="F2" s="260"/>
      <c r="G2" s="260"/>
      <c r="H2" s="260" t="s">
        <v>17</v>
      </c>
      <c r="I2" s="260"/>
      <c r="J2" s="260"/>
      <c r="K2" s="260"/>
      <c r="L2" s="260" t="s">
        <v>430</v>
      </c>
      <c r="M2" s="260"/>
      <c r="N2" s="260"/>
      <c r="O2" s="260"/>
      <c r="P2" s="260"/>
      <c r="Q2" s="260"/>
      <c r="R2" s="260" t="s">
        <v>2</v>
      </c>
      <c r="S2" s="260"/>
      <c r="T2" s="260"/>
      <c r="U2" s="260"/>
      <c r="V2" s="260"/>
      <c r="W2" s="260"/>
      <c r="X2" s="266" t="s">
        <v>3</v>
      </c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8"/>
      <c r="AK2" s="266" t="s">
        <v>32</v>
      </c>
      <c r="AL2" s="267"/>
      <c r="AM2" s="267"/>
      <c r="AN2" s="267"/>
      <c r="AO2" s="267"/>
      <c r="AP2" s="267"/>
      <c r="AQ2" s="267"/>
      <c r="AR2" s="267"/>
      <c r="AS2" s="267"/>
      <c r="AT2" s="267"/>
      <c r="AU2" s="267"/>
      <c r="AV2" s="267"/>
      <c r="AW2" s="268"/>
      <c r="AX2" s="260" t="s">
        <v>5</v>
      </c>
      <c r="AY2" s="260"/>
      <c r="AZ2" s="260"/>
      <c r="BA2" s="260"/>
      <c r="BB2" s="260" t="s">
        <v>4</v>
      </c>
      <c r="BC2" s="260"/>
      <c r="BD2" s="260"/>
      <c r="BE2" s="260"/>
      <c r="BF2" s="260" t="s">
        <v>6</v>
      </c>
      <c r="BG2" s="260"/>
      <c r="BH2" s="260"/>
      <c r="BI2" s="260"/>
      <c r="BJ2" s="260" t="s">
        <v>7</v>
      </c>
      <c r="BK2" s="260"/>
      <c r="BL2" s="260"/>
      <c r="BM2" s="261"/>
    </row>
    <row r="3" spans="2:65" ht="20.100000000000001" customHeight="1" x14ac:dyDescent="0.45">
      <c r="B3" s="269" t="str">
        <f>変更履歴!B3</f>
        <v>受発注システム</v>
      </c>
      <c r="C3" s="189"/>
      <c r="D3" s="189"/>
      <c r="E3" s="189"/>
      <c r="F3" s="189"/>
      <c r="G3" s="189"/>
      <c r="H3" s="189" t="str">
        <f ca="1">変更履歴!H3</f>
        <v>MH0500</v>
      </c>
      <c r="I3" s="189"/>
      <c r="J3" s="189"/>
      <c r="K3" s="189"/>
      <c r="L3" s="189" t="str">
        <f>変更履歴!L3</f>
        <v>受発注</v>
      </c>
      <c r="M3" s="189"/>
      <c r="N3" s="189"/>
      <c r="O3" s="189"/>
      <c r="P3" s="189"/>
      <c r="Q3" s="189"/>
      <c r="R3" s="189" t="str">
        <f ca="1">変更履歴!R3</f>
        <v>帳票設計書</v>
      </c>
      <c r="S3" s="189"/>
      <c r="T3" s="189"/>
      <c r="U3" s="189"/>
      <c r="V3" s="189"/>
      <c r="W3" s="189"/>
      <c r="X3" s="193" t="str">
        <f ca="1">変更履歴!X3</f>
        <v>MH0500_部材リスト_帳票設計書</v>
      </c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0"/>
      <c r="AK3" s="193" t="str">
        <f ca="1">変更履歴!AK3</f>
        <v>部材リスト</v>
      </c>
      <c r="AL3" s="194"/>
      <c r="AM3" s="194"/>
      <c r="AN3" s="194"/>
      <c r="AO3" s="194"/>
      <c r="AP3" s="194"/>
      <c r="AQ3" s="194"/>
      <c r="AR3" s="194"/>
      <c r="AS3" s="194"/>
      <c r="AT3" s="194"/>
      <c r="AU3" s="194"/>
      <c r="AV3" s="194"/>
      <c r="AW3" s="190"/>
      <c r="AX3" s="200">
        <f>変更履歴!AX3</f>
        <v>45583</v>
      </c>
      <c r="AY3" s="200"/>
      <c r="AZ3" s="200"/>
      <c r="BA3" s="200"/>
      <c r="BB3" s="189" t="str">
        <f>変更履歴!BB3</f>
        <v>大谷</v>
      </c>
      <c r="BC3" s="189"/>
      <c r="BD3" s="189"/>
      <c r="BE3" s="189"/>
      <c r="BF3" s="200">
        <f>変更履歴!BF3</f>
        <v>45583</v>
      </c>
      <c r="BG3" s="200"/>
      <c r="BH3" s="200"/>
      <c r="BI3" s="200"/>
      <c r="BJ3" s="189" t="str">
        <f>変更履歴!BJ3</f>
        <v>大谷</v>
      </c>
      <c r="BK3" s="189"/>
      <c r="BL3" s="189"/>
      <c r="BM3" s="258"/>
    </row>
    <row r="4" spans="2:65" ht="20.100000000000001" customHeight="1" thickBot="1" x14ac:dyDescent="0.5">
      <c r="B4" s="270"/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62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264"/>
      <c r="AK4" s="262"/>
      <c r="AL4" s="263"/>
      <c r="AM4" s="263"/>
      <c r="AN4" s="263"/>
      <c r="AO4" s="263"/>
      <c r="AP4" s="263"/>
      <c r="AQ4" s="263"/>
      <c r="AR4" s="263"/>
      <c r="AS4" s="263"/>
      <c r="AT4" s="263"/>
      <c r="AU4" s="263"/>
      <c r="AV4" s="263"/>
      <c r="AW4" s="264"/>
      <c r="AX4" s="256"/>
      <c r="AY4" s="256"/>
      <c r="AZ4" s="256"/>
      <c r="BA4" s="256"/>
      <c r="BB4" s="257"/>
      <c r="BC4" s="257"/>
      <c r="BD4" s="257"/>
      <c r="BE4" s="257"/>
      <c r="BF4" s="256"/>
      <c r="BG4" s="256"/>
      <c r="BH4" s="256"/>
      <c r="BI4" s="256"/>
      <c r="BJ4" s="257"/>
      <c r="BK4" s="257"/>
      <c r="BL4" s="257"/>
      <c r="BM4" s="259"/>
    </row>
    <row r="5" spans="2:65" ht="5.0999999999999996" customHeight="1" thickBot="1" x14ac:dyDescent="0.5"/>
    <row r="6" spans="2:65" ht="20.100000000000001" customHeight="1" x14ac:dyDescent="0.45">
      <c r="B6" s="126" t="s">
        <v>224</v>
      </c>
      <c r="C6" s="127"/>
      <c r="D6" s="127"/>
      <c r="E6" s="127"/>
      <c r="F6" s="127"/>
      <c r="G6" s="128"/>
      <c r="H6" s="129" t="s">
        <v>177</v>
      </c>
      <c r="I6" s="127"/>
      <c r="J6" s="157" t="s">
        <v>208</v>
      </c>
      <c r="K6" s="158"/>
      <c r="L6" s="158"/>
      <c r="M6" s="158"/>
      <c r="N6" s="158"/>
      <c r="O6" s="158"/>
      <c r="P6" s="158"/>
      <c r="Q6" s="159"/>
      <c r="R6" s="158" t="s">
        <v>216</v>
      </c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9"/>
      <c r="AK6" s="130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31"/>
    </row>
    <row r="7" spans="2:65" ht="20.100000000000001" customHeight="1" x14ac:dyDescent="0.45">
      <c r="B7" s="160"/>
      <c r="C7" s="31"/>
      <c r="D7" s="31"/>
      <c r="E7" s="31"/>
      <c r="F7" s="31"/>
      <c r="G7" s="133"/>
      <c r="H7" s="134"/>
      <c r="I7" s="31"/>
      <c r="J7" s="161" t="s">
        <v>209</v>
      </c>
      <c r="K7" s="52"/>
      <c r="L7" s="52"/>
      <c r="M7" s="52"/>
      <c r="N7" s="52"/>
      <c r="O7" s="52"/>
      <c r="P7" s="52"/>
      <c r="Q7" s="162"/>
      <c r="R7" s="52" t="s">
        <v>217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62"/>
      <c r="AK7" s="135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36"/>
    </row>
    <row r="8" spans="2:65" ht="20.100000000000001" customHeight="1" x14ac:dyDescent="0.45">
      <c r="B8" s="160"/>
      <c r="C8" s="31"/>
      <c r="D8" s="31"/>
      <c r="E8" s="31"/>
      <c r="F8" s="31"/>
      <c r="G8" s="133"/>
      <c r="H8" s="134"/>
      <c r="I8" s="31"/>
      <c r="J8" s="161" t="s">
        <v>210</v>
      </c>
      <c r="K8" s="52"/>
      <c r="L8" s="52"/>
      <c r="M8" s="52"/>
      <c r="N8" s="52"/>
      <c r="O8" s="52"/>
      <c r="P8" s="52"/>
      <c r="Q8" s="162"/>
      <c r="R8" s="52" t="s">
        <v>218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62"/>
      <c r="AK8" s="135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36"/>
    </row>
    <row r="9" spans="2:65" ht="20.100000000000001" customHeight="1" x14ac:dyDescent="0.45">
      <c r="B9" s="160"/>
      <c r="C9" s="31"/>
      <c r="D9" s="31"/>
      <c r="E9" s="31"/>
      <c r="F9" s="31"/>
      <c r="G9" s="133"/>
      <c r="H9" s="134"/>
      <c r="I9" s="31"/>
      <c r="J9" s="161" t="s">
        <v>211</v>
      </c>
      <c r="K9" s="52"/>
      <c r="L9" s="52"/>
      <c r="M9" s="52"/>
      <c r="N9" s="52"/>
      <c r="O9" s="52"/>
      <c r="P9" s="52"/>
      <c r="Q9" s="162"/>
      <c r="R9" s="52" t="s">
        <v>219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62"/>
      <c r="AK9" s="135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36"/>
    </row>
    <row r="10" spans="2:65" ht="20.100000000000001" customHeight="1" x14ac:dyDescent="0.45">
      <c r="B10" s="160"/>
      <c r="C10" s="31"/>
      <c r="D10" s="31"/>
      <c r="E10" s="31"/>
      <c r="F10" s="31"/>
      <c r="G10" s="133"/>
      <c r="H10" s="31"/>
      <c r="I10" s="31"/>
      <c r="J10" s="161" t="s">
        <v>212</v>
      </c>
      <c r="K10" s="52"/>
      <c r="L10" s="52"/>
      <c r="M10" s="52"/>
      <c r="N10" s="52"/>
      <c r="O10" s="52"/>
      <c r="P10" s="52"/>
      <c r="Q10" s="162"/>
      <c r="R10" s="52" t="s">
        <v>220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62"/>
      <c r="AK10" s="135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36"/>
    </row>
    <row r="11" spans="2:65" ht="20.100000000000001" customHeight="1" x14ac:dyDescent="0.45">
      <c r="B11" s="160"/>
      <c r="C11" s="31"/>
      <c r="D11" s="31"/>
      <c r="E11" s="31"/>
      <c r="F11" s="31"/>
      <c r="G11" s="133"/>
      <c r="H11" s="31"/>
      <c r="I11" s="31"/>
      <c r="J11" s="161" t="s">
        <v>213</v>
      </c>
      <c r="K11" s="52"/>
      <c r="L11" s="52"/>
      <c r="M11" s="52"/>
      <c r="N11" s="52"/>
      <c r="O11" s="52"/>
      <c r="P11" s="52"/>
      <c r="Q11" s="162"/>
      <c r="R11" s="52" t="s">
        <v>221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62"/>
      <c r="AK11" s="135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36"/>
    </row>
    <row r="12" spans="2:65" ht="20.100000000000001" customHeight="1" x14ac:dyDescent="0.45">
      <c r="B12" s="160"/>
      <c r="C12" s="31"/>
      <c r="D12" s="31"/>
      <c r="E12" s="31"/>
      <c r="F12" s="31"/>
      <c r="G12" s="133"/>
      <c r="H12" s="31"/>
      <c r="I12" s="31"/>
      <c r="J12" s="161" t="s">
        <v>214</v>
      </c>
      <c r="K12" s="52"/>
      <c r="L12" s="52"/>
      <c r="M12" s="52"/>
      <c r="N12" s="52"/>
      <c r="O12" s="52"/>
      <c r="P12" s="52"/>
      <c r="Q12" s="162"/>
      <c r="R12" s="52" t="s">
        <v>222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62"/>
      <c r="AK12" s="135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36"/>
    </row>
    <row r="13" spans="2:65" ht="20.100000000000001" customHeight="1" x14ac:dyDescent="0.45">
      <c r="B13" s="160"/>
      <c r="C13" s="31"/>
      <c r="D13" s="31"/>
      <c r="E13" s="31"/>
      <c r="F13" s="31"/>
      <c r="G13" s="133"/>
      <c r="H13" s="31"/>
      <c r="I13" s="31"/>
      <c r="J13" s="161" t="s">
        <v>215</v>
      </c>
      <c r="K13" s="52"/>
      <c r="L13" s="52"/>
      <c r="M13" s="52"/>
      <c r="N13" s="52"/>
      <c r="O13" s="52"/>
      <c r="P13" s="52"/>
      <c r="Q13" s="162"/>
      <c r="R13" s="52" t="s">
        <v>223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62"/>
      <c r="AK13" s="135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36"/>
    </row>
    <row r="14" spans="2:65" ht="20.100000000000001" customHeight="1" x14ac:dyDescent="0.45">
      <c r="B14" s="160"/>
      <c r="C14" s="31"/>
      <c r="D14" s="31"/>
      <c r="E14" s="31"/>
      <c r="F14" s="31"/>
      <c r="G14" s="133"/>
      <c r="H14" s="137" t="s">
        <v>146</v>
      </c>
      <c r="I14" s="55"/>
      <c r="J14" s="137" t="s">
        <v>190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38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39"/>
    </row>
    <row r="15" spans="2:65" ht="20.100000000000001" customHeight="1" x14ac:dyDescent="0.45">
      <c r="B15" s="132"/>
      <c r="C15" s="31"/>
      <c r="D15" s="31"/>
      <c r="E15" s="31"/>
      <c r="F15" s="31"/>
      <c r="G15" s="133"/>
      <c r="H15" s="137" t="s">
        <v>148</v>
      </c>
      <c r="I15" s="55"/>
      <c r="J15" s="137" t="s">
        <v>191</v>
      </c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138" t="s">
        <v>192</v>
      </c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139"/>
    </row>
    <row r="16" spans="2:65" ht="20.100000000000001" customHeight="1" x14ac:dyDescent="0.45">
      <c r="B16" s="132"/>
      <c r="C16" s="31"/>
      <c r="D16" s="31"/>
      <c r="E16" s="31"/>
      <c r="F16" s="31"/>
      <c r="G16" s="133"/>
      <c r="H16" s="134"/>
      <c r="I16" s="31"/>
      <c r="J16" s="134"/>
      <c r="K16" s="31" t="s">
        <v>193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34" t="s">
        <v>199</v>
      </c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36"/>
    </row>
    <row r="17" spans="2:61" ht="20.100000000000001" customHeight="1" x14ac:dyDescent="0.45">
      <c r="B17" s="132"/>
      <c r="C17" s="31"/>
      <c r="D17" s="31"/>
      <c r="E17" s="31"/>
      <c r="F17" s="31"/>
      <c r="G17" s="133"/>
      <c r="H17" s="134"/>
      <c r="I17" s="31"/>
      <c r="J17" s="134"/>
      <c r="K17" s="31" t="s">
        <v>194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34" t="s">
        <v>200</v>
      </c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36"/>
    </row>
    <row r="18" spans="2:61" ht="20.100000000000001" customHeight="1" x14ac:dyDescent="0.45">
      <c r="B18" s="132"/>
      <c r="C18" s="31"/>
      <c r="D18" s="31"/>
      <c r="E18" s="31"/>
      <c r="F18" s="31"/>
      <c r="G18" s="133"/>
      <c r="H18" s="134"/>
      <c r="I18" s="31"/>
      <c r="J18" s="134"/>
      <c r="K18" s="31" t="s">
        <v>195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34" t="s">
        <v>201</v>
      </c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36"/>
    </row>
    <row r="19" spans="2:61" ht="20.100000000000001" customHeight="1" x14ac:dyDescent="0.45">
      <c r="B19" s="132"/>
      <c r="C19" s="31"/>
      <c r="D19" s="31"/>
      <c r="E19" s="31"/>
      <c r="F19" s="31"/>
      <c r="G19" s="133"/>
      <c r="H19" s="134"/>
      <c r="I19" s="31"/>
      <c r="J19" s="134"/>
      <c r="K19" s="31" t="s">
        <v>196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34" t="s">
        <v>202</v>
      </c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36"/>
    </row>
    <row r="20" spans="2:61" ht="20.100000000000001" customHeight="1" x14ac:dyDescent="0.45">
      <c r="B20" s="132"/>
      <c r="C20" s="31"/>
      <c r="D20" s="31"/>
      <c r="E20" s="31"/>
      <c r="F20" s="31"/>
      <c r="G20" s="133"/>
      <c r="H20" s="134"/>
      <c r="I20" s="31"/>
      <c r="J20" s="134"/>
      <c r="K20" s="31" t="s">
        <v>197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34" t="s">
        <v>203</v>
      </c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36"/>
    </row>
    <row r="21" spans="2:61" ht="20.100000000000001" customHeight="1" x14ac:dyDescent="0.45">
      <c r="B21" s="132"/>
      <c r="C21" s="31"/>
      <c r="D21" s="31"/>
      <c r="E21" s="31"/>
      <c r="F21" s="31"/>
      <c r="G21" s="133"/>
      <c r="H21" s="134"/>
      <c r="I21" s="31"/>
      <c r="J21" s="134"/>
      <c r="K21" s="31" t="s">
        <v>198</v>
      </c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34" t="s">
        <v>204</v>
      </c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36"/>
    </row>
    <row r="22" spans="2:61" ht="20.100000000000001" customHeight="1" thickBot="1" x14ac:dyDescent="0.5">
      <c r="B22" s="132"/>
      <c r="C22" s="31"/>
      <c r="D22" s="31"/>
      <c r="E22" s="31"/>
      <c r="F22" s="31"/>
      <c r="G22" s="133"/>
      <c r="H22" s="137" t="s">
        <v>205</v>
      </c>
      <c r="I22" s="55"/>
      <c r="J22" s="137" t="s">
        <v>206</v>
      </c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 t="s">
        <v>207</v>
      </c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138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139"/>
    </row>
    <row r="23" spans="2:61" ht="20.100000000000001" customHeight="1" x14ac:dyDescent="0.45">
      <c r="B23" s="126" t="s">
        <v>225</v>
      </c>
      <c r="C23" s="127"/>
      <c r="D23" s="127"/>
      <c r="E23" s="127"/>
      <c r="F23" s="127"/>
      <c r="G23" s="128"/>
      <c r="H23" s="129" t="s">
        <v>177</v>
      </c>
      <c r="I23" s="127"/>
      <c r="J23" s="157" t="s">
        <v>226</v>
      </c>
      <c r="K23" s="158"/>
      <c r="L23" s="158"/>
      <c r="M23" s="158"/>
      <c r="N23" s="158"/>
      <c r="O23" s="158"/>
      <c r="P23" s="158"/>
      <c r="Q23" s="159"/>
      <c r="R23" s="157" t="s">
        <v>234</v>
      </c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9"/>
      <c r="AK23" s="130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7"/>
      <c r="AX23" s="127"/>
      <c r="AY23" s="127"/>
      <c r="AZ23" s="127"/>
      <c r="BA23" s="127"/>
      <c r="BB23" s="127"/>
      <c r="BC23" s="127"/>
      <c r="BD23" s="127"/>
      <c r="BE23" s="127"/>
      <c r="BF23" s="127"/>
      <c r="BG23" s="127"/>
      <c r="BH23" s="127"/>
      <c r="BI23" s="131"/>
    </row>
    <row r="24" spans="2:61" ht="20.100000000000001" customHeight="1" x14ac:dyDescent="0.45">
      <c r="B24" s="160"/>
      <c r="C24" s="31"/>
      <c r="D24" s="31"/>
      <c r="E24" s="31"/>
      <c r="F24" s="31"/>
      <c r="G24" s="133"/>
      <c r="H24" s="134"/>
      <c r="I24" s="31"/>
      <c r="J24" s="161" t="s">
        <v>212</v>
      </c>
      <c r="K24" s="52"/>
      <c r="L24" s="52"/>
      <c r="M24" s="52"/>
      <c r="N24" s="52"/>
      <c r="O24" s="52"/>
      <c r="P24" s="52"/>
      <c r="Q24" s="162"/>
      <c r="R24" s="161" t="s">
        <v>235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162"/>
      <c r="AK24" s="135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36"/>
    </row>
    <row r="25" spans="2:61" ht="20.100000000000001" customHeight="1" x14ac:dyDescent="0.45">
      <c r="B25" s="160"/>
      <c r="C25" s="31"/>
      <c r="D25" s="31"/>
      <c r="E25" s="31"/>
      <c r="F25" s="31"/>
      <c r="G25" s="133"/>
      <c r="H25" s="134"/>
      <c r="I25" s="31"/>
      <c r="J25" s="161" t="s">
        <v>227</v>
      </c>
      <c r="K25" s="52"/>
      <c r="L25" s="52"/>
      <c r="M25" s="52"/>
      <c r="N25" s="52"/>
      <c r="O25" s="52"/>
      <c r="P25" s="52"/>
      <c r="Q25" s="162"/>
      <c r="R25" s="161" t="s">
        <v>236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162"/>
      <c r="AK25" s="135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36"/>
    </row>
    <row r="26" spans="2:61" ht="20.100000000000001" customHeight="1" x14ac:dyDescent="0.45">
      <c r="B26" s="160"/>
      <c r="C26" s="31"/>
      <c r="D26" s="31"/>
      <c r="E26" s="31"/>
      <c r="F26" s="31"/>
      <c r="G26" s="133"/>
      <c r="H26" s="134"/>
      <c r="I26" s="31"/>
      <c r="J26" s="161" t="s">
        <v>228</v>
      </c>
      <c r="K26" s="52"/>
      <c r="L26" s="52"/>
      <c r="M26" s="52"/>
      <c r="N26" s="52"/>
      <c r="O26" s="52"/>
      <c r="P26" s="52"/>
      <c r="Q26" s="162"/>
      <c r="R26" s="161" t="s">
        <v>237</v>
      </c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162"/>
      <c r="AK26" s="135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36"/>
    </row>
    <row r="27" spans="2:61" ht="20.100000000000001" customHeight="1" x14ac:dyDescent="0.45">
      <c r="B27" s="160"/>
      <c r="C27" s="31"/>
      <c r="D27" s="31"/>
      <c r="E27" s="31"/>
      <c r="F27" s="31"/>
      <c r="G27" s="133"/>
      <c r="H27" s="31"/>
      <c r="I27" s="31"/>
      <c r="J27" s="161" t="s">
        <v>229</v>
      </c>
      <c r="K27" s="52"/>
      <c r="L27" s="52"/>
      <c r="M27" s="52"/>
      <c r="N27" s="52"/>
      <c r="O27" s="52"/>
      <c r="P27" s="52"/>
      <c r="Q27" s="162"/>
      <c r="R27" s="161" t="s">
        <v>238</v>
      </c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162"/>
      <c r="AK27" s="135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36"/>
    </row>
    <row r="28" spans="2:61" ht="20.100000000000001" customHeight="1" x14ac:dyDescent="0.45">
      <c r="B28" s="160"/>
      <c r="C28" s="31"/>
      <c r="D28" s="31"/>
      <c r="E28" s="31"/>
      <c r="F28" s="31"/>
      <c r="G28" s="133"/>
      <c r="H28" s="31"/>
      <c r="I28" s="31"/>
      <c r="J28" s="161" t="s">
        <v>230</v>
      </c>
      <c r="K28" s="52"/>
      <c r="L28" s="52"/>
      <c r="M28" s="52"/>
      <c r="N28" s="52"/>
      <c r="O28" s="52"/>
      <c r="P28" s="52"/>
      <c r="Q28" s="162"/>
      <c r="R28" s="161" t="s">
        <v>239</v>
      </c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162"/>
      <c r="AK28" s="135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36"/>
    </row>
    <row r="29" spans="2:61" ht="20.100000000000001" customHeight="1" x14ac:dyDescent="0.45">
      <c r="B29" s="160"/>
      <c r="C29" s="31"/>
      <c r="D29" s="31"/>
      <c r="E29" s="31"/>
      <c r="F29" s="31"/>
      <c r="G29" s="133"/>
      <c r="H29" s="31"/>
      <c r="I29" s="31"/>
      <c r="J29" s="161" t="s">
        <v>231</v>
      </c>
      <c r="K29" s="52"/>
      <c r="L29" s="52"/>
      <c r="M29" s="52"/>
      <c r="N29" s="52"/>
      <c r="O29" s="52"/>
      <c r="P29" s="52"/>
      <c r="Q29" s="162"/>
      <c r="R29" s="161" t="s">
        <v>240</v>
      </c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162"/>
      <c r="AK29" s="135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36"/>
    </row>
    <row r="30" spans="2:61" ht="20.100000000000001" customHeight="1" x14ac:dyDescent="0.45">
      <c r="B30" s="160"/>
      <c r="C30" s="31"/>
      <c r="D30" s="31"/>
      <c r="E30" s="31"/>
      <c r="F30" s="31"/>
      <c r="G30" s="133"/>
      <c r="H30" s="137" t="s">
        <v>146</v>
      </c>
      <c r="I30" s="55"/>
      <c r="J30" s="137" t="s">
        <v>232</v>
      </c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138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139"/>
    </row>
    <row r="31" spans="2:61" ht="20.100000000000001" customHeight="1" thickBot="1" x14ac:dyDescent="0.5">
      <c r="B31" s="132"/>
      <c r="C31" s="31"/>
      <c r="D31" s="31"/>
      <c r="E31" s="31"/>
      <c r="F31" s="31"/>
      <c r="G31" s="133"/>
      <c r="H31" s="137" t="s">
        <v>148</v>
      </c>
      <c r="I31" s="55"/>
      <c r="J31" s="137" t="s">
        <v>233</v>
      </c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138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139"/>
    </row>
    <row r="32" spans="2:61" ht="20.100000000000001" customHeight="1" x14ac:dyDescent="0.45">
      <c r="B32" s="126" t="s">
        <v>241</v>
      </c>
      <c r="C32" s="127"/>
      <c r="D32" s="127"/>
      <c r="E32" s="127"/>
      <c r="F32" s="127"/>
      <c r="G32" s="128"/>
      <c r="H32" s="129" t="s">
        <v>177</v>
      </c>
      <c r="I32" s="127"/>
      <c r="J32" s="157" t="s">
        <v>242</v>
      </c>
      <c r="K32" s="158"/>
      <c r="L32" s="158"/>
      <c r="M32" s="158"/>
      <c r="N32" s="158"/>
      <c r="O32" s="158"/>
      <c r="P32" s="158"/>
      <c r="Q32" s="159"/>
      <c r="R32" s="157" t="s">
        <v>247</v>
      </c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9"/>
      <c r="AK32" s="130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31"/>
    </row>
    <row r="33" spans="2:61" ht="20.100000000000001" customHeight="1" x14ac:dyDescent="0.45">
      <c r="B33" s="160"/>
      <c r="C33" s="31"/>
      <c r="D33" s="31"/>
      <c r="E33" s="31"/>
      <c r="F33" s="31"/>
      <c r="G33" s="133"/>
      <c r="H33" s="134"/>
      <c r="I33" s="31"/>
      <c r="J33" s="161" t="s">
        <v>243</v>
      </c>
      <c r="K33" s="52"/>
      <c r="L33" s="52"/>
      <c r="M33" s="52"/>
      <c r="N33" s="52"/>
      <c r="O33" s="52"/>
      <c r="P33" s="52"/>
      <c r="Q33" s="162"/>
      <c r="R33" s="161" t="s">
        <v>248</v>
      </c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162"/>
      <c r="AK33" s="135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36"/>
    </row>
    <row r="34" spans="2:61" ht="20.100000000000001" customHeight="1" x14ac:dyDescent="0.45">
      <c r="B34" s="160"/>
      <c r="C34" s="31"/>
      <c r="D34" s="31"/>
      <c r="E34" s="31"/>
      <c r="F34" s="31"/>
      <c r="G34" s="133"/>
      <c r="H34" s="137" t="s">
        <v>146</v>
      </c>
      <c r="I34" s="55"/>
      <c r="J34" s="137" t="s">
        <v>244</v>
      </c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138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139"/>
    </row>
    <row r="35" spans="2:61" ht="20.100000000000001" customHeight="1" x14ac:dyDescent="0.45">
      <c r="B35" s="132"/>
      <c r="C35" s="31"/>
      <c r="D35" s="31"/>
      <c r="E35" s="31"/>
      <c r="F35" s="31"/>
      <c r="G35" s="133"/>
      <c r="H35" s="137" t="s">
        <v>148</v>
      </c>
      <c r="I35" s="55"/>
      <c r="J35" s="137" t="s">
        <v>245</v>
      </c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138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139"/>
    </row>
    <row r="36" spans="2:61" s="31" customFormat="1" ht="20.100000000000001" customHeight="1" thickBot="1" x14ac:dyDescent="0.5">
      <c r="B36" s="132"/>
      <c r="G36" s="133"/>
      <c r="H36" s="134"/>
      <c r="J36" s="134"/>
      <c r="K36" s="31" t="s">
        <v>246</v>
      </c>
      <c r="AK36" s="135"/>
      <c r="BI36" s="136"/>
    </row>
    <row r="37" spans="2:61" ht="20.100000000000001" customHeight="1" x14ac:dyDescent="0.45">
      <c r="B37" s="126" t="s">
        <v>249</v>
      </c>
      <c r="C37" s="127"/>
      <c r="D37" s="127"/>
      <c r="E37" s="127"/>
      <c r="F37" s="127"/>
      <c r="G37" s="128"/>
      <c r="H37" s="129" t="s">
        <v>177</v>
      </c>
      <c r="I37" s="127"/>
      <c r="J37" s="179" t="s">
        <v>250</v>
      </c>
      <c r="K37" s="158"/>
      <c r="L37" s="158"/>
      <c r="M37" s="158"/>
      <c r="N37" s="158"/>
      <c r="O37" s="158"/>
      <c r="P37" s="158"/>
      <c r="Q37" s="159"/>
      <c r="R37" s="157" t="s">
        <v>251</v>
      </c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9"/>
      <c r="AK37" s="130" t="s">
        <v>267</v>
      </c>
      <c r="AL37" s="127"/>
      <c r="AM37" s="127"/>
      <c r="AN37" s="127"/>
      <c r="AO37" s="127"/>
      <c r="AP37" s="181" t="s">
        <v>268</v>
      </c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31"/>
    </row>
    <row r="38" spans="2:61" ht="20.100000000000001" customHeight="1" x14ac:dyDescent="0.45">
      <c r="B38" s="160"/>
      <c r="C38" s="31"/>
      <c r="D38" s="31"/>
      <c r="E38" s="31"/>
      <c r="F38" s="31"/>
      <c r="G38" s="133"/>
      <c r="H38" s="137" t="s">
        <v>146</v>
      </c>
      <c r="I38" s="55"/>
      <c r="J38" s="137" t="s">
        <v>252</v>
      </c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138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139"/>
    </row>
    <row r="39" spans="2:61" ht="20.100000000000001" customHeight="1" x14ac:dyDescent="0.45">
      <c r="B39" s="160"/>
      <c r="C39" s="31"/>
      <c r="D39" s="31"/>
      <c r="E39" s="31"/>
      <c r="F39" s="31"/>
      <c r="G39" s="133"/>
      <c r="H39" s="134"/>
      <c r="I39" s="31"/>
      <c r="J39" s="134"/>
      <c r="K39" s="31" t="s">
        <v>253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135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136"/>
    </row>
    <row r="40" spans="2:61" ht="20.100000000000001" customHeight="1" x14ac:dyDescent="0.45">
      <c r="B40" s="160"/>
      <c r="C40" s="31"/>
      <c r="D40" s="31"/>
      <c r="E40" s="31"/>
      <c r="F40" s="31"/>
      <c r="G40" s="133"/>
      <c r="H40" s="134"/>
      <c r="I40" s="31"/>
      <c r="J40" s="134"/>
      <c r="K40" s="31" t="s">
        <v>255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135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136"/>
    </row>
    <row r="41" spans="2:61" ht="20.100000000000001" customHeight="1" thickBot="1" x14ac:dyDescent="0.5">
      <c r="B41" s="160"/>
      <c r="C41" s="31"/>
      <c r="D41" s="31"/>
      <c r="E41" s="31"/>
      <c r="F41" s="31"/>
      <c r="G41" s="133"/>
      <c r="H41" s="134"/>
      <c r="I41" s="31"/>
      <c r="J41" s="134"/>
      <c r="K41" s="31" t="s">
        <v>254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135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136"/>
    </row>
    <row r="42" spans="2:61" ht="20.100000000000001" customHeight="1" x14ac:dyDescent="0.45">
      <c r="B42" s="126" t="s">
        <v>255</v>
      </c>
      <c r="C42" s="127"/>
      <c r="D42" s="127"/>
      <c r="E42" s="127"/>
      <c r="F42" s="127"/>
      <c r="G42" s="128"/>
      <c r="H42" s="129" t="s">
        <v>177</v>
      </c>
      <c r="I42" s="127"/>
      <c r="J42" s="179" t="s">
        <v>256</v>
      </c>
      <c r="K42" s="158"/>
      <c r="L42" s="158"/>
      <c r="M42" s="158"/>
      <c r="N42" s="158"/>
      <c r="O42" s="158"/>
      <c r="P42" s="158"/>
      <c r="Q42" s="159"/>
      <c r="R42" s="157" t="s">
        <v>264</v>
      </c>
      <c r="S42" s="158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58"/>
      <c r="AG42" s="158"/>
      <c r="AH42" s="158"/>
      <c r="AI42" s="158"/>
      <c r="AJ42" s="159"/>
      <c r="AK42" s="130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7"/>
      <c r="BD42" s="127"/>
      <c r="BE42" s="127"/>
      <c r="BF42" s="127"/>
      <c r="BG42" s="127"/>
      <c r="BH42" s="127"/>
      <c r="BI42" s="131"/>
    </row>
    <row r="43" spans="2:61" ht="20.100000000000001" customHeight="1" x14ac:dyDescent="0.45">
      <c r="B43" s="160"/>
      <c r="C43" s="31"/>
      <c r="D43" s="31"/>
      <c r="E43" s="31"/>
      <c r="F43" s="31"/>
      <c r="G43" s="133"/>
      <c r="H43" s="134"/>
      <c r="I43" s="31"/>
      <c r="J43" s="135" t="s">
        <v>257</v>
      </c>
      <c r="K43" s="31"/>
      <c r="L43" s="31"/>
      <c r="M43" s="31"/>
      <c r="N43" s="31"/>
      <c r="O43" s="31"/>
      <c r="P43" s="31"/>
      <c r="Q43" s="31"/>
      <c r="R43" s="134" t="s">
        <v>265</v>
      </c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135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136"/>
    </row>
    <row r="44" spans="2:61" ht="20.100000000000001" customHeight="1" x14ac:dyDescent="0.45">
      <c r="B44" s="160"/>
      <c r="C44" s="31"/>
      <c r="D44" s="31"/>
      <c r="E44" s="31"/>
      <c r="F44" s="31"/>
      <c r="G44" s="133"/>
      <c r="H44" s="134"/>
      <c r="I44" s="31"/>
      <c r="J44" s="180" t="s">
        <v>258</v>
      </c>
      <c r="K44" s="52"/>
      <c r="L44" s="52"/>
      <c r="M44" s="52"/>
      <c r="N44" s="52"/>
      <c r="O44" s="52"/>
      <c r="P44" s="52"/>
      <c r="Q44" s="52"/>
      <c r="R44" s="161" t="s">
        <v>266</v>
      </c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162"/>
      <c r="AK44" s="135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136"/>
    </row>
    <row r="45" spans="2:61" ht="20.100000000000001" customHeight="1" x14ac:dyDescent="0.45">
      <c r="B45" s="160"/>
      <c r="C45" s="31"/>
      <c r="D45" s="31"/>
      <c r="E45" s="31"/>
      <c r="F45" s="31"/>
      <c r="G45" s="133"/>
      <c r="H45" s="137" t="s">
        <v>146</v>
      </c>
      <c r="I45" s="55"/>
      <c r="J45" s="137" t="s">
        <v>259</v>
      </c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138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139"/>
    </row>
    <row r="46" spans="2:61" ht="20.100000000000001" customHeight="1" x14ac:dyDescent="0.45">
      <c r="B46" s="132"/>
      <c r="C46" s="31"/>
      <c r="D46" s="31"/>
      <c r="E46" s="31"/>
      <c r="F46" s="31"/>
      <c r="G46" s="133"/>
      <c r="H46" s="137" t="s">
        <v>148</v>
      </c>
      <c r="I46" s="55"/>
      <c r="J46" s="137" t="s">
        <v>278</v>
      </c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138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139"/>
    </row>
    <row r="47" spans="2:61" ht="20.100000000000001" customHeight="1" x14ac:dyDescent="0.45">
      <c r="B47" s="132"/>
      <c r="C47" s="31"/>
      <c r="D47" s="31"/>
      <c r="E47" s="31"/>
      <c r="F47" s="31"/>
      <c r="G47" s="133"/>
      <c r="H47" s="137" t="s">
        <v>260</v>
      </c>
      <c r="I47" s="55"/>
      <c r="J47" s="137" t="s">
        <v>261</v>
      </c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138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139"/>
    </row>
    <row r="48" spans="2:61" ht="20.100000000000001" customHeight="1" thickBot="1" x14ac:dyDescent="0.5">
      <c r="B48" s="132"/>
      <c r="C48" s="31"/>
      <c r="D48" s="31"/>
      <c r="E48" s="31"/>
      <c r="F48" s="31"/>
      <c r="G48" s="133"/>
      <c r="H48" s="137" t="s">
        <v>263</v>
      </c>
      <c r="I48" s="55"/>
      <c r="J48" s="137" t="s">
        <v>262</v>
      </c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138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139"/>
    </row>
    <row r="49" spans="2:61" ht="20.100000000000001" customHeight="1" x14ac:dyDescent="0.45">
      <c r="B49" s="126" t="s">
        <v>269</v>
      </c>
      <c r="C49" s="127"/>
      <c r="D49" s="127"/>
      <c r="E49" s="127"/>
      <c r="F49" s="127"/>
      <c r="G49" s="128"/>
      <c r="H49" s="129" t="s">
        <v>177</v>
      </c>
      <c r="I49" s="127"/>
      <c r="J49" s="179" t="s">
        <v>274</v>
      </c>
      <c r="K49" s="158"/>
      <c r="L49" s="158"/>
      <c r="M49" s="158"/>
      <c r="N49" s="158"/>
      <c r="O49" s="158"/>
      <c r="P49" s="158"/>
      <c r="Q49" s="159"/>
      <c r="R49" s="157" t="s">
        <v>264</v>
      </c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9"/>
      <c r="AK49" s="130" t="s">
        <v>270</v>
      </c>
      <c r="AL49" s="127"/>
      <c r="AM49" s="127"/>
      <c r="AN49" s="127"/>
      <c r="AO49" s="127"/>
      <c r="AP49" s="181" t="s">
        <v>280</v>
      </c>
      <c r="AQ49" s="127"/>
      <c r="AR49" s="127"/>
      <c r="AS49" s="127"/>
      <c r="AT49" s="127"/>
      <c r="AU49" s="127"/>
      <c r="AV49" s="127"/>
      <c r="AW49" s="127"/>
      <c r="AX49" s="127"/>
      <c r="AY49" s="127"/>
      <c r="AZ49" s="127"/>
      <c r="BA49" s="127"/>
      <c r="BB49" s="127"/>
      <c r="BC49" s="127"/>
      <c r="BD49" s="127"/>
      <c r="BE49" s="127"/>
      <c r="BF49" s="127"/>
      <c r="BG49" s="127"/>
      <c r="BH49" s="127"/>
      <c r="BI49" s="131"/>
    </row>
    <row r="50" spans="2:61" ht="20.100000000000001" customHeight="1" x14ac:dyDescent="0.45">
      <c r="B50" s="160"/>
      <c r="C50" s="31"/>
      <c r="D50" s="31"/>
      <c r="E50" s="31"/>
      <c r="F50" s="31"/>
      <c r="G50" s="133"/>
      <c r="H50" s="134"/>
      <c r="I50" s="31"/>
      <c r="J50" s="135" t="s">
        <v>257</v>
      </c>
      <c r="K50" s="31"/>
      <c r="L50" s="31"/>
      <c r="M50" s="31"/>
      <c r="N50" s="31"/>
      <c r="O50" s="31"/>
      <c r="P50" s="31"/>
      <c r="Q50" s="31"/>
      <c r="R50" s="134" t="s">
        <v>265</v>
      </c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135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136"/>
    </row>
    <row r="51" spans="2:61" ht="20.100000000000001" customHeight="1" x14ac:dyDescent="0.45">
      <c r="B51" s="160"/>
      <c r="C51" s="31"/>
      <c r="D51" s="31"/>
      <c r="E51" s="31"/>
      <c r="F51" s="31"/>
      <c r="G51" s="133"/>
      <c r="H51" s="134"/>
      <c r="I51" s="31"/>
      <c r="J51" s="180" t="s">
        <v>275</v>
      </c>
      <c r="K51" s="52"/>
      <c r="L51" s="52"/>
      <c r="M51" s="52"/>
      <c r="N51" s="52"/>
      <c r="O51" s="52"/>
      <c r="P51" s="52"/>
      <c r="Q51" s="52"/>
      <c r="R51" s="161" t="s">
        <v>276</v>
      </c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162"/>
      <c r="AK51" s="135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136"/>
    </row>
    <row r="52" spans="2:61" ht="20.100000000000001" customHeight="1" x14ac:dyDescent="0.45">
      <c r="B52" s="160"/>
      <c r="C52" s="31"/>
      <c r="D52" s="31"/>
      <c r="E52" s="31"/>
      <c r="F52" s="31"/>
      <c r="G52" s="133"/>
      <c r="H52" s="137" t="s">
        <v>146</v>
      </c>
      <c r="I52" s="55"/>
      <c r="J52" s="137" t="s">
        <v>271</v>
      </c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138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139"/>
    </row>
    <row r="53" spans="2:61" ht="20.100000000000001" customHeight="1" x14ac:dyDescent="0.45">
      <c r="B53" s="132"/>
      <c r="C53" s="31"/>
      <c r="D53" s="31"/>
      <c r="E53" s="31"/>
      <c r="F53" s="31"/>
      <c r="G53" s="133"/>
      <c r="H53" s="137" t="s">
        <v>147</v>
      </c>
      <c r="I53" s="55"/>
      <c r="J53" s="137" t="s">
        <v>272</v>
      </c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138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139"/>
    </row>
    <row r="54" spans="2:61" ht="20.100000000000001" customHeight="1" x14ac:dyDescent="0.45">
      <c r="B54" s="132"/>
      <c r="C54" s="31"/>
      <c r="D54" s="31"/>
      <c r="E54" s="31"/>
      <c r="F54" s="31"/>
      <c r="G54" s="133"/>
      <c r="H54" s="137" t="s">
        <v>148</v>
      </c>
      <c r="I54" s="55"/>
      <c r="J54" s="137" t="s">
        <v>277</v>
      </c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138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139"/>
    </row>
    <row r="55" spans="2:61" ht="20.100000000000001" customHeight="1" x14ac:dyDescent="0.45">
      <c r="B55" s="132"/>
      <c r="C55" s="31"/>
      <c r="D55" s="31"/>
      <c r="E55" s="31"/>
      <c r="F55" s="31"/>
      <c r="G55" s="133"/>
      <c r="H55" s="137" t="s">
        <v>260</v>
      </c>
      <c r="I55" s="55"/>
      <c r="J55" s="137" t="s">
        <v>273</v>
      </c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138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139"/>
    </row>
    <row r="56" spans="2:61" ht="20.100000000000001" customHeight="1" x14ac:dyDescent="0.45">
      <c r="B56" s="132"/>
      <c r="C56" s="31"/>
      <c r="D56" s="31"/>
      <c r="E56" s="31"/>
      <c r="F56" s="31"/>
      <c r="G56" s="133"/>
      <c r="H56" s="137" t="s">
        <v>263</v>
      </c>
      <c r="I56" s="55"/>
      <c r="J56" s="137" t="s">
        <v>279</v>
      </c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138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139"/>
    </row>
    <row r="57" spans="2:61" ht="20.100000000000001" customHeight="1" thickBot="1" x14ac:dyDescent="0.5">
      <c r="B57" s="132"/>
      <c r="C57" s="31"/>
      <c r="D57" s="31"/>
      <c r="E57" s="31"/>
      <c r="F57" s="31"/>
      <c r="G57" s="133"/>
      <c r="H57" s="137" t="s">
        <v>205</v>
      </c>
      <c r="I57" s="55"/>
      <c r="J57" s="137" t="s">
        <v>302</v>
      </c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138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139"/>
    </row>
    <row r="58" spans="2:61" ht="20.100000000000001" customHeight="1" x14ac:dyDescent="0.45">
      <c r="B58" s="126" t="s">
        <v>281</v>
      </c>
      <c r="C58" s="127"/>
      <c r="D58" s="127"/>
      <c r="E58" s="127"/>
      <c r="F58" s="127"/>
      <c r="G58" s="128"/>
      <c r="H58" s="129" t="s">
        <v>177</v>
      </c>
      <c r="I58" s="127"/>
      <c r="J58" s="179" t="s">
        <v>283</v>
      </c>
      <c r="K58" s="158"/>
      <c r="L58" s="158"/>
      <c r="M58" s="158"/>
      <c r="N58" s="158"/>
      <c r="O58" s="158"/>
      <c r="P58" s="158"/>
      <c r="Q58" s="159"/>
      <c r="R58" s="157" t="s">
        <v>293</v>
      </c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9"/>
      <c r="AK58" s="130" t="s">
        <v>282</v>
      </c>
      <c r="AL58" s="127"/>
      <c r="AM58" s="127"/>
      <c r="AN58" s="127"/>
      <c r="AO58" s="127" t="s">
        <v>284</v>
      </c>
      <c r="AP58" s="181"/>
      <c r="AQ58" s="127"/>
      <c r="AR58" s="127"/>
      <c r="AS58" s="127"/>
      <c r="AT58" s="127"/>
      <c r="AU58" s="127"/>
      <c r="AV58" s="127" t="s">
        <v>291</v>
      </c>
      <c r="AW58" s="127"/>
      <c r="AX58" s="127"/>
      <c r="AY58" s="127"/>
      <c r="AZ58" s="127"/>
      <c r="BA58" s="127"/>
      <c r="BB58" s="127"/>
      <c r="BC58" s="127"/>
      <c r="BD58" s="127"/>
      <c r="BE58" s="127"/>
      <c r="BF58" s="127"/>
      <c r="BG58" s="127"/>
      <c r="BH58" s="127"/>
      <c r="BI58" s="131"/>
    </row>
    <row r="59" spans="2:61" ht="20.100000000000001" customHeight="1" x14ac:dyDescent="0.45">
      <c r="B59" s="160"/>
      <c r="C59" s="31"/>
      <c r="D59" s="31"/>
      <c r="E59" s="31"/>
      <c r="F59" s="31"/>
      <c r="G59" s="133"/>
      <c r="H59" s="137" t="s">
        <v>146</v>
      </c>
      <c r="I59" s="55"/>
      <c r="J59" s="137" t="s">
        <v>285</v>
      </c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138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139"/>
    </row>
    <row r="60" spans="2:61" ht="20.100000000000001" customHeight="1" x14ac:dyDescent="0.45">
      <c r="B60" s="132"/>
      <c r="C60" s="31"/>
      <c r="D60" s="31"/>
      <c r="E60" s="31"/>
      <c r="F60" s="31"/>
      <c r="G60" s="133"/>
      <c r="H60" s="137" t="s">
        <v>148</v>
      </c>
      <c r="I60" s="55"/>
      <c r="J60" s="137" t="s">
        <v>286</v>
      </c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138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139"/>
    </row>
    <row r="61" spans="2:61" ht="20.100000000000001" customHeight="1" x14ac:dyDescent="0.45">
      <c r="B61" s="132"/>
      <c r="C61" s="31"/>
      <c r="D61" s="31"/>
      <c r="E61" s="31"/>
      <c r="F61" s="31"/>
      <c r="G61" s="133"/>
      <c r="H61" s="134"/>
      <c r="I61" s="133"/>
      <c r="J61" s="134"/>
      <c r="K61" s="31" t="s">
        <v>287</v>
      </c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133"/>
      <c r="AK61" s="135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136"/>
    </row>
    <row r="62" spans="2:61" ht="20.100000000000001" customHeight="1" x14ac:dyDescent="0.45">
      <c r="B62" s="132"/>
      <c r="C62" s="31"/>
      <c r="D62" s="31"/>
      <c r="E62" s="31"/>
      <c r="F62" s="31"/>
      <c r="G62" s="133"/>
      <c r="H62" s="134"/>
      <c r="I62" s="31"/>
      <c r="J62" s="134"/>
      <c r="K62" s="31" t="s">
        <v>288</v>
      </c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135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136"/>
    </row>
    <row r="63" spans="2:61" ht="20.100000000000001" customHeight="1" thickBot="1" x14ac:dyDescent="0.5">
      <c r="B63" s="132"/>
      <c r="C63" s="31"/>
      <c r="D63" s="31"/>
      <c r="E63" s="31"/>
      <c r="F63" s="31"/>
      <c r="G63" s="133"/>
      <c r="H63" s="137" t="s">
        <v>289</v>
      </c>
      <c r="I63" s="55"/>
      <c r="J63" s="137" t="s">
        <v>303</v>
      </c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138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139"/>
    </row>
    <row r="64" spans="2:61" ht="20.100000000000001" customHeight="1" x14ac:dyDescent="0.45">
      <c r="B64" s="126" t="s">
        <v>290</v>
      </c>
      <c r="C64" s="127"/>
      <c r="D64" s="127"/>
      <c r="E64" s="127"/>
      <c r="F64" s="127"/>
      <c r="G64" s="128"/>
      <c r="H64" s="129" t="s">
        <v>177</v>
      </c>
      <c r="I64" s="127"/>
      <c r="J64" s="179" t="s">
        <v>295</v>
      </c>
      <c r="K64" s="158"/>
      <c r="L64" s="158"/>
      <c r="M64" s="158"/>
      <c r="N64" s="158"/>
      <c r="O64" s="158"/>
      <c r="P64" s="158"/>
      <c r="Q64" s="159"/>
      <c r="R64" s="157" t="s">
        <v>300</v>
      </c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  <c r="AG64" s="158"/>
      <c r="AH64" s="158"/>
      <c r="AI64" s="158"/>
      <c r="AJ64" s="159"/>
      <c r="AK64" s="130" t="s">
        <v>282</v>
      </c>
      <c r="AL64" s="127"/>
      <c r="AM64" s="127"/>
      <c r="AN64" s="127"/>
      <c r="AO64" s="127" t="s">
        <v>296</v>
      </c>
      <c r="AP64" s="181"/>
      <c r="AQ64" s="127"/>
      <c r="AR64" s="127"/>
      <c r="AS64" s="127"/>
      <c r="AT64" s="127"/>
      <c r="AU64" s="127"/>
      <c r="AV64" s="127" t="s">
        <v>292</v>
      </c>
      <c r="AW64" s="127"/>
      <c r="AX64" s="127"/>
      <c r="AY64" s="127"/>
      <c r="AZ64" s="127"/>
      <c r="BA64" s="127"/>
      <c r="BB64" s="127"/>
      <c r="BC64" s="127"/>
      <c r="BD64" s="127"/>
      <c r="BE64" s="127"/>
      <c r="BF64" s="127"/>
      <c r="BG64" s="127"/>
      <c r="BH64" s="127"/>
      <c r="BI64" s="131"/>
    </row>
    <row r="65" spans="2:61" ht="20.100000000000001" customHeight="1" x14ac:dyDescent="0.45">
      <c r="B65" s="160"/>
      <c r="C65" s="31"/>
      <c r="D65" s="31"/>
      <c r="E65" s="31"/>
      <c r="F65" s="31"/>
      <c r="G65" s="133"/>
      <c r="H65" s="137" t="s">
        <v>146</v>
      </c>
      <c r="I65" s="55"/>
      <c r="J65" s="137" t="s">
        <v>285</v>
      </c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138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139"/>
    </row>
    <row r="66" spans="2:61" ht="20.100000000000001" customHeight="1" x14ac:dyDescent="0.45">
      <c r="B66" s="132"/>
      <c r="C66" s="31"/>
      <c r="D66" s="31"/>
      <c r="E66" s="31"/>
      <c r="F66" s="31"/>
      <c r="G66" s="133"/>
      <c r="H66" s="137" t="s">
        <v>148</v>
      </c>
      <c r="I66" s="55"/>
      <c r="J66" s="137" t="s">
        <v>286</v>
      </c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138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139"/>
    </row>
    <row r="67" spans="2:61" ht="20.100000000000001" customHeight="1" x14ac:dyDescent="0.45">
      <c r="B67" s="132"/>
      <c r="C67" s="31"/>
      <c r="D67" s="31"/>
      <c r="E67" s="31"/>
      <c r="F67" s="31"/>
      <c r="G67" s="133"/>
      <c r="H67" s="134"/>
      <c r="I67" s="133"/>
      <c r="J67" s="134"/>
      <c r="K67" s="31" t="s">
        <v>287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133"/>
      <c r="AK67" s="135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136"/>
    </row>
    <row r="68" spans="2:61" ht="20.100000000000001" customHeight="1" x14ac:dyDescent="0.45">
      <c r="B68" s="132"/>
      <c r="C68" s="31"/>
      <c r="D68" s="31"/>
      <c r="E68" s="31"/>
      <c r="F68" s="31"/>
      <c r="G68" s="133"/>
      <c r="H68" s="134"/>
      <c r="I68" s="31"/>
      <c r="J68" s="134"/>
      <c r="K68" s="31" t="s">
        <v>288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135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136"/>
    </row>
    <row r="69" spans="2:61" ht="20.100000000000001" customHeight="1" thickBot="1" x14ac:dyDescent="0.5">
      <c r="B69" s="132"/>
      <c r="C69" s="31"/>
      <c r="D69" s="31"/>
      <c r="E69" s="31"/>
      <c r="F69" s="31"/>
      <c r="G69" s="133"/>
      <c r="H69" s="137" t="s">
        <v>289</v>
      </c>
      <c r="I69" s="55"/>
      <c r="J69" s="137" t="s">
        <v>303</v>
      </c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138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139"/>
    </row>
    <row r="70" spans="2:61" ht="20.100000000000001" customHeight="1" x14ac:dyDescent="0.45">
      <c r="B70" s="126" t="s">
        <v>297</v>
      </c>
      <c r="C70" s="127"/>
      <c r="D70" s="127"/>
      <c r="E70" s="127"/>
      <c r="F70" s="127"/>
      <c r="G70" s="128"/>
      <c r="H70" s="129" t="s">
        <v>177</v>
      </c>
      <c r="I70" s="127"/>
      <c r="J70" s="179" t="s">
        <v>301</v>
      </c>
      <c r="K70" s="158"/>
      <c r="L70" s="158"/>
      <c r="M70" s="158"/>
      <c r="N70" s="158"/>
      <c r="O70" s="158"/>
      <c r="P70" s="158"/>
      <c r="Q70" s="159"/>
      <c r="R70" s="157" t="s">
        <v>304</v>
      </c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9"/>
      <c r="AK70" s="130" t="s">
        <v>282</v>
      </c>
      <c r="AL70" s="127"/>
      <c r="AM70" s="127"/>
      <c r="AN70" s="127"/>
      <c r="AO70" s="127" t="s">
        <v>298</v>
      </c>
      <c r="AP70" s="181"/>
      <c r="AQ70" s="127"/>
      <c r="AR70" s="127"/>
      <c r="AS70" s="127"/>
      <c r="AT70" s="127"/>
      <c r="AU70" s="127"/>
      <c r="AV70" s="127" t="s">
        <v>299</v>
      </c>
      <c r="AW70" s="127"/>
      <c r="AX70" s="127"/>
      <c r="AY70" s="127"/>
      <c r="AZ70" s="127"/>
      <c r="BA70" s="127"/>
      <c r="BB70" s="127"/>
      <c r="BC70" s="127"/>
      <c r="BD70" s="127"/>
      <c r="BE70" s="127"/>
      <c r="BF70" s="127"/>
      <c r="BG70" s="127"/>
      <c r="BH70" s="127"/>
      <c r="BI70" s="131"/>
    </row>
    <row r="71" spans="2:61" ht="20.100000000000001" customHeight="1" x14ac:dyDescent="0.45">
      <c r="B71" s="160"/>
      <c r="C71" s="31"/>
      <c r="D71" s="31"/>
      <c r="E71" s="31"/>
      <c r="F71" s="31"/>
      <c r="G71" s="133"/>
      <c r="H71" s="137" t="s">
        <v>146</v>
      </c>
      <c r="I71" s="55"/>
      <c r="J71" s="137" t="s">
        <v>285</v>
      </c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138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139"/>
    </row>
    <row r="72" spans="2:61" ht="20.100000000000001" customHeight="1" x14ac:dyDescent="0.45">
      <c r="B72" s="132"/>
      <c r="C72" s="31"/>
      <c r="D72" s="31"/>
      <c r="E72" s="31"/>
      <c r="F72" s="31"/>
      <c r="G72" s="133"/>
      <c r="H72" s="137" t="s">
        <v>148</v>
      </c>
      <c r="I72" s="55"/>
      <c r="J72" s="137" t="s">
        <v>286</v>
      </c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138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139"/>
    </row>
    <row r="73" spans="2:61" ht="20.100000000000001" customHeight="1" x14ac:dyDescent="0.45">
      <c r="B73" s="132"/>
      <c r="C73" s="31"/>
      <c r="D73" s="31"/>
      <c r="E73" s="31"/>
      <c r="F73" s="31"/>
      <c r="G73" s="133"/>
      <c r="H73" s="134"/>
      <c r="I73" s="133"/>
      <c r="J73" s="134"/>
      <c r="K73" s="31" t="s">
        <v>287</v>
      </c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133"/>
      <c r="AK73" s="135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136"/>
    </row>
    <row r="74" spans="2:61" ht="20.100000000000001" customHeight="1" x14ac:dyDescent="0.45">
      <c r="B74" s="132"/>
      <c r="C74" s="31"/>
      <c r="D74" s="31"/>
      <c r="E74" s="31"/>
      <c r="F74" s="31"/>
      <c r="G74" s="133"/>
      <c r="H74" s="134"/>
      <c r="I74" s="31"/>
      <c r="J74" s="134"/>
      <c r="K74" s="31" t="s">
        <v>288</v>
      </c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135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136"/>
    </row>
    <row r="75" spans="2:61" ht="20.100000000000001" customHeight="1" thickBot="1" x14ac:dyDescent="0.5">
      <c r="B75" s="132"/>
      <c r="C75" s="31"/>
      <c r="D75" s="31"/>
      <c r="E75" s="31"/>
      <c r="F75" s="31"/>
      <c r="G75" s="133"/>
      <c r="H75" s="137" t="s">
        <v>289</v>
      </c>
      <c r="I75" s="55"/>
      <c r="J75" s="137" t="s">
        <v>303</v>
      </c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138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139"/>
    </row>
    <row r="76" spans="2:61" ht="20.100000000000001" customHeight="1" x14ac:dyDescent="0.45">
      <c r="B76" s="126" t="s">
        <v>305</v>
      </c>
      <c r="C76" s="127"/>
      <c r="D76" s="127"/>
      <c r="E76" s="127"/>
      <c r="F76" s="127"/>
      <c r="G76" s="128"/>
      <c r="H76" s="129" t="s">
        <v>177</v>
      </c>
      <c r="I76" s="127"/>
      <c r="J76" s="179" t="s">
        <v>309</v>
      </c>
      <c r="K76" s="158"/>
      <c r="L76" s="158"/>
      <c r="M76" s="158"/>
      <c r="N76" s="158"/>
      <c r="O76" s="158"/>
      <c r="P76" s="158"/>
      <c r="Q76" s="159"/>
      <c r="R76" s="157" t="s">
        <v>310</v>
      </c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9"/>
      <c r="AK76" s="130" t="s">
        <v>282</v>
      </c>
      <c r="AL76" s="127"/>
      <c r="AM76" s="127"/>
      <c r="AN76" s="127"/>
      <c r="AO76" s="127" t="s">
        <v>307</v>
      </c>
      <c r="AP76" s="181"/>
      <c r="AQ76" s="127"/>
      <c r="AR76" s="127"/>
      <c r="AS76" s="127"/>
      <c r="AT76" s="127"/>
      <c r="AU76" s="127"/>
      <c r="AV76" s="127" t="s">
        <v>306</v>
      </c>
      <c r="AW76" s="127"/>
      <c r="AX76" s="127"/>
      <c r="AY76" s="127"/>
      <c r="AZ76" s="127"/>
      <c r="BA76" s="127"/>
      <c r="BB76" s="127"/>
      <c r="BC76" s="127"/>
      <c r="BD76" s="127"/>
      <c r="BE76" s="127"/>
      <c r="BF76" s="127"/>
      <c r="BG76" s="127"/>
      <c r="BH76" s="127"/>
      <c r="BI76" s="131"/>
    </row>
    <row r="77" spans="2:61" ht="20.100000000000001" customHeight="1" x14ac:dyDescent="0.45">
      <c r="B77" s="160"/>
      <c r="C77" s="31"/>
      <c r="D77" s="31"/>
      <c r="E77" s="31"/>
      <c r="F77" s="31"/>
      <c r="G77" s="133"/>
      <c r="H77" s="137" t="s">
        <v>146</v>
      </c>
      <c r="I77" s="55"/>
      <c r="J77" s="137" t="s">
        <v>285</v>
      </c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138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139"/>
    </row>
    <row r="78" spans="2:61" ht="20.100000000000001" customHeight="1" x14ac:dyDescent="0.45">
      <c r="B78" s="132"/>
      <c r="C78" s="31"/>
      <c r="D78" s="31"/>
      <c r="E78" s="31"/>
      <c r="F78" s="31"/>
      <c r="G78" s="133"/>
      <c r="H78" s="137" t="s">
        <v>148</v>
      </c>
      <c r="I78" s="55"/>
      <c r="J78" s="137" t="s">
        <v>286</v>
      </c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138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  <c r="BH78" s="55"/>
      <c r="BI78" s="139"/>
    </row>
    <row r="79" spans="2:61" ht="20.100000000000001" customHeight="1" x14ac:dyDescent="0.45">
      <c r="B79" s="132"/>
      <c r="C79" s="31"/>
      <c r="D79" s="31"/>
      <c r="E79" s="31"/>
      <c r="F79" s="31"/>
      <c r="G79" s="133"/>
      <c r="H79" s="134"/>
      <c r="I79" s="133"/>
      <c r="J79" s="134"/>
      <c r="K79" s="31" t="s">
        <v>287</v>
      </c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133"/>
      <c r="AK79" s="135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136"/>
    </row>
    <row r="80" spans="2:61" ht="20.100000000000001" customHeight="1" x14ac:dyDescent="0.45">
      <c r="B80" s="132"/>
      <c r="C80" s="31"/>
      <c r="D80" s="31"/>
      <c r="E80" s="31"/>
      <c r="F80" s="31"/>
      <c r="G80" s="133"/>
      <c r="H80" s="134"/>
      <c r="I80" s="31"/>
      <c r="J80" s="134"/>
      <c r="K80" s="31" t="s">
        <v>288</v>
      </c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135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136"/>
    </row>
    <row r="81" spans="2:61" ht="20.100000000000001" customHeight="1" thickBot="1" x14ac:dyDescent="0.5">
      <c r="B81" s="132"/>
      <c r="C81" s="31"/>
      <c r="D81" s="31"/>
      <c r="E81" s="31"/>
      <c r="F81" s="31"/>
      <c r="G81" s="133"/>
      <c r="H81" s="137" t="s">
        <v>289</v>
      </c>
      <c r="I81" s="55"/>
      <c r="J81" s="137" t="s">
        <v>303</v>
      </c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138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/>
      <c r="BF81" s="55"/>
      <c r="BG81" s="55"/>
      <c r="BH81" s="55"/>
      <c r="BI81" s="139"/>
    </row>
    <row r="82" spans="2:61" ht="20.100000000000001" customHeight="1" x14ac:dyDescent="0.45">
      <c r="B82" s="126" t="s">
        <v>311</v>
      </c>
      <c r="C82" s="127"/>
      <c r="D82" s="127"/>
      <c r="E82" s="127"/>
      <c r="F82" s="127"/>
      <c r="G82" s="128"/>
      <c r="H82" s="129" t="s">
        <v>177</v>
      </c>
      <c r="I82" s="127"/>
      <c r="J82" s="179" t="s">
        <v>283</v>
      </c>
      <c r="K82" s="158"/>
      <c r="L82" s="158"/>
      <c r="M82" s="158"/>
      <c r="N82" s="158"/>
      <c r="O82" s="158"/>
      <c r="P82" s="158"/>
      <c r="Q82" s="159"/>
      <c r="R82" s="157" t="s">
        <v>293</v>
      </c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9"/>
      <c r="AK82" s="130" t="s">
        <v>282</v>
      </c>
      <c r="AL82" s="127"/>
      <c r="AM82" s="127"/>
      <c r="AN82" s="127"/>
      <c r="AO82" s="127" t="s">
        <v>284</v>
      </c>
      <c r="AP82" s="181"/>
      <c r="AQ82" s="127"/>
      <c r="AR82" s="127"/>
      <c r="AS82" s="127"/>
      <c r="AT82" s="127"/>
      <c r="AU82" s="127"/>
      <c r="AV82" s="127" t="s">
        <v>313</v>
      </c>
      <c r="AW82" s="127"/>
      <c r="AX82" s="127"/>
      <c r="AY82" s="127"/>
      <c r="AZ82" s="127"/>
      <c r="BA82" s="127"/>
      <c r="BB82" s="127"/>
      <c r="BC82" s="127"/>
      <c r="BD82" s="127"/>
      <c r="BE82" s="127"/>
      <c r="BF82" s="127"/>
      <c r="BG82" s="127"/>
      <c r="BH82" s="127"/>
      <c r="BI82" s="131"/>
    </row>
    <row r="83" spans="2:61" ht="20.100000000000001" customHeight="1" x14ac:dyDescent="0.45">
      <c r="B83" s="160"/>
      <c r="C83" s="31"/>
      <c r="D83" s="31"/>
      <c r="E83" s="31"/>
      <c r="F83" s="31"/>
      <c r="G83" s="133"/>
      <c r="H83" s="137" t="s">
        <v>146</v>
      </c>
      <c r="I83" s="55"/>
      <c r="J83" s="137" t="s">
        <v>285</v>
      </c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138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5"/>
      <c r="BG83" s="55"/>
      <c r="BH83" s="55"/>
      <c r="BI83" s="139"/>
    </row>
    <row r="84" spans="2:61" ht="20.100000000000001" customHeight="1" x14ac:dyDescent="0.45">
      <c r="B84" s="132"/>
      <c r="C84" s="31"/>
      <c r="D84" s="31"/>
      <c r="E84" s="31"/>
      <c r="F84" s="31"/>
      <c r="G84" s="133"/>
      <c r="H84" s="137" t="s">
        <v>148</v>
      </c>
      <c r="I84" s="55"/>
      <c r="J84" s="137" t="s">
        <v>286</v>
      </c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138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  <c r="BD84" s="55"/>
      <c r="BE84" s="55"/>
      <c r="BF84" s="55"/>
      <c r="BG84" s="55"/>
      <c r="BH84" s="55"/>
      <c r="BI84" s="139"/>
    </row>
    <row r="85" spans="2:61" ht="20.100000000000001" customHeight="1" x14ac:dyDescent="0.45">
      <c r="B85" s="132"/>
      <c r="C85" s="31"/>
      <c r="D85" s="31"/>
      <c r="E85" s="31"/>
      <c r="F85" s="31"/>
      <c r="G85" s="133"/>
      <c r="H85" s="134"/>
      <c r="I85" s="133"/>
      <c r="J85" s="134"/>
      <c r="K85" s="31" t="s">
        <v>287</v>
      </c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133"/>
      <c r="AK85" s="135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136"/>
    </row>
    <row r="86" spans="2:61" ht="20.100000000000001" customHeight="1" x14ac:dyDescent="0.45">
      <c r="B86" s="132"/>
      <c r="C86" s="31"/>
      <c r="D86" s="31"/>
      <c r="E86" s="31"/>
      <c r="F86" s="31"/>
      <c r="G86" s="133"/>
      <c r="H86" s="134"/>
      <c r="I86" s="31"/>
      <c r="J86" s="134"/>
      <c r="K86" s="31" t="s">
        <v>288</v>
      </c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135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136"/>
    </row>
    <row r="87" spans="2:61" ht="20.100000000000001" customHeight="1" thickBot="1" x14ac:dyDescent="0.5">
      <c r="B87" s="132"/>
      <c r="C87" s="31"/>
      <c r="D87" s="31"/>
      <c r="E87" s="31"/>
      <c r="F87" s="31"/>
      <c r="G87" s="133"/>
      <c r="H87" s="137" t="s">
        <v>289</v>
      </c>
      <c r="I87" s="55"/>
      <c r="J87" s="137" t="s">
        <v>314</v>
      </c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138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5"/>
      <c r="BF87" s="55"/>
      <c r="BG87" s="55"/>
      <c r="BH87" s="55"/>
      <c r="BI87" s="139"/>
    </row>
    <row r="88" spans="2:61" ht="20.100000000000001" customHeight="1" x14ac:dyDescent="0.45">
      <c r="B88" s="126" t="s">
        <v>315</v>
      </c>
      <c r="C88" s="127"/>
      <c r="D88" s="127"/>
      <c r="E88" s="127"/>
      <c r="F88" s="127"/>
      <c r="G88" s="128"/>
      <c r="H88" s="129" t="s">
        <v>177</v>
      </c>
      <c r="I88" s="127"/>
      <c r="J88" s="179" t="s">
        <v>295</v>
      </c>
      <c r="K88" s="158"/>
      <c r="L88" s="158"/>
      <c r="M88" s="158"/>
      <c r="N88" s="158"/>
      <c r="O88" s="158"/>
      <c r="P88" s="158"/>
      <c r="Q88" s="159"/>
      <c r="R88" s="157" t="s">
        <v>300</v>
      </c>
      <c r="S88" s="158"/>
      <c r="T88" s="158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8"/>
      <c r="AJ88" s="159"/>
      <c r="AK88" s="130" t="s">
        <v>282</v>
      </c>
      <c r="AL88" s="127"/>
      <c r="AM88" s="127"/>
      <c r="AN88" s="127"/>
      <c r="AO88" s="127" t="s">
        <v>296</v>
      </c>
      <c r="AP88" s="181"/>
      <c r="AQ88" s="127"/>
      <c r="AR88" s="127"/>
      <c r="AS88" s="127"/>
      <c r="AT88" s="127"/>
      <c r="AU88" s="127"/>
      <c r="AV88" s="127" t="s">
        <v>316</v>
      </c>
      <c r="AW88" s="127"/>
      <c r="AX88" s="127"/>
      <c r="AY88" s="127"/>
      <c r="AZ88" s="127"/>
      <c r="BA88" s="127"/>
      <c r="BB88" s="127"/>
      <c r="BC88" s="127"/>
      <c r="BD88" s="127"/>
      <c r="BE88" s="127"/>
      <c r="BF88" s="127"/>
      <c r="BG88" s="127"/>
      <c r="BH88" s="127"/>
      <c r="BI88" s="131"/>
    </row>
    <row r="89" spans="2:61" ht="20.100000000000001" customHeight="1" x14ac:dyDescent="0.45">
      <c r="B89" s="160"/>
      <c r="C89" s="31"/>
      <c r="D89" s="31"/>
      <c r="E89" s="31"/>
      <c r="F89" s="31"/>
      <c r="G89" s="133"/>
      <c r="H89" s="137" t="s">
        <v>146</v>
      </c>
      <c r="I89" s="55"/>
      <c r="J89" s="137" t="s">
        <v>285</v>
      </c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138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55"/>
      <c r="BE89" s="55"/>
      <c r="BF89" s="55"/>
      <c r="BG89" s="55"/>
      <c r="BH89" s="55"/>
      <c r="BI89" s="139"/>
    </row>
    <row r="90" spans="2:61" ht="20.100000000000001" customHeight="1" x14ac:dyDescent="0.45">
      <c r="B90" s="132"/>
      <c r="C90" s="31"/>
      <c r="D90" s="31"/>
      <c r="E90" s="31"/>
      <c r="F90" s="31"/>
      <c r="G90" s="133"/>
      <c r="H90" s="137" t="s">
        <v>148</v>
      </c>
      <c r="I90" s="55"/>
      <c r="J90" s="137" t="s">
        <v>286</v>
      </c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138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55"/>
      <c r="BH90" s="55"/>
      <c r="BI90" s="139"/>
    </row>
    <row r="91" spans="2:61" ht="20.100000000000001" customHeight="1" x14ac:dyDescent="0.45">
      <c r="B91" s="132"/>
      <c r="C91" s="31"/>
      <c r="D91" s="31"/>
      <c r="E91" s="31"/>
      <c r="F91" s="31"/>
      <c r="G91" s="133"/>
      <c r="H91" s="134"/>
      <c r="I91" s="133"/>
      <c r="J91" s="134"/>
      <c r="K91" s="31" t="s">
        <v>287</v>
      </c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133"/>
      <c r="AK91" s="135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136"/>
    </row>
    <row r="92" spans="2:61" ht="20.100000000000001" customHeight="1" x14ac:dyDescent="0.45">
      <c r="B92" s="132"/>
      <c r="C92" s="31"/>
      <c r="D92" s="31"/>
      <c r="E92" s="31"/>
      <c r="F92" s="31"/>
      <c r="G92" s="133"/>
      <c r="H92" s="134"/>
      <c r="I92" s="31"/>
      <c r="J92" s="134"/>
      <c r="K92" s="31" t="s">
        <v>288</v>
      </c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135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136"/>
    </row>
    <row r="93" spans="2:61" ht="20.100000000000001" customHeight="1" thickBot="1" x14ac:dyDescent="0.5">
      <c r="B93" s="132"/>
      <c r="C93" s="31"/>
      <c r="D93" s="31"/>
      <c r="E93" s="31"/>
      <c r="F93" s="31"/>
      <c r="G93" s="133"/>
      <c r="H93" s="137" t="s">
        <v>289</v>
      </c>
      <c r="I93" s="55"/>
      <c r="J93" s="137" t="s">
        <v>314</v>
      </c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138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5"/>
      <c r="BF93" s="55"/>
      <c r="BG93" s="55"/>
      <c r="BH93" s="55"/>
      <c r="BI93" s="139"/>
    </row>
    <row r="94" spans="2:61" ht="20.100000000000001" customHeight="1" x14ac:dyDescent="0.45">
      <c r="B94" s="126" t="s">
        <v>317</v>
      </c>
      <c r="C94" s="127"/>
      <c r="D94" s="127"/>
      <c r="E94" s="127"/>
      <c r="F94" s="127"/>
      <c r="G94" s="128"/>
      <c r="H94" s="129" t="s">
        <v>177</v>
      </c>
      <c r="I94" s="127"/>
      <c r="J94" s="179" t="s">
        <v>301</v>
      </c>
      <c r="K94" s="158"/>
      <c r="L94" s="158"/>
      <c r="M94" s="158"/>
      <c r="N94" s="158"/>
      <c r="O94" s="158"/>
      <c r="P94" s="158"/>
      <c r="Q94" s="159"/>
      <c r="R94" s="157" t="s">
        <v>304</v>
      </c>
      <c r="S94" s="158"/>
      <c r="T94" s="158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9"/>
      <c r="AK94" s="130" t="s">
        <v>282</v>
      </c>
      <c r="AL94" s="127"/>
      <c r="AM94" s="127"/>
      <c r="AN94" s="127"/>
      <c r="AO94" s="127" t="s">
        <v>298</v>
      </c>
      <c r="AP94" s="181"/>
      <c r="AQ94" s="127"/>
      <c r="AR94" s="127"/>
      <c r="AS94" s="127"/>
      <c r="AT94" s="127"/>
      <c r="AU94" s="127"/>
      <c r="AV94" s="127" t="s">
        <v>318</v>
      </c>
      <c r="AW94" s="127"/>
      <c r="AX94" s="127"/>
      <c r="AY94" s="127"/>
      <c r="AZ94" s="127"/>
      <c r="BA94" s="127"/>
      <c r="BB94" s="127"/>
      <c r="BC94" s="127"/>
      <c r="BD94" s="127"/>
      <c r="BE94" s="127"/>
      <c r="BF94" s="127"/>
      <c r="BG94" s="127"/>
      <c r="BH94" s="127"/>
      <c r="BI94" s="131"/>
    </row>
    <row r="95" spans="2:61" ht="20.100000000000001" customHeight="1" x14ac:dyDescent="0.45">
      <c r="B95" s="160"/>
      <c r="C95" s="31"/>
      <c r="D95" s="31"/>
      <c r="E95" s="31"/>
      <c r="F95" s="31"/>
      <c r="G95" s="133"/>
      <c r="H95" s="137" t="s">
        <v>146</v>
      </c>
      <c r="I95" s="55"/>
      <c r="J95" s="137" t="s">
        <v>285</v>
      </c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138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/>
      <c r="BG95" s="55"/>
      <c r="BH95" s="55"/>
      <c r="BI95" s="139"/>
    </row>
    <row r="96" spans="2:61" ht="20.100000000000001" customHeight="1" x14ac:dyDescent="0.45">
      <c r="B96" s="132"/>
      <c r="C96" s="31"/>
      <c r="D96" s="31"/>
      <c r="E96" s="31"/>
      <c r="F96" s="31"/>
      <c r="G96" s="133"/>
      <c r="H96" s="137" t="s">
        <v>148</v>
      </c>
      <c r="I96" s="55"/>
      <c r="J96" s="137" t="s">
        <v>286</v>
      </c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138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55"/>
      <c r="BH96" s="55"/>
      <c r="BI96" s="139"/>
    </row>
    <row r="97" spans="2:61" ht="20.100000000000001" customHeight="1" x14ac:dyDescent="0.45">
      <c r="B97" s="132"/>
      <c r="C97" s="31"/>
      <c r="D97" s="31"/>
      <c r="E97" s="31"/>
      <c r="F97" s="31"/>
      <c r="G97" s="133"/>
      <c r="H97" s="134"/>
      <c r="I97" s="133"/>
      <c r="J97" s="134"/>
      <c r="K97" s="31" t="s">
        <v>287</v>
      </c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133"/>
      <c r="AK97" s="135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136"/>
    </row>
    <row r="98" spans="2:61" ht="20.100000000000001" customHeight="1" x14ac:dyDescent="0.45">
      <c r="B98" s="132"/>
      <c r="C98" s="31"/>
      <c r="D98" s="31"/>
      <c r="E98" s="31"/>
      <c r="F98" s="31"/>
      <c r="G98" s="133"/>
      <c r="H98" s="134"/>
      <c r="I98" s="31"/>
      <c r="J98" s="134"/>
      <c r="K98" s="31" t="s">
        <v>288</v>
      </c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135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136"/>
    </row>
    <row r="99" spans="2:61" ht="20.100000000000001" customHeight="1" thickBot="1" x14ac:dyDescent="0.5">
      <c r="B99" s="132"/>
      <c r="C99" s="31"/>
      <c r="D99" s="31"/>
      <c r="E99" s="31"/>
      <c r="F99" s="31"/>
      <c r="G99" s="133"/>
      <c r="H99" s="137" t="s">
        <v>289</v>
      </c>
      <c r="I99" s="55"/>
      <c r="J99" s="137" t="s">
        <v>314</v>
      </c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138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55"/>
      <c r="BE99" s="55"/>
      <c r="BF99" s="55"/>
      <c r="BG99" s="55"/>
      <c r="BH99" s="55"/>
      <c r="BI99" s="139"/>
    </row>
    <row r="100" spans="2:61" ht="20.100000000000001" customHeight="1" x14ac:dyDescent="0.45">
      <c r="B100" s="126" t="s">
        <v>319</v>
      </c>
      <c r="C100" s="127"/>
      <c r="D100" s="127"/>
      <c r="E100" s="127"/>
      <c r="F100" s="127"/>
      <c r="G100" s="128"/>
      <c r="H100" s="129" t="s">
        <v>177</v>
      </c>
      <c r="I100" s="127"/>
      <c r="J100" s="179" t="s">
        <v>309</v>
      </c>
      <c r="K100" s="158"/>
      <c r="L100" s="158"/>
      <c r="M100" s="158"/>
      <c r="N100" s="158"/>
      <c r="O100" s="158"/>
      <c r="P100" s="158"/>
      <c r="Q100" s="159"/>
      <c r="R100" s="157" t="s">
        <v>310</v>
      </c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  <c r="AG100" s="158"/>
      <c r="AH100" s="158"/>
      <c r="AI100" s="158"/>
      <c r="AJ100" s="159"/>
      <c r="AK100" s="130" t="s">
        <v>282</v>
      </c>
      <c r="AL100" s="127"/>
      <c r="AM100" s="127"/>
      <c r="AN100" s="127"/>
      <c r="AO100" s="127" t="s">
        <v>307</v>
      </c>
      <c r="AP100" s="181"/>
      <c r="AQ100" s="127"/>
      <c r="AR100" s="127"/>
      <c r="AS100" s="127"/>
      <c r="AT100" s="127"/>
      <c r="AU100" s="127"/>
      <c r="AV100" s="127" t="s">
        <v>320</v>
      </c>
      <c r="AW100" s="127"/>
      <c r="AX100" s="127"/>
      <c r="AY100" s="127"/>
      <c r="AZ100" s="127"/>
      <c r="BA100" s="127"/>
      <c r="BB100" s="127"/>
      <c r="BC100" s="127"/>
      <c r="BD100" s="127"/>
      <c r="BE100" s="127"/>
      <c r="BF100" s="127"/>
      <c r="BG100" s="127"/>
      <c r="BH100" s="127"/>
      <c r="BI100" s="131"/>
    </row>
    <row r="101" spans="2:61" ht="20.100000000000001" customHeight="1" x14ac:dyDescent="0.45">
      <c r="B101" s="160"/>
      <c r="C101" s="31"/>
      <c r="D101" s="31"/>
      <c r="E101" s="31"/>
      <c r="F101" s="31"/>
      <c r="G101" s="133"/>
      <c r="H101" s="137" t="s">
        <v>146</v>
      </c>
      <c r="I101" s="55"/>
      <c r="J101" s="137" t="s">
        <v>285</v>
      </c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138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55"/>
      <c r="BE101" s="55"/>
      <c r="BF101" s="55"/>
      <c r="BG101" s="55"/>
      <c r="BH101" s="55"/>
      <c r="BI101" s="139"/>
    </row>
    <row r="102" spans="2:61" ht="20.100000000000001" customHeight="1" x14ac:dyDescent="0.45">
      <c r="B102" s="132"/>
      <c r="C102" s="31"/>
      <c r="D102" s="31"/>
      <c r="E102" s="31"/>
      <c r="F102" s="31"/>
      <c r="G102" s="133"/>
      <c r="H102" s="137" t="s">
        <v>148</v>
      </c>
      <c r="I102" s="55"/>
      <c r="J102" s="137" t="s">
        <v>286</v>
      </c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138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55"/>
      <c r="BE102" s="55"/>
      <c r="BF102" s="55"/>
      <c r="BG102" s="55"/>
      <c r="BH102" s="55"/>
      <c r="BI102" s="139"/>
    </row>
    <row r="103" spans="2:61" ht="20.100000000000001" customHeight="1" x14ac:dyDescent="0.45">
      <c r="B103" s="132"/>
      <c r="C103" s="31"/>
      <c r="D103" s="31"/>
      <c r="E103" s="31"/>
      <c r="F103" s="31"/>
      <c r="G103" s="133"/>
      <c r="H103" s="134"/>
      <c r="I103" s="133"/>
      <c r="J103" s="134"/>
      <c r="K103" s="31" t="s">
        <v>287</v>
      </c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133"/>
      <c r="AK103" s="135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136"/>
    </row>
    <row r="104" spans="2:61" ht="20.100000000000001" customHeight="1" x14ac:dyDescent="0.45">
      <c r="B104" s="132"/>
      <c r="C104" s="31"/>
      <c r="D104" s="31"/>
      <c r="E104" s="31"/>
      <c r="F104" s="31"/>
      <c r="G104" s="133"/>
      <c r="H104" s="134"/>
      <c r="I104" s="31"/>
      <c r="J104" s="134"/>
      <c r="K104" s="31" t="s">
        <v>288</v>
      </c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135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136"/>
    </row>
    <row r="105" spans="2:61" ht="20.100000000000001" customHeight="1" thickBot="1" x14ac:dyDescent="0.5">
      <c r="B105" s="132"/>
      <c r="C105" s="31"/>
      <c r="D105" s="31"/>
      <c r="E105" s="31"/>
      <c r="F105" s="31"/>
      <c r="G105" s="133"/>
      <c r="H105" s="137" t="s">
        <v>289</v>
      </c>
      <c r="I105" s="55"/>
      <c r="J105" s="137" t="s">
        <v>314</v>
      </c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138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139"/>
    </row>
    <row r="106" spans="2:61" ht="20.100000000000001" customHeight="1" x14ac:dyDescent="0.45">
      <c r="B106" s="126" t="s">
        <v>321</v>
      </c>
      <c r="C106" s="127"/>
      <c r="D106" s="127"/>
      <c r="E106" s="127"/>
      <c r="F106" s="127"/>
      <c r="G106" s="128"/>
      <c r="H106" s="129" t="s">
        <v>177</v>
      </c>
      <c r="I106" s="127"/>
      <c r="J106" s="157" t="s">
        <v>343</v>
      </c>
      <c r="K106" s="158"/>
      <c r="L106" s="158"/>
      <c r="M106" s="158"/>
      <c r="N106" s="158"/>
      <c r="O106" s="158"/>
      <c r="P106" s="158"/>
      <c r="Q106" s="159"/>
      <c r="R106" s="158" t="s">
        <v>216</v>
      </c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  <c r="AG106" s="158"/>
      <c r="AH106" s="158"/>
      <c r="AI106" s="158"/>
      <c r="AJ106" s="159"/>
      <c r="AK106" s="130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  <c r="AV106" s="127"/>
      <c r="AW106" s="127"/>
      <c r="AX106" s="127"/>
      <c r="AY106" s="127"/>
      <c r="AZ106" s="127"/>
      <c r="BA106" s="127"/>
      <c r="BB106" s="127"/>
      <c r="BC106" s="127"/>
      <c r="BD106" s="127"/>
      <c r="BE106" s="127"/>
      <c r="BF106" s="127"/>
      <c r="BG106" s="127"/>
      <c r="BH106" s="127"/>
      <c r="BI106" s="131"/>
    </row>
    <row r="107" spans="2:61" ht="20.100000000000001" customHeight="1" x14ac:dyDescent="0.45">
      <c r="B107" s="160"/>
      <c r="C107" s="31"/>
      <c r="D107" s="31"/>
      <c r="E107" s="31"/>
      <c r="F107" s="31"/>
      <c r="G107" s="133"/>
      <c r="H107" s="134"/>
      <c r="I107" s="31"/>
      <c r="J107" s="161" t="s">
        <v>344</v>
      </c>
      <c r="K107" s="52"/>
      <c r="L107" s="52"/>
      <c r="M107" s="52"/>
      <c r="N107" s="52"/>
      <c r="O107" s="52"/>
      <c r="P107" s="52"/>
      <c r="Q107" s="162"/>
      <c r="R107" s="52" t="s">
        <v>220</v>
      </c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162"/>
      <c r="AK107" s="135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136"/>
    </row>
    <row r="108" spans="2:61" ht="20.100000000000001" customHeight="1" x14ac:dyDescent="0.45">
      <c r="B108" s="160"/>
      <c r="C108" s="31"/>
      <c r="D108" s="31"/>
      <c r="E108" s="31"/>
      <c r="F108" s="31"/>
      <c r="G108" s="133"/>
      <c r="H108" s="134"/>
      <c r="I108" s="31"/>
      <c r="J108" s="161" t="s">
        <v>345</v>
      </c>
      <c r="K108" s="52"/>
      <c r="L108" s="52"/>
      <c r="M108" s="52"/>
      <c r="N108" s="52"/>
      <c r="O108" s="52"/>
      <c r="P108" s="52"/>
      <c r="Q108" s="162"/>
      <c r="R108" s="52" t="s">
        <v>372</v>
      </c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162"/>
      <c r="AK108" s="135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136"/>
    </row>
    <row r="109" spans="2:61" ht="20.100000000000001" customHeight="1" x14ac:dyDescent="0.45">
      <c r="B109" s="160"/>
      <c r="C109" s="31"/>
      <c r="D109" s="31"/>
      <c r="E109" s="31"/>
      <c r="F109" s="31"/>
      <c r="G109" s="133"/>
      <c r="H109" s="134"/>
      <c r="I109" s="31"/>
      <c r="J109" s="161" t="s">
        <v>346</v>
      </c>
      <c r="K109" s="52"/>
      <c r="L109" s="52"/>
      <c r="M109" s="52"/>
      <c r="N109" s="52"/>
      <c r="O109" s="52"/>
      <c r="P109" s="52"/>
      <c r="Q109" s="162"/>
      <c r="R109" s="52" t="s">
        <v>373</v>
      </c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162"/>
      <c r="AK109" s="135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136"/>
    </row>
    <row r="110" spans="2:61" ht="20.100000000000001" customHeight="1" x14ac:dyDescent="0.45">
      <c r="B110" s="160"/>
      <c r="C110" s="31"/>
      <c r="D110" s="31"/>
      <c r="E110" s="31"/>
      <c r="F110" s="31"/>
      <c r="G110" s="133"/>
      <c r="H110" s="31"/>
      <c r="I110" s="31"/>
      <c r="J110" s="161" t="s">
        <v>347</v>
      </c>
      <c r="K110" s="52"/>
      <c r="L110" s="52"/>
      <c r="M110" s="52"/>
      <c r="N110" s="52"/>
      <c r="O110" s="52"/>
      <c r="P110" s="52"/>
      <c r="Q110" s="162"/>
      <c r="R110" s="52" t="s">
        <v>374</v>
      </c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162"/>
      <c r="AK110" s="135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136"/>
    </row>
    <row r="111" spans="2:61" ht="20.100000000000001" customHeight="1" x14ac:dyDescent="0.45">
      <c r="B111" s="160"/>
      <c r="C111" s="31"/>
      <c r="D111" s="31"/>
      <c r="E111" s="31"/>
      <c r="F111" s="31"/>
      <c r="G111" s="133"/>
      <c r="H111" s="31"/>
      <c r="I111" s="31"/>
      <c r="J111" s="161" t="s">
        <v>348</v>
      </c>
      <c r="K111" s="52"/>
      <c r="L111" s="52"/>
      <c r="M111" s="52"/>
      <c r="N111" s="52"/>
      <c r="O111" s="52"/>
      <c r="P111" s="52"/>
      <c r="Q111" s="162"/>
      <c r="R111" s="52" t="s">
        <v>376</v>
      </c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162"/>
      <c r="AK111" s="135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136"/>
    </row>
    <row r="112" spans="2:61" ht="20.100000000000001" customHeight="1" x14ac:dyDescent="0.45">
      <c r="B112" s="160"/>
      <c r="C112" s="31"/>
      <c r="D112" s="31"/>
      <c r="E112" s="31"/>
      <c r="F112" s="31"/>
      <c r="G112" s="133"/>
      <c r="H112" s="31"/>
      <c r="I112" s="31"/>
      <c r="J112" s="161" t="s">
        <v>349</v>
      </c>
      <c r="K112" s="52"/>
      <c r="L112" s="52"/>
      <c r="M112" s="52"/>
      <c r="N112" s="52"/>
      <c r="O112" s="52"/>
      <c r="P112" s="52"/>
      <c r="Q112" s="162"/>
      <c r="R112" s="52" t="s">
        <v>377</v>
      </c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162"/>
      <c r="AK112" s="135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136"/>
    </row>
    <row r="113" spans="2:61" ht="20.100000000000001" customHeight="1" x14ac:dyDescent="0.45">
      <c r="B113" s="160"/>
      <c r="C113" s="31"/>
      <c r="D113" s="31"/>
      <c r="E113" s="31"/>
      <c r="F113" s="31"/>
      <c r="G113" s="133"/>
      <c r="H113" s="31"/>
      <c r="I113" s="31"/>
      <c r="J113" s="161" t="s">
        <v>350</v>
      </c>
      <c r="K113" s="52"/>
      <c r="L113" s="52"/>
      <c r="M113" s="52"/>
      <c r="N113" s="52"/>
      <c r="O113" s="52"/>
      <c r="P113" s="52"/>
      <c r="Q113" s="162"/>
      <c r="R113" s="52" t="s">
        <v>378</v>
      </c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162"/>
      <c r="AK113" s="135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136"/>
    </row>
    <row r="114" spans="2:61" ht="20.100000000000001" customHeight="1" x14ac:dyDescent="0.45">
      <c r="B114" s="160"/>
      <c r="C114" s="31"/>
      <c r="D114" s="31"/>
      <c r="E114" s="31"/>
      <c r="F114" s="31"/>
      <c r="G114" s="133"/>
      <c r="H114" s="31"/>
      <c r="I114" s="31"/>
      <c r="J114" s="161" t="s">
        <v>351</v>
      </c>
      <c r="K114" s="52"/>
      <c r="L114" s="52"/>
      <c r="M114" s="52"/>
      <c r="N114" s="52"/>
      <c r="O114" s="52"/>
      <c r="P114" s="52"/>
      <c r="Q114" s="162"/>
      <c r="R114" s="52" t="s">
        <v>379</v>
      </c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162"/>
      <c r="AK114" s="135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136"/>
    </row>
    <row r="115" spans="2:61" ht="20.100000000000001" customHeight="1" x14ac:dyDescent="0.45">
      <c r="B115" s="160"/>
      <c r="C115" s="31"/>
      <c r="D115" s="31"/>
      <c r="E115" s="31"/>
      <c r="F115" s="31"/>
      <c r="G115" s="133"/>
      <c r="H115" s="31"/>
      <c r="I115" s="31"/>
      <c r="J115" s="161" t="s">
        <v>352</v>
      </c>
      <c r="K115" s="52"/>
      <c r="L115" s="52"/>
      <c r="M115" s="52"/>
      <c r="N115" s="52"/>
      <c r="O115" s="52"/>
      <c r="P115" s="52"/>
      <c r="Q115" s="162"/>
      <c r="R115" s="52" t="s">
        <v>380</v>
      </c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162"/>
      <c r="AK115" s="135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136"/>
    </row>
    <row r="116" spans="2:61" ht="20.100000000000001" customHeight="1" x14ac:dyDescent="0.45">
      <c r="B116" s="160"/>
      <c r="C116" s="31"/>
      <c r="D116" s="31"/>
      <c r="E116" s="31"/>
      <c r="F116" s="31"/>
      <c r="G116" s="133"/>
      <c r="H116" s="31"/>
      <c r="I116" s="31"/>
      <c r="J116" s="161" t="s">
        <v>353</v>
      </c>
      <c r="K116" s="52"/>
      <c r="L116" s="52"/>
      <c r="M116" s="52"/>
      <c r="N116" s="52"/>
      <c r="O116" s="52"/>
      <c r="P116" s="52"/>
      <c r="Q116" s="162"/>
      <c r="R116" s="52" t="s">
        <v>381</v>
      </c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162"/>
      <c r="AK116" s="135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136"/>
    </row>
    <row r="117" spans="2:61" ht="20.100000000000001" customHeight="1" x14ac:dyDescent="0.45">
      <c r="B117" s="160"/>
      <c r="C117" s="31"/>
      <c r="D117" s="31"/>
      <c r="E117" s="31"/>
      <c r="F117" s="31"/>
      <c r="G117" s="133"/>
      <c r="H117" s="31"/>
      <c r="I117" s="31"/>
      <c r="J117" s="161" t="s">
        <v>354</v>
      </c>
      <c r="K117" s="52"/>
      <c r="L117" s="52"/>
      <c r="M117" s="52"/>
      <c r="N117" s="52"/>
      <c r="O117" s="52"/>
      <c r="P117" s="52"/>
      <c r="Q117" s="162"/>
      <c r="R117" s="52" t="s">
        <v>382</v>
      </c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162"/>
      <c r="AK117" s="135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136"/>
    </row>
    <row r="118" spans="2:61" ht="20.100000000000001" customHeight="1" x14ac:dyDescent="0.45">
      <c r="B118" s="160"/>
      <c r="C118" s="31"/>
      <c r="D118" s="31"/>
      <c r="E118" s="31"/>
      <c r="F118" s="31"/>
      <c r="G118" s="133"/>
      <c r="H118" s="31"/>
      <c r="I118" s="31"/>
      <c r="J118" s="161" t="s">
        <v>355</v>
      </c>
      <c r="K118" s="52"/>
      <c r="L118" s="52"/>
      <c r="M118" s="52"/>
      <c r="N118" s="52"/>
      <c r="O118" s="52"/>
      <c r="P118" s="52"/>
      <c r="Q118" s="162"/>
      <c r="R118" s="52" t="s">
        <v>383</v>
      </c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162"/>
      <c r="AK118" s="135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136"/>
    </row>
    <row r="119" spans="2:61" ht="20.100000000000001" customHeight="1" x14ac:dyDescent="0.45">
      <c r="B119" s="160"/>
      <c r="C119" s="31"/>
      <c r="D119" s="31"/>
      <c r="E119" s="31"/>
      <c r="F119" s="31"/>
      <c r="G119" s="133"/>
      <c r="H119" s="31"/>
      <c r="I119" s="31"/>
      <c r="J119" s="161" t="s">
        <v>356</v>
      </c>
      <c r="K119" s="52"/>
      <c r="L119" s="52"/>
      <c r="M119" s="52"/>
      <c r="N119" s="52"/>
      <c r="O119" s="52"/>
      <c r="P119" s="52"/>
      <c r="Q119" s="162"/>
      <c r="R119" s="52" t="s">
        <v>384</v>
      </c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162"/>
      <c r="AK119" s="135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136"/>
    </row>
    <row r="120" spans="2:61" ht="20.100000000000001" customHeight="1" x14ac:dyDescent="0.45">
      <c r="B120" s="160"/>
      <c r="C120" s="31"/>
      <c r="D120" s="31"/>
      <c r="E120" s="31"/>
      <c r="F120" s="31"/>
      <c r="G120" s="133"/>
      <c r="H120" s="31"/>
      <c r="I120" s="31"/>
      <c r="J120" s="161" t="s">
        <v>357</v>
      </c>
      <c r="K120" s="52"/>
      <c r="L120" s="52"/>
      <c r="M120" s="52"/>
      <c r="N120" s="52"/>
      <c r="O120" s="52"/>
      <c r="P120" s="52"/>
      <c r="Q120" s="162"/>
      <c r="R120" s="52" t="s">
        <v>385</v>
      </c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162"/>
      <c r="AK120" s="135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136"/>
    </row>
    <row r="121" spans="2:61" ht="20.100000000000001" customHeight="1" x14ac:dyDescent="0.45">
      <c r="B121" s="160"/>
      <c r="C121" s="31"/>
      <c r="D121" s="31"/>
      <c r="E121" s="31"/>
      <c r="F121" s="31"/>
      <c r="G121" s="133"/>
      <c r="H121" s="31"/>
      <c r="I121" s="31"/>
      <c r="J121" s="161" t="s">
        <v>358</v>
      </c>
      <c r="K121" s="52"/>
      <c r="L121" s="52"/>
      <c r="M121" s="52"/>
      <c r="N121" s="52"/>
      <c r="O121" s="52"/>
      <c r="P121" s="52"/>
      <c r="Q121" s="162"/>
      <c r="R121" s="52" t="s">
        <v>386</v>
      </c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162"/>
      <c r="AK121" s="135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136"/>
    </row>
    <row r="122" spans="2:61" ht="20.100000000000001" customHeight="1" x14ac:dyDescent="0.45">
      <c r="B122" s="160"/>
      <c r="C122" s="31"/>
      <c r="D122" s="31"/>
      <c r="E122" s="31"/>
      <c r="F122" s="31"/>
      <c r="G122" s="133"/>
      <c r="H122" s="31"/>
      <c r="I122" s="31"/>
      <c r="J122" s="161" t="s">
        <v>359</v>
      </c>
      <c r="K122" s="52"/>
      <c r="L122" s="52"/>
      <c r="M122" s="52"/>
      <c r="N122" s="52"/>
      <c r="O122" s="52"/>
      <c r="P122" s="52"/>
      <c r="Q122" s="162"/>
      <c r="R122" s="52" t="s">
        <v>387</v>
      </c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162"/>
      <c r="AK122" s="135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136"/>
    </row>
    <row r="123" spans="2:61" ht="20.100000000000001" customHeight="1" x14ac:dyDescent="0.45">
      <c r="B123" s="160"/>
      <c r="C123" s="31"/>
      <c r="D123" s="31"/>
      <c r="E123" s="31"/>
      <c r="F123" s="31"/>
      <c r="G123" s="133"/>
      <c r="H123" s="31"/>
      <c r="I123" s="31"/>
      <c r="J123" s="161" t="s">
        <v>360</v>
      </c>
      <c r="K123" s="52"/>
      <c r="L123" s="52"/>
      <c r="M123" s="52"/>
      <c r="N123" s="52"/>
      <c r="O123" s="52"/>
      <c r="P123" s="52"/>
      <c r="Q123" s="162"/>
      <c r="R123" s="52" t="s">
        <v>388</v>
      </c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162"/>
      <c r="AK123" s="135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136"/>
    </row>
    <row r="124" spans="2:61" ht="20.100000000000001" customHeight="1" x14ac:dyDescent="0.45">
      <c r="B124" s="160"/>
      <c r="C124" s="31"/>
      <c r="D124" s="31"/>
      <c r="E124" s="31"/>
      <c r="F124" s="31"/>
      <c r="G124" s="133"/>
      <c r="H124" s="31"/>
      <c r="I124" s="31"/>
      <c r="J124" s="161" t="s">
        <v>361</v>
      </c>
      <c r="K124" s="52"/>
      <c r="L124" s="52"/>
      <c r="M124" s="52"/>
      <c r="N124" s="52"/>
      <c r="O124" s="52"/>
      <c r="P124" s="52"/>
      <c r="Q124" s="162"/>
      <c r="R124" s="52" t="s">
        <v>389</v>
      </c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162"/>
      <c r="AK124" s="135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136"/>
    </row>
    <row r="125" spans="2:61" ht="20.100000000000001" customHeight="1" x14ac:dyDescent="0.45">
      <c r="B125" s="160"/>
      <c r="C125" s="31"/>
      <c r="D125" s="31"/>
      <c r="E125" s="31"/>
      <c r="F125" s="31"/>
      <c r="G125" s="133"/>
      <c r="H125" s="31"/>
      <c r="I125" s="31"/>
      <c r="J125" s="161" t="s">
        <v>355</v>
      </c>
      <c r="K125" s="52"/>
      <c r="L125" s="52"/>
      <c r="M125" s="52"/>
      <c r="N125" s="52"/>
      <c r="O125" s="52"/>
      <c r="P125" s="52"/>
      <c r="Q125" s="162"/>
      <c r="R125" s="52" t="s">
        <v>383</v>
      </c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162"/>
      <c r="AK125" s="135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136"/>
    </row>
    <row r="126" spans="2:61" ht="20.100000000000001" customHeight="1" x14ac:dyDescent="0.45">
      <c r="B126" s="160"/>
      <c r="C126" s="31"/>
      <c r="D126" s="31"/>
      <c r="E126" s="31"/>
      <c r="F126" s="31"/>
      <c r="G126" s="133"/>
      <c r="H126" s="31"/>
      <c r="I126" s="31"/>
      <c r="J126" s="161" t="s">
        <v>356</v>
      </c>
      <c r="K126" s="52"/>
      <c r="L126" s="52"/>
      <c r="M126" s="52"/>
      <c r="N126" s="52"/>
      <c r="O126" s="52"/>
      <c r="P126" s="52"/>
      <c r="Q126" s="162"/>
      <c r="R126" s="52" t="s">
        <v>384</v>
      </c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162"/>
      <c r="AK126" s="135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136"/>
    </row>
    <row r="127" spans="2:61" ht="20.100000000000001" customHeight="1" x14ac:dyDescent="0.45">
      <c r="B127" s="160"/>
      <c r="C127" s="31"/>
      <c r="D127" s="31"/>
      <c r="E127" s="31"/>
      <c r="F127" s="31"/>
      <c r="G127" s="133"/>
      <c r="H127" s="31"/>
      <c r="I127" s="31"/>
      <c r="J127" s="161" t="s">
        <v>357</v>
      </c>
      <c r="K127" s="52"/>
      <c r="L127" s="52"/>
      <c r="M127" s="52"/>
      <c r="N127" s="52"/>
      <c r="O127" s="52"/>
      <c r="P127" s="52"/>
      <c r="Q127" s="162"/>
      <c r="R127" s="52" t="s">
        <v>385</v>
      </c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162"/>
      <c r="AK127" s="135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136"/>
    </row>
    <row r="128" spans="2:61" ht="20.100000000000001" customHeight="1" x14ac:dyDescent="0.45">
      <c r="B128" s="160"/>
      <c r="C128" s="31"/>
      <c r="D128" s="31"/>
      <c r="E128" s="31"/>
      <c r="F128" s="31"/>
      <c r="G128" s="133"/>
      <c r="H128" s="31"/>
      <c r="I128" s="31"/>
      <c r="J128" s="161" t="s">
        <v>358</v>
      </c>
      <c r="K128" s="52"/>
      <c r="L128" s="52"/>
      <c r="M128" s="52"/>
      <c r="N128" s="52"/>
      <c r="O128" s="52"/>
      <c r="P128" s="52"/>
      <c r="Q128" s="162"/>
      <c r="R128" s="52" t="s">
        <v>386</v>
      </c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162"/>
      <c r="AK128" s="135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136"/>
    </row>
    <row r="129" spans="2:61" ht="20.100000000000001" customHeight="1" x14ac:dyDescent="0.45">
      <c r="B129" s="160"/>
      <c r="C129" s="31"/>
      <c r="D129" s="31"/>
      <c r="E129" s="31"/>
      <c r="F129" s="31"/>
      <c r="G129" s="133"/>
      <c r="H129" s="31"/>
      <c r="I129" s="31"/>
      <c r="J129" s="161" t="s">
        <v>359</v>
      </c>
      <c r="K129" s="52"/>
      <c r="L129" s="52"/>
      <c r="M129" s="52"/>
      <c r="N129" s="52"/>
      <c r="O129" s="52"/>
      <c r="P129" s="52"/>
      <c r="Q129" s="162"/>
      <c r="R129" s="52" t="s">
        <v>387</v>
      </c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162"/>
      <c r="AK129" s="135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136"/>
    </row>
    <row r="130" spans="2:61" ht="20.100000000000001" customHeight="1" x14ac:dyDescent="0.45">
      <c r="B130" s="160"/>
      <c r="C130" s="31"/>
      <c r="D130" s="31"/>
      <c r="E130" s="31"/>
      <c r="F130" s="31"/>
      <c r="G130" s="133"/>
      <c r="H130" s="31"/>
      <c r="I130" s="31"/>
      <c r="J130" s="161" t="s">
        <v>360</v>
      </c>
      <c r="K130" s="52"/>
      <c r="L130" s="52"/>
      <c r="M130" s="52"/>
      <c r="N130" s="52"/>
      <c r="O130" s="52"/>
      <c r="P130" s="52"/>
      <c r="Q130" s="162"/>
      <c r="R130" s="52" t="s">
        <v>388</v>
      </c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162"/>
      <c r="AK130" s="135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136"/>
    </row>
    <row r="131" spans="2:61" ht="20.100000000000001" customHeight="1" x14ac:dyDescent="0.45">
      <c r="B131" s="160"/>
      <c r="C131" s="31"/>
      <c r="D131" s="31"/>
      <c r="E131" s="31"/>
      <c r="F131" s="31"/>
      <c r="G131" s="133"/>
      <c r="H131" s="31"/>
      <c r="I131" s="31"/>
      <c r="J131" s="161" t="s">
        <v>361</v>
      </c>
      <c r="K131" s="52"/>
      <c r="L131" s="52"/>
      <c r="M131" s="52"/>
      <c r="N131" s="52"/>
      <c r="O131" s="52"/>
      <c r="P131" s="52"/>
      <c r="Q131" s="162"/>
      <c r="R131" s="52" t="s">
        <v>389</v>
      </c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162"/>
      <c r="AK131" s="135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136"/>
    </row>
    <row r="132" spans="2:61" ht="20.100000000000001" customHeight="1" x14ac:dyDescent="0.45">
      <c r="B132" s="160"/>
      <c r="C132" s="31"/>
      <c r="D132" s="31"/>
      <c r="E132" s="31"/>
      <c r="F132" s="31"/>
      <c r="G132" s="133"/>
      <c r="H132" s="31"/>
      <c r="I132" s="31"/>
      <c r="J132" s="161" t="s">
        <v>312</v>
      </c>
      <c r="K132" s="52"/>
      <c r="L132" s="52"/>
      <c r="M132" s="52"/>
      <c r="N132" s="52"/>
      <c r="O132" s="52"/>
      <c r="P132" s="52"/>
      <c r="Q132" s="162"/>
      <c r="R132" s="52" t="s">
        <v>390</v>
      </c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162"/>
      <c r="AK132" s="135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136"/>
    </row>
    <row r="133" spans="2:61" ht="20.100000000000001" customHeight="1" x14ac:dyDescent="0.45">
      <c r="B133" s="160"/>
      <c r="C133" s="31"/>
      <c r="D133" s="31"/>
      <c r="E133" s="31"/>
      <c r="F133" s="31"/>
      <c r="G133" s="133"/>
      <c r="H133" s="31"/>
      <c r="I133" s="31"/>
      <c r="J133" s="161" t="s">
        <v>294</v>
      </c>
      <c r="K133" s="52"/>
      <c r="L133" s="52"/>
      <c r="M133" s="52"/>
      <c r="N133" s="52"/>
      <c r="O133" s="52"/>
      <c r="P133" s="52"/>
      <c r="Q133" s="162"/>
      <c r="R133" s="52" t="s">
        <v>391</v>
      </c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162"/>
      <c r="AK133" s="135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136"/>
    </row>
    <row r="134" spans="2:61" ht="20.100000000000001" customHeight="1" x14ac:dyDescent="0.45">
      <c r="B134" s="160"/>
      <c r="C134" s="31"/>
      <c r="D134" s="31"/>
      <c r="E134" s="31"/>
      <c r="F134" s="31"/>
      <c r="G134" s="133"/>
      <c r="H134" s="31"/>
      <c r="I134" s="31"/>
      <c r="J134" s="161" t="s">
        <v>308</v>
      </c>
      <c r="K134" s="52"/>
      <c r="L134" s="52"/>
      <c r="M134" s="52"/>
      <c r="N134" s="52"/>
      <c r="O134" s="52"/>
      <c r="P134" s="52"/>
      <c r="Q134" s="162"/>
      <c r="R134" s="52" t="s">
        <v>392</v>
      </c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162"/>
      <c r="AK134" s="135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136"/>
    </row>
    <row r="135" spans="2:61" ht="20.100000000000001" customHeight="1" x14ac:dyDescent="0.45">
      <c r="B135" s="160"/>
      <c r="C135" s="31"/>
      <c r="D135" s="31"/>
      <c r="E135" s="31"/>
      <c r="F135" s="31"/>
      <c r="G135" s="133"/>
      <c r="H135" s="31"/>
      <c r="I135" s="31"/>
      <c r="J135" s="161" t="s">
        <v>362</v>
      </c>
      <c r="K135" s="52"/>
      <c r="L135" s="52"/>
      <c r="M135" s="52"/>
      <c r="N135" s="52"/>
      <c r="O135" s="52"/>
      <c r="P135" s="52"/>
      <c r="Q135" s="162"/>
      <c r="R135" s="52" t="s">
        <v>393</v>
      </c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162"/>
      <c r="AK135" s="135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136"/>
    </row>
    <row r="136" spans="2:61" ht="20.100000000000001" customHeight="1" x14ac:dyDescent="0.45">
      <c r="B136" s="160"/>
      <c r="C136" s="31"/>
      <c r="D136" s="31"/>
      <c r="E136" s="31"/>
      <c r="F136" s="31"/>
      <c r="G136" s="133"/>
      <c r="H136" s="31"/>
      <c r="I136" s="31"/>
      <c r="J136" s="161" t="s">
        <v>363</v>
      </c>
      <c r="K136" s="52"/>
      <c r="L136" s="52"/>
      <c r="M136" s="52"/>
      <c r="N136" s="52"/>
      <c r="O136" s="52"/>
      <c r="P136" s="52"/>
      <c r="Q136" s="162"/>
      <c r="R136" s="52" t="s">
        <v>394</v>
      </c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162"/>
      <c r="AK136" s="135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136"/>
    </row>
    <row r="137" spans="2:61" ht="20.100000000000001" customHeight="1" x14ac:dyDescent="0.45">
      <c r="B137" s="160"/>
      <c r="C137" s="31"/>
      <c r="D137" s="31"/>
      <c r="E137" s="31"/>
      <c r="F137" s="31"/>
      <c r="G137" s="133"/>
      <c r="H137" s="31"/>
      <c r="I137" s="31"/>
      <c r="J137" s="161" t="s">
        <v>322</v>
      </c>
      <c r="K137" s="52"/>
      <c r="L137" s="52"/>
      <c r="M137" s="52"/>
      <c r="N137" s="52"/>
      <c r="O137" s="52"/>
      <c r="P137" s="52"/>
      <c r="Q137" s="162"/>
      <c r="R137" s="52" t="s">
        <v>375</v>
      </c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162"/>
      <c r="AK137" s="135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136"/>
    </row>
    <row r="138" spans="2:61" ht="20.100000000000001" customHeight="1" x14ac:dyDescent="0.45">
      <c r="B138" s="160"/>
      <c r="C138" s="31"/>
      <c r="D138" s="31"/>
      <c r="E138" s="31"/>
      <c r="F138" s="31"/>
      <c r="G138" s="133"/>
      <c r="H138" s="31"/>
      <c r="I138" s="31"/>
      <c r="J138" s="161" t="s">
        <v>364</v>
      </c>
      <c r="K138" s="52"/>
      <c r="L138" s="52"/>
      <c r="M138" s="52"/>
      <c r="N138" s="52"/>
      <c r="O138" s="52"/>
      <c r="P138" s="52"/>
      <c r="Q138" s="162"/>
      <c r="R138" s="52" t="s">
        <v>395</v>
      </c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162"/>
      <c r="AK138" s="135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136"/>
    </row>
    <row r="139" spans="2:61" ht="20.100000000000001" customHeight="1" x14ac:dyDescent="0.45">
      <c r="B139" s="160"/>
      <c r="C139" s="31"/>
      <c r="D139" s="31"/>
      <c r="E139" s="31"/>
      <c r="F139" s="31"/>
      <c r="G139" s="133"/>
      <c r="H139" s="31"/>
      <c r="I139" s="31"/>
      <c r="J139" s="161" t="s">
        <v>365</v>
      </c>
      <c r="K139" s="52"/>
      <c r="L139" s="52"/>
      <c r="M139" s="52"/>
      <c r="N139" s="52"/>
      <c r="O139" s="52"/>
      <c r="P139" s="52"/>
      <c r="Q139" s="162"/>
      <c r="R139" s="52" t="s">
        <v>396</v>
      </c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162"/>
      <c r="AK139" s="135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136"/>
    </row>
    <row r="140" spans="2:61" ht="20.100000000000001" customHeight="1" x14ac:dyDescent="0.45">
      <c r="B140" s="160"/>
      <c r="C140" s="31"/>
      <c r="D140" s="31"/>
      <c r="E140" s="31"/>
      <c r="F140" s="31"/>
      <c r="G140" s="133"/>
      <c r="H140" s="31"/>
      <c r="I140" s="31"/>
      <c r="J140" s="161" t="s">
        <v>366</v>
      </c>
      <c r="K140" s="52"/>
      <c r="L140" s="52"/>
      <c r="M140" s="52"/>
      <c r="N140" s="52"/>
      <c r="O140" s="52"/>
      <c r="P140" s="52"/>
      <c r="Q140" s="162"/>
      <c r="R140" s="52" t="s">
        <v>397</v>
      </c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162"/>
      <c r="AK140" s="135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136"/>
    </row>
    <row r="141" spans="2:61" ht="20.100000000000001" customHeight="1" x14ac:dyDescent="0.45">
      <c r="B141" s="160"/>
      <c r="C141" s="31"/>
      <c r="D141" s="31"/>
      <c r="E141" s="31"/>
      <c r="F141" s="31"/>
      <c r="G141" s="133"/>
      <c r="H141" s="31"/>
      <c r="I141" s="31"/>
      <c r="J141" s="161" t="s">
        <v>367</v>
      </c>
      <c r="K141" s="52"/>
      <c r="L141" s="52"/>
      <c r="M141" s="52"/>
      <c r="N141" s="52"/>
      <c r="O141" s="52"/>
      <c r="P141" s="52"/>
      <c r="Q141" s="162"/>
      <c r="R141" s="52" t="s">
        <v>398</v>
      </c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162"/>
      <c r="AK141" s="135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136"/>
    </row>
    <row r="142" spans="2:61" ht="20.100000000000001" customHeight="1" x14ac:dyDescent="0.45">
      <c r="B142" s="160"/>
      <c r="C142" s="31"/>
      <c r="D142" s="31"/>
      <c r="E142" s="31"/>
      <c r="F142" s="31"/>
      <c r="G142" s="133"/>
      <c r="H142" s="31"/>
      <c r="I142" s="31"/>
      <c r="J142" s="161" t="s">
        <v>368</v>
      </c>
      <c r="K142" s="52"/>
      <c r="L142" s="52"/>
      <c r="M142" s="52"/>
      <c r="N142" s="52"/>
      <c r="O142" s="52"/>
      <c r="P142" s="52"/>
      <c r="Q142" s="162"/>
      <c r="R142" s="52" t="s">
        <v>399</v>
      </c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162"/>
      <c r="AK142" s="135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136"/>
    </row>
    <row r="143" spans="2:61" ht="20.100000000000001" customHeight="1" x14ac:dyDescent="0.45">
      <c r="B143" s="160"/>
      <c r="C143" s="31"/>
      <c r="D143" s="31"/>
      <c r="E143" s="31"/>
      <c r="F143" s="31"/>
      <c r="G143" s="133"/>
      <c r="H143" s="31"/>
      <c r="I143" s="31"/>
      <c r="J143" s="161" t="s">
        <v>369</v>
      </c>
      <c r="K143" s="52"/>
      <c r="L143" s="52"/>
      <c r="M143" s="52"/>
      <c r="N143" s="52"/>
      <c r="O143" s="52"/>
      <c r="P143" s="52"/>
      <c r="Q143" s="162"/>
      <c r="R143" s="52" t="s">
        <v>400</v>
      </c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162"/>
      <c r="AK143" s="135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136"/>
    </row>
    <row r="144" spans="2:61" ht="20.100000000000001" customHeight="1" x14ac:dyDescent="0.45">
      <c r="B144" s="160"/>
      <c r="C144" s="31"/>
      <c r="D144" s="31"/>
      <c r="E144" s="31"/>
      <c r="F144" s="31"/>
      <c r="G144" s="133"/>
      <c r="H144" s="31"/>
      <c r="I144" s="31"/>
      <c r="J144" s="161" t="s">
        <v>370</v>
      </c>
      <c r="K144" s="52"/>
      <c r="L144" s="52"/>
      <c r="M144" s="52"/>
      <c r="N144" s="52"/>
      <c r="O144" s="52"/>
      <c r="P144" s="52"/>
      <c r="Q144" s="162"/>
      <c r="R144" s="52" t="s">
        <v>401</v>
      </c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162"/>
      <c r="AK144" s="135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136"/>
    </row>
    <row r="145" spans="2:61" ht="20.100000000000001" customHeight="1" x14ac:dyDescent="0.45">
      <c r="B145" s="160"/>
      <c r="C145" s="31"/>
      <c r="D145" s="31"/>
      <c r="E145" s="31"/>
      <c r="F145" s="31"/>
      <c r="G145" s="133"/>
      <c r="H145" s="137" t="s">
        <v>146</v>
      </c>
      <c r="I145" s="55"/>
      <c r="J145" s="137" t="s">
        <v>371</v>
      </c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138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  <c r="BD145" s="55"/>
      <c r="BE145" s="55"/>
      <c r="BF145" s="55"/>
      <c r="BG145" s="55"/>
      <c r="BH145" s="55"/>
      <c r="BI145" s="139"/>
    </row>
    <row r="146" spans="2:61" ht="20.100000000000001" customHeight="1" x14ac:dyDescent="0.45">
      <c r="B146" s="160"/>
      <c r="C146" s="31"/>
      <c r="D146" s="31"/>
      <c r="E146" s="31"/>
      <c r="F146" s="31"/>
      <c r="G146" s="133"/>
      <c r="H146" s="137" t="s">
        <v>147</v>
      </c>
      <c r="I146" s="55"/>
      <c r="J146" s="137" t="s">
        <v>323</v>
      </c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138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  <c r="BD146" s="55"/>
      <c r="BE146" s="55"/>
      <c r="BF146" s="55"/>
      <c r="BG146" s="55"/>
      <c r="BH146" s="55"/>
      <c r="BI146" s="139"/>
    </row>
    <row r="147" spans="2:61" ht="20.100000000000001" customHeight="1" x14ac:dyDescent="0.45">
      <c r="B147" s="160"/>
      <c r="C147" s="31"/>
      <c r="D147" s="31"/>
      <c r="E147" s="31"/>
      <c r="F147" s="31"/>
      <c r="G147" s="133"/>
      <c r="H147" s="134"/>
      <c r="I147" s="31"/>
      <c r="J147" s="134" t="s">
        <v>324</v>
      </c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135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136"/>
    </row>
    <row r="148" spans="2:61" ht="20.100000000000001" customHeight="1" x14ac:dyDescent="0.45">
      <c r="B148" s="132"/>
      <c r="C148" s="31"/>
      <c r="D148" s="31"/>
      <c r="E148" s="31"/>
      <c r="F148" s="31"/>
      <c r="G148" s="133"/>
      <c r="H148" s="137" t="s">
        <v>148</v>
      </c>
      <c r="I148" s="55"/>
      <c r="J148" s="137" t="s">
        <v>325</v>
      </c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138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  <c r="BD148" s="55"/>
      <c r="BE148" s="55"/>
      <c r="BF148" s="55"/>
      <c r="BG148" s="55"/>
      <c r="BH148" s="55"/>
      <c r="BI148" s="139"/>
    </row>
    <row r="149" spans="2:61" ht="20.100000000000001" customHeight="1" x14ac:dyDescent="0.45">
      <c r="B149" s="132"/>
      <c r="C149" s="31"/>
      <c r="D149" s="31"/>
      <c r="E149" s="31"/>
      <c r="F149" s="31"/>
      <c r="G149" s="133"/>
      <c r="H149" s="134"/>
      <c r="I149" s="31"/>
      <c r="J149" s="134"/>
      <c r="K149" s="31" t="s">
        <v>326</v>
      </c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134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136"/>
    </row>
    <row r="150" spans="2:61" ht="20.100000000000001" customHeight="1" x14ac:dyDescent="0.45">
      <c r="B150" s="132"/>
      <c r="C150" s="31"/>
      <c r="D150" s="31"/>
      <c r="E150" s="31"/>
      <c r="F150" s="31"/>
      <c r="G150" s="133"/>
      <c r="H150" s="134"/>
      <c r="I150" s="31"/>
      <c r="J150" s="134"/>
      <c r="K150" s="31" t="s">
        <v>327</v>
      </c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134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136"/>
    </row>
    <row r="151" spans="2:61" ht="20.100000000000001" customHeight="1" x14ac:dyDescent="0.45">
      <c r="B151" s="132"/>
      <c r="C151" s="31"/>
      <c r="D151" s="31"/>
      <c r="E151" s="31"/>
      <c r="F151" s="31"/>
      <c r="G151" s="133"/>
      <c r="H151" s="134"/>
      <c r="I151" s="31"/>
      <c r="J151" s="134"/>
      <c r="K151" s="31"/>
      <c r="L151" s="31" t="s">
        <v>328</v>
      </c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134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136"/>
    </row>
    <row r="152" spans="2:61" ht="20.100000000000001" customHeight="1" x14ac:dyDescent="0.45">
      <c r="B152" s="132"/>
      <c r="C152" s="31"/>
      <c r="D152" s="31"/>
      <c r="E152" s="31"/>
      <c r="F152" s="31"/>
      <c r="G152" s="133"/>
      <c r="H152" s="134"/>
      <c r="I152" s="31"/>
      <c r="J152" s="134"/>
      <c r="K152" s="31"/>
      <c r="L152" s="31" t="s">
        <v>329</v>
      </c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134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136"/>
    </row>
    <row r="153" spans="2:61" ht="20.100000000000001" customHeight="1" x14ac:dyDescent="0.45">
      <c r="B153" s="132"/>
      <c r="C153" s="31"/>
      <c r="D153" s="31"/>
      <c r="E153" s="31"/>
      <c r="F153" s="31"/>
      <c r="G153" s="133"/>
      <c r="H153" s="134"/>
      <c r="I153" s="31"/>
      <c r="J153" s="134"/>
      <c r="K153" s="31"/>
      <c r="L153" s="31" t="s">
        <v>330</v>
      </c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134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136"/>
    </row>
    <row r="154" spans="2:61" ht="20.100000000000001" customHeight="1" x14ac:dyDescent="0.45">
      <c r="B154" s="132"/>
      <c r="C154" s="31"/>
      <c r="D154" s="31"/>
      <c r="E154" s="31"/>
      <c r="F154" s="31"/>
      <c r="G154" s="133"/>
      <c r="H154" s="134"/>
      <c r="I154" s="31"/>
      <c r="J154" s="134"/>
      <c r="K154" s="31"/>
      <c r="L154" s="31"/>
      <c r="M154" s="31" t="s">
        <v>331</v>
      </c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134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136"/>
    </row>
    <row r="155" spans="2:61" ht="20.100000000000001" customHeight="1" x14ac:dyDescent="0.45">
      <c r="B155" s="132"/>
      <c r="C155" s="31"/>
      <c r="D155" s="31"/>
      <c r="E155" s="31"/>
      <c r="F155" s="31"/>
      <c r="G155" s="133"/>
      <c r="H155" s="134"/>
      <c r="I155" s="31"/>
      <c r="J155" s="134"/>
      <c r="K155" s="31"/>
      <c r="L155" s="31"/>
      <c r="M155" s="31" t="s">
        <v>335</v>
      </c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134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136"/>
    </row>
    <row r="156" spans="2:61" ht="20.100000000000001" customHeight="1" x14ac:dyDescent="0.45">
      <c r="B156" s="132"/>
      <c r="C156" s="31"/>
      <c r="D156" s="31"/>
      <c r="E156" s="31"/>
      <c r="F156" s="31"/>
      <c r="G156" s="133"/>
      <c r="H156" s="134"/>
      <c r="I156" s="31"/>
      <c r="J156" s="134"/>
      <c r="K156" s="31"/>
      <c r="L156" s="31"/>
      <c r="M156" s="31"/>
      <c r="N156" s="31" t="s">
        <v>336</v>
      </c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134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136"/>
    </row>
    <row r="157" spans="2:61" ht="20.100000000000001" customHeight="1" x14ac:dyDescent="0.45">
      <c r="B157" s="132"/>
      <c r="C157" s="31"/>
      <c r="D157" s="31"/>
      <c r="E157" s="31"/>
      <c r="F157" s="31"/>
      <c r="G157" s="133"/>
      <c r="H157" s="134"/>
      <c r="I157" s="31"/>
      <c r="J157" s="134"/>
      <c r="K157" s="31"/>
      <c r="L157" s="31"/>
      <c r="M157" s="31"/>
      <c r="N157" s="31" t="s">
        <v>337</v>
      </c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134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136"/>
    </row>
    <row r="158" spans="2:61" ht="20.100000000000001" customHeight="1" x14ac:dyDescent="0.45">
      <c r="B158" s="132"/>
      <c r="C158" s="31"/>
      <c r="D158" s="31"/>
      <c r="E158" s="31"/>
      <c r="F158" s="31"/>
      <c r="G158" s="133"/>
      <c r="H158" s="134"/>
      <c r="I158" s="31"/>
      <c r="J158" s="134"/>
      <c r="K158" s="31"/>
      <c r="L158" s="31"/>
      <c r="M158" s="31"/>
      <c r="N158" s="31" t="s">
        <v>338</v>
      </c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134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136"/>
    </row>
    <row r="159" spans="2:61" ht="20.100000000000001" customHeight="1" x14ac:dyDescent="0.45">
      <c r="B159" s="132"/>
      <c r="C159" s="31"/>
      <c r="D159" s="31"/>
      <c r="E159" s="31"/>
      <c r="F159" s="31"/>
      <c r="G159" s="133"/>
      <c r="H159" s="134"/>
      <c r="I159" s="31"/>
      <c r="J159" s="134"/>
      <c r="K159" s="31"/>
      <c r="L159" s="31"/>
      <c r="M159" s="31" t="s">
        <v>332</v>
      </c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134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136"/>
    </row>
    <row r="160" spans="2:61" ht="20.100000000000001" customHeight="1" x14ac:dyDescent="0.45">
      <c r="B160" s="132"/>
      <c r="C160" s="31"/>
      <c r="D160" s="31"/>
      <c r="E160" s="31"/>
      <c r="F160" s="31"/>
      <c r="G160" s="133"/>
      <c r="H160" s="134"/>
      <c r="I160" s="31"/>
      <c r="J160" s="134"/>
      <c r="K160" s="31"/>
      <c r="L160" s="31" t="s">
        <v>330</v>
      </c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134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136"/>
    </row>
    <row r="161" spans="2:61" ht="20.100000000000001" customHeight="1" x14ac:dyDescent="0.45">
      <c r="B161" s="132"/>
      <c r="C161" s="31"/>
      <c r="D161" s="31"/>
      <c r="E161" s="31"/>
      <c r="F161" s="31"/>
      <c r="G161" s="133"/>
      <c r="H161" s="134"/>
      <c r="I161" s="31"/>
      <c r="J161" s="134"/>
      <c r="K161" s="31"/>
      <c r="L161" s="31"/>
      <c r="M161" s="31" t="s">
        <v>333</v>
      </c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134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136"/>
    </row>
    <row r="162" spans="2:61" ht="20.100000000000001" customHeight="1" x14ac:dyDescent="0.45">
      <c r="B162" s="132"/>
      <c r="C162" s="31"/>
      <c r="D162" s="31"/>
      <c r="E162" s="31"/>
      <c r="F162" s="31"/>
      <c r="G162" s="133"/>
      <c r="H162" s="134"/>
      <c r="I162" s="31"/>
      <c r="J162" s="134"/>
      <c r="K162" s="31"/>
      <c r="L162" s="31"/>
      <c r="M162" s="31" t="s">
        <v>339</v>
      </c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134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136"/>
    </row>
    <row r="163" spans="2:61" ht="20.100000000000001" customHeight="1" x14ac:dyDescent="0.45">
      <c r="B163" s="132"/>
      <c r="C163" s="31"/>
      <c r="D163" s="31"/>
      <c r="E163" s="31"/>
      <c r="F163" s="31"/>
      <c r="G163" s="133"/>
      <c r="H163" s="134"/>
      <c r="I163" s="31"/>
      <c r="J163" s="134"/>
      <c r="K163" s="31"/>
      <c r="L163" s="31"/>
      <c r="M163" s="31"/>
      <c r="N163" s="31" t="s">
        <v>340</v>
      </c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134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136"/>
    </row>
    <row r="164" spans="2:61" ht="20.100000000000001" customHeight="1" x14ac:dyDescent="0.45">
      <c r="B164" s="132"/>
      <c r="C164" s="31"/>
      <c r="D164" s="31"/>
      <c r="E164" s="31"/>
      <c r="F164" s="31"/>
      <c r="G164" s="133"/>
      <c r="H164" s="134"/>
      <c r="I164" s="31"/>
      <c r="J164" s="134"/>
      <c r="K164" s="31"/>
      <c r="L164" s="31"/>
      <c r="M164" s="31"/>
      <c r="N164" s="31" t="s">
        <v>341</v>
      </c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134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136"/>
    </row>
    <row r="165" spans="2:61" ht="20.100000000000001" customHeight="1" x14ac:dyDescent="0.45">
      <c r="B165" s="132"/>
      <c r="C165" s="31"/>
      <c r="D165" s="31"/>
      <c r="E165" s="31"/>
      <c r="F165" s="31"/>
      <c r="G165" s="133"/>
      <c r="H165" s="134"/>
      <c r="I165" s="31"/>
      <c r="J165" s="134"/>
      <c r="K165" s="31"/>
      <c r="L165" s="31"/>
      <c r="M165" s="31"/>
      <c r="N165" s="31" t="s">
        <v>342</v>
      </c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134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136"/>
    </row>
    <row r="166" spans="2:61" ht="20.100000000000001" customHeight="1" x14ac:dyDescent="0.45">
      <c r="B166" s="132"/>
      <c r="C166" s="31"/>
      <c r="D166" s="31"/>
      <c r="E166" s="31"/>
      <c r="F166" s="31"/>
      <c r="G166" s="133"/>
      <c r="H166" s="134"/>
      <c r="I166" s="31"/>
      <c r="J166" s="134"/>
      <c r="K166" s="31"/>
      <c r="L166" s="31"/>
      <c r="M166" s="31" t="s">
        <v>332</v>
      </c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134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136"/>
    </row>
    <row r="167" spans="2:61" ht="20.100000000000001" customHeight="1" thickBot="1" x14ac:dyDescent="0.5">
      <c r="B167" s="132"/>
      <c r="C167" s="31"/>
      <c r="D167" s="31"/>
      <c r="E167" s="31"/>
      <c r="F167" s="31"/>
      <c r="G167" s="133"/>
      <c r="H167" s="137" t="s">
        <v>205</v>
      </c>
      <c r="I167" s="55"/>
      <c r="J167" s="137" t="s">
        <v>334</v>
      </c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138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  <c r="BD167" s="55"/>
      <c r="BE167" s="55"/>
      <c r="BF167" s="55"/>
      <c r="BG167" s="55"/>
      <c r="BH167" s="55"/>
      <c r="BI167" s="139"/>
    </row>
    <row r="168" spans="2:61" ht="20.100000000000001" customHeight="1" x14ac:dyDescent="0.45">
      <c r="B168" s="126" t="s">
        <v>405</v>
      </c>
      <c r="C168" s="127"/>
      <c r="D168" s="127"/>
      <c r="E168" s="127"/>
      <c r="F168" s="127"/>
      <c r="G168" s="128"/>
      <c r="H168" s="129" t="s">
        <v>177</v>
      </c>
      <c r="I168" s="127"/>
      <c r="J168" s="179" t="s">
        <v>407</v>
      </c>
      <c r="K168" s="158"/>
      <c r="L168" s="158"/>
      <c r="M168" s="158"/>
      <c r="N168" s="158"/>
      <c r="O168" s="158"/>
      <c r="P168" s="158"/>
      <c r="Q168" s="159"/>
      <c r="R168" s="157" t="s">
        <v>409</v>
      </c>
      <c r="S168" s="158"/>
      <c r="T168" s="158"/>
      <c r="U168" s="158"/>
      <c r="V168" s="158"/>
      <c r="W168" s="158"/>
      <c r="X168" s="158"/>
      <c r="Y168" s="158"/>
      <c r="Z168" s="158"/>
      <c r="AA168" s="158"/>
      <c r="AB168" s="158"/>
      <c r="AC168" s="158"/>
      <c r="AD168" s="158"/>
      <c r="AE168" s="158"/>
      <c r="AF168" s="158"/>
      <c r="AG168" s="158"/>
      <c r="AH168" s="158"/>
      <c r="AI168" s="158"/>
      <c r="AJ168" s="159"/>
      <c r="AK168" s="130"/>
      <c r="AL168" s="127"/>
      <c r="AM168" s="127"/>
      <c r="AN168" s="127"/>
      <c r="AO168" s="127"/>
      <c r="AP168" s="181"/>
      <c r="AQ168" s="127"/>
      <c r="AR168" s="127"/>
      <c r="AS168" s="127"/>
      <c r="AT168" s="127"/>
      <c r="AU168" s="127"/>
      <c r="AV168" s="127"/>
      <c r="AW168" s="127"/>
      <c r="AX168" s="127"/>
      <c r="AY168" s="127"/>
      <c r="AZ168" s="127"/>
      <c r="BA168" s="127"/>
      <c r="BB168" s="127"/>
      <c r="BC168" s="127"/>
      <c r="BD168" s="127"/>
      <c r="BE168" s="127"/>
      <c r="BF168" s="127"/>
      <c r="BG168" s="127"/>
      <c r="BH168" s="127"/>
      <c r="BI168" s="131"/>
    </row>
    <row r="169" spans="2:61" ht="20.100000000000001" customHeight="1" x14ac:dyDescent="0.45">
      <c r="B169" s="160"/>
      <c r="C169" s="31"/>
      <c r="D169" s="31"/>
      <c r="E169" s="31"/>
      <c r="F169" s="31"/>
      <c r="G169" s="133"/>
      <c r="H169" s="137" t="s">
        <v>146</v>
      </c>
      <c r="I169" s="55"/>
      <c r="J169" s="137" t="s">
        <v>408</v>
      </c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138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55"/>
      <c r="BB169" s="55"/>
      <c r="BC169" s="55"/>
      <c r="BD169" s="55"/>
      <c r="BE169" s="55"/>
      <c r="BF169" s="55"/>
      <c r="BG169" s="55"/>
      <c r="BH169" s="55"/>
      <c r="BI169" s="139"/>
    </row>
    <row r="170" spans="2:61" ht="20.100000000000001" customHeight="1" x14ac:dyDescent="0.45">
      <c r="B170" s="132"/>
      <c r="C170" s="31"/>
      <c r="D170" s="31"/>
      <c r="E170" s="31"/>
      <c r="F170" s="31"/>
      <c r="G170" s="133"/>
      <c r="H170" s="137" t="s">
        <v>148</v>
      </c>
      <c r="I170" s="55"/>
      <c r="J170" s="137" t="s">
        <v>410</v>
      </c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138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139"/>
    </row>
    <row r="171" spans="2:61" ht="20.100000000000001" customHeight="1" thickBot="1" x14ac:dyDescent="0.5">
      <c r="B171" s="132"/>
      <c r="C171" s="31"/>
      <c r="D171" s="31"/>
      <c r="E171" s="31"/>
      <c r="F171" s="31"/>
      <c r="G171" s="133"/>
      <c r="H171" s="134"/>
      <c r="I171" s="133"/>
      <c r="J171" s="134"/>
      <c r="K171" s="31" t="s">
        <v>411</v>
      </c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133"/>
      <c r="AK171" s="135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136"/>
    </row>
    <row r="172" spans="2:61" ht="20.100000000000001" customHeight="1" x14ac:dyDescent="0.45">
      <c r="B172" s="126" t="s">
        <v>412</v>
      </c>
      <c r="C172" s="127"/>
      <c r="D172" s="127"/>
      <c r="E172" s="127"/>
      <c r="F172" s="127"/>
      <c r="G172" s="128"/>
      <c r="H172" s="129" t="s">
        <v>406</v>
      </c>
      <c r="I172" s="127"/>
      <c r="J172" s="179" t="s">
        <v>407</v>
      </c>
      <c r="K172" s="158"/>
      <c r="L172" s="158"/>
      <c r="M172" s="158"/>
      <c r="N172" s="158"/>
      <c r="O172" s="158"/>
      <c r="P172" s="158"/>
      <c r="Q172" s="159"/>
      <c r="R172" s="157" t="s">
        <v>413</v>
      </c>
      <c r="S172" s="158"/>
      <c r="T172" s="158"/>
      <c r="U172" s="158"/>
      <c r="V172" s="158"/>
      <c r="W172" s="158"/>
      <c r="X172" s="158"/>
      <c r="Y172" s="158"/>
      <c r="Z172" s="158"/>
      <c r="AA172" s="158"/>
      <c r="AB172" s="158"/>
      <c r="AC172" s="158"/>
      <c r="AD172" s="158"/>
      <c r="AE172" s="158"/>
      <c r="AF172" s="158"/>
      <c r="AG172" s="158"/>
      <c r="AH172" s="158"/>
      <c r="AI172" s="158"/>
      <c r="AJ172" s="159"/>
      <c r="AK172" s="130" t="s">
        <v>420</v>
      </c>
      <c r="AL172" s="127"/>
      <c r="AM172" s="127"/>
      <c r="AN172" s="127"/>
      <c r="AO172" s="127"/>
      <c r="AP172" s="181"/>
      <c r="AQ172" s="127"/>
      <c r="AR172" s="127"/>
      <c r="AS172" s="127"/>
      <c r="AT172" s="127"/>
      <c r="AU172" s="127"/>
      <c r="AV172" s="127"/>
      <c r="AW172" s="127"/>
      <c r="AX172" s="127"/>
      <c r="AY172" s="127"/>
      <c r="AZ172" s="127"/>
      <c r="BA172" s="127"/>
      <c r="BB172" s="127"/>
      <c r="BC172" s="127"/>
      <c r="BD172" s="127"/>
      <c r="BE172" s="127"/>
      <c r="BF172" s="127"/>
      <c r="BG172" s="127"/>
      <c r="BH172" s="127"/>
      <c r="BI172" s="131"/>
    </row>
    <row r="173" spans="2:61" ht="20.100000000000001" customHeight="1" x14ac:dyDescent="0.45">
      <c r="B173" s="160"/>
      <c r="C173" s="31"/>
      <c r="D173" s="31"/>
      <c r="E173" s="31"/>
      <c r="F173" s="31"/>
      <c r="G173" s="133"/>
      <c r="H173" s="134"/>
      <c r="I173" s="31"/>
      <c r="J173" s="142" t="s">
        <v>414</v>
      </c>
      <c r="K173" s="141"/>
      <c r="L173" s="141"/>
      <c r="M173" s="141"/>
      <c r="N173" s="141"/>
      <c r="O173" s="141"/>
      <c r="P173" s="141"/>
      <c r="Q173" s="164"/>
      <c r="R173" s="140" t="s">
        <v>415</v>
      </c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  <c r="AC173" s="141"/>
      <c r="AD173" s="141"/>
      <c r="AE173" s="141"/>
      <c r="AF173" s="141"/>
      <c r="AG173" s="141"/>
      <c r="AH173" s="141"/>
      <c r="AI173" s="141"/>
      <c r="AJ173" s="164"/>
      <c r="AK173" s="135"/>
      <c r="AL173" s="31"/>
      <c r="AM173" s="31"/>
      <c r="AN173" s="31"/>
      <c r="AO173" s="31"/>
      <c r="AP173" s="182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136"/>
    </row>
    <row r="174" spans="2:61" ht="20.100000000000001" customHeight="1" x14ac:dyDescent="0.45">
      <c r="B174" s="160"/>
      <c r="C174" s="31"/>
      <c r="D174" s="31"/>
      <c r="E174" s="31"/>
      <c r="F174" s="31"/>
      <c r="G174" s="133"/>
      <c r="H174" s="134"/>
      <c r="I174" s="31"/>
      <c r="J174" s="142" t="s">
        <v>416</v>
      </c>
      <c r="K174" s="141"/>
      <c r="L174" s="141"/>
      <c r="M174" s="141"/>
      <c r="N174" s="141"/>
      <c r="O174" s="141"/>
      <c r="P174" s="141"/>
      <c r="Q174" s="164"/>
      <c r="R174" s="140" t="s">
        <v>417</v>
      </c>
      <c r="S174" s="141"/>
      <c r="T174" s="141"/>
      <c r="U174" s="141"/>
      <c r="V174" s="141"/>
      <c r="W174" s="141"/>
      <c r="X174" s="141"/>
      <c r="Y174" s="141"/>
      <c r="Z174" s="141"/>
      <c r="AA174" s="141"/>
      <c r="AB174" s="141"/>
      <c r="AC174" s="141"/>
      <c r="AD174" s="141"/>
      <c r="AE174" s="141"/>
      <c r="AF174" s="141"/>
      <c r="AG174" s="141"/>
      <c r="AH174" s="141"/>
      <c r="AI174" s="141"/>
      <c r="AJ174" s="164"/>
      <c r="AK174" s="135"/>
      <c r="AL174" s="31"/>
      <c r="AM174" s="31"/>
      <c r="AN174" s="31"/>
      <c r="AO174" s="31"/>
      <c r="AP174" s="182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136"/>
    </row>
    <row r="175" spans="2:61" ht="20.100000000000001" customHeight="1" x14ac:dyDescent="0.45">
      <c r="B175" s="160"/>
      <c r="C175" s="31"/>
      <c r="D175" s="31"/>
      <c r="E175" s="31"/>
      <c r="F175" s="31"/>
      <c r="G175" s="133"/>
      <c r="H175" s="134"/>
      <c r="I175" s="31"/>
      <c r="J175" s="142" t="s">
        <v>418</v>
      </c>
      <c r="K175" s="141"/>
      <c r="L175" s="141"/>
      <c r="M175" s="141"/>
      <c r="N175" s="141"/>
      <c r="O175" s="141"/>
      <c r="P175" s="141"/>
      <c r="Q175" s="164"/>
      <c r="R175" s="140" t="s">
        <v>419</v>
      </c>
      <c r="S175" s="141"/>
      <c r="T175" s="141"/>
      <c r="U175" s="141"/>
      <c r="V175" s="141"/>
      <c r="W175" s="141"/>
      <c r="X175" s="141"/>
      <c r="Y175" s="141"/>
      <c r="Z175" s="141"/>
      <c r="AA175" s="141"/>
      <c r="AB175" s="141"/>
      <c r="AC175" s="141"/>
      <c r="AD175" s="141"/>
      <c r="AE175" s="141"/>
      <c r="AF175" s="141"/>
      <c r="AG175" s="141"/>
      <c r="AH175" s="141"/>
      <c r="AI175" s="141"/>
      <c r="AJ175" s="164"/>
      <c r="AK175" s="135"/>
      <c r="AL175" s="31"/>
      <c r="AM175" s="31"/>
      <c r="AN175" s="31"/>
      <c r="AO175" s="31"/>
      <c r="AP175" s="182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136"/>
    </row>
    <row r="176" spans="2:61" ht="20.100000000000001" customHeight="1" x14ac:dyDescent="0.45">
      <c r="B176" s="160"/>
      <c r="C176" s="31"/>
      <c r="D176" s="31"/>
      <c r="E176" s="31"/>
      <c r="F176" s="31"/>
      <c r="G176" s="133"/>
      <c r="H176" s="137" t="s">
        <v>146</v>
      </c>
      <c r="I176" s="55"/>
      <c r="J176" s="137" t="s">
        <v>408</v>
      </c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138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  <c r="BD176" s="55"/>
      <c r="BE176" s="55"/>
      <c r="BF176" s="55"/>
      <c r="BG176" s="55"/>
      <c r="BH176" s="55"/>
      <c r="BI176" s="139"/>
    </row>
    <row r="177" spans="2:61" ht="20.100000000000001" customHeight="1" x14ac:dyDescent="0.45">
      <c r="B177" s="132"/>
      <c r="C177" s="31"/>
      <c r="D177" s="31"/>
      <c r="E177" s="31"/>
      <c r="F177" s="31"/>
      <c r="G177" s="133"/>
      <c r="H177" s="137" t="s">
        <v>148</v>
      </c>
      <c r="I177" s="55"/>
      <c r="J177" s="137" t="s">
        <v>410</v>
      </c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138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/>
      <c r="BD177" s="55"/>
      <c r="BE177" s="55"/>
      <c r="BF177" s="55"/>
      <c r="BG177" s="55"/>
      <c r="BH177" s="55"/>
      <c r="BI177" s="139"/>
    </row>
    <row r="178" spans="2:61" ht="20.100000000000001" customHeight="1" thickBot="1" x14ac:dyDescent="0.5">
      <c r="B178" s="132"/>
      <c r="C178" s="31"/>
      <c r="D178" s="31"/>
      <c r="E178" s="31"/>
      <c r="F178" s="31"/>
      <c r="G178" s="133"/>
      <c r="H178" s="134"/>
      <c r="I178" s="133"/>
      <c r="J178" s="134" t="s">
        <v>411</v>
      </c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133"/>
      <c r="AK178" s="135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136"/>
    </row>
    <row r="179" spans="2:61" ht="20.100000000000001" customHeight="1" x14ac:dyDescent="0.45">
      <c r="B179" s="126" t="s">
        <v>421</v>
      </c>
      <c r="C179" s="127"/>
      <c r="D179" s="127"/>
      <c r="E179" s="127"/>
      <c r="F179" s="127"/>
      <c r="G179" s="128"/>
      <c r="H179" s="129" t="s">
        <v>422</v>
      </c>
      <c r="I179" s="127"/>
      <c r="J179" s="179" t="s">
        <v>423</v>
      </c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  <c r="AA179" s="158"/>
      <c r="AB179" s="158"/>
      <c r="AC179" s="158"/>
      <c r="AD179" s="158"/>
      <c r="AE179" s="158"/>
      <c r="AF179" s="158"/>
      <c r="AG179" s="158"/>
      <c r="AH179" s="158"/>
      <c r="AI179" s="158"/>
      <c r="AJ179" s="159"/>
      <c r="AK179" s="130" t="s">
        <v>426</v>
      </c>
      <c r="AL179" s="127"/>
      <c r="AM179" s="127"/>
      <c r="AN179" s="127"/>
      <c r="AO179" s="127"/>
      <c r="AP179" s="181"/>
      <c r="AQ179" s="127"/>
      <c r="AR179" s="127"/>
      <c r="AS179" s="127"/>
      <c r="AT179" s="127"/>
      <c r="AU179" s="127"/>
      <c r="AV179" s="127"/>
      <c r="AW179" s="127"/>
      <c r="AX179" s="127"/>
      <c r="AY179" s="127"/>
      <c r="AZ179" s="127"/>
      <c r="BA179" s="127"/>
      <c r="BB179" s="127"/>
      <c r="BC179" s="127"/>
      <c r="BD179" s="127"/>
      <c r="BE179" s="127"/>
      <c r="BF179" s="127"/>
      <c r="BG179" s="127"/>
      <c r="BH179" s="127"/>
      <c r="BI179" s="131"/>
    </row>
    <row r="180" spans="2:61" ht="20.100000000000001" customHeight="1" x14ac:dyDescent="0.45">
      <c r="B180" s="160"/>
      <c r="C180" s="31"/>
      <c r="D180" s="31"/>
      <c r="E180" s="31"/>
      <c r="F180" s="31"/>
      <c r="G180" s="133"/>
      <c r="H180" s="137" t="s">
        <v>424</v>
      </c>
      <c r="I180" s="55"/>
      <c r="J180" s="137" t="s">
        <v>416</v>
      </c>
      <c r="K180" s="55"/>
      <c r="L180" s="55"/>
      <c r="M180" s="55"/>
      <c r="N180" s="55"/>
      <c r="O180" s="55"/>
      <c r="P180" s="55"/>
      <c r="Q180" s="55"/>
      <c r="R180" s="161" t="s">
        <v>417</v>
      </c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138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/>
      <c r="BD180" s="55"/>
      <c r="BE180" s="55"/>
      <c r="BF180" s="55"/>
      <c r="BG180" s="55"/>
      <c r="BH180" s="55"/>
      <c r="BI180" s="139"/>
    </row>
    <row r="181" spans="2:61" ht="20.100000000000001" customHeight="1" x14ac:dyDescent="0.45">
      <c r="B181" s="160"/>
      <c r="C181" s="31"/>
      <c r="D181" s="31"/>
      <c r="E181" s="31"/>
      <c r="F181" s="31"/>
      <c r="G181" s="133"/>
      <c r="H181" s="140"/>
      <c r="I181" s="164"/>
      <c r="J181" s="137" t="s">
        <v>418</v>
      </c>
      <c r="K181" s="55"/>
      <c r="L181" s="55"/>
      <c r="M181" s="55"/>
      <c r="N181" s="55"/>
      <c r="O181" s="55"/>
      <c r="P181" s="55"/>
      <c r="Q181" s="55"/>
      <c r="R181" s="161" t="s">
        <v>425</v>
      </c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142"/>
      <c r="AL181" s="141"/>
      <c r="AM181" s="141"/>
      <c r="AN181" s="141"/>
      <c r="AO181" s="141"/>
      <c r="AP181" s="141"/>
      <c r="AQ181" s="141"/>
      <c r="AR181" s="141"/>
      <c r="AS181" s="141"/>
      <c r="AT181" s="141"/>
      <c r="AU181" s="141"/>
      <c r="AV181" s="141"/>
      <c r="AW181" s="141"/>
      <c r="AX181" s="141"/>
      <c r="AY181" s="141"/>
      <c r="AZ181" s="141"/>
      <c r="BA181" s="141"/>
      <c r="BB181" s="141"/>
      <c r="BC181" s="141"/>
      <c r="BD181" s="141"/>
      <c r="BE181" s="141"/>
      <c r="BF181" s="141"/>
      <c r="BG181" s="141"/>
      <c r="BH181" s="141"/>
      <c r="BI181" s="143"/>
    </row>
    <row r="182" spans="2:61" ht="20.100000000000001" customHeight="1" x14ac:dyDescent="0.45">
      <c r="B182" s="132"/>
      <c r="C182" s="31"/>
      <c r="D182" s="31"/>
      <c r="E182" s="31"/>
      <c r="F182" s="31"/>
      <c r="G182" s="133"/>
      <c r="H182" s="137" t="s">
        <v>148</v>
      </c>
      <c r="I182" s="55"/>
      <c r="J182" s="137" t="s">
        <v>410</v>
      </c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138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55"/>
      <c r="BE182" s="55"/>
      <c r="BF182" s="55"/>
      <c r="BG182" s="55"/>
      <c r="BH182" s="55"/>
      <c r="BI182" s="139"/>
    </row>
    <row r="183" spans="2:61" ht="20.100000000000001" customHeight="1" thickBot="1" x14ac:dyDescent="0.5">
      <c r="B183" s="132"/>
      <c r="C183" s="31"/>
      <c r="D183" s="31"/>
      <c r="E183" s="31"/>
      <c r="F183" s="31"/>
      <c r="G183" s="133"/>
      <c r="H183" s="134"/>
      <c r="I183" s="133"/>
      <c r="J183" s="134" t="s">
        <v>411</v>
      </c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133"/>
      <c r="AK183" s="135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136"/>
    </row>
    <row r="184" spans="2:61" ht="5.0999999999999996" customHeight="1" x14ac:dyDescent="0.45"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  <c r="AC184" s="127"/>
      <c r="AD184" s="127"/>
      <c r="AE184" s="127"/>
      <c r="AF184" s="127"/>
      <c r="AG184" s="127"/>
      <c r="AH184" s="127"/>
      <c r="AI184" s="127"/>
      <c r="AJ184" s="127"/>
      <c r="AK184" s="127"/>
      <c r="AL184" s="127"/>
      <c r="AM184" s="127"/>
      <c r="AN184" s="127"/>
      <c r="AO184" s="127"/>
      <c r="AP184" s="127"/>
      <c r="AQ184" s="127"/>
      <c r="AR184" s="127"/>
      <c r="AS184" s="127"/>
      <c r="AT184" s="127"/>
      <c r="AU184" s="127"/>
      <c r="AV184" s="127"/>
      <c r="AW184" s="127"/>
      <c r="AX184" s="127"/>
      <c r="AY184" s="127"/>
      <c r="AZ184" s="127"/>
      <c r="BA184" s="127"/>
      <c r="BB184" s="127"/>
      <c r="BC184" s="127"/>
      <c r="BD184" s="127"/>
      <c r="BE184" s="127"/>
      <c r="BF184" s="127"/>
      <c r="BG184" s="127"/>
      <c r="BH184" s="127"/>
      <c r="BI184" s="127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6"/>
  <sheetViews>
    <sheetView showGridLines="0"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65" t="s">
        <v>0</v>
      </c>
      <c r="C2" s="260"/>
      <c r="D2" s="260"/>
      <c r="E2" s="260"/>
      <c r="F2" s="260"/>
      <c r="G2" s="260"/>
      <c r="H2" s="260" t="s">
        <v>17</v>
      </c>
      <c r="I2" s="260"/>
      <c r="J2" s="260"/>
      <c r="K2" s="260"/>
      <c r="L2" s="260" t="s">
        <v>1</v>
      </c>
      <c r="M2" s="260"/>
      <c r="N2" s="260"/>
      <c r="O2" s="260"/>
      <c r="P2" s="260"/>
      <c r="Q2" s="260"/>
      <c r="R2" s="260" t="s">
        <v>2</v>
      </c>
      <c r="S2" s="260"/>
      <c r="T2" s="260"/>
      <c r="U2" s="260"/>
      <c r="V2" s="260"/>
      <c r="W2" s="260"/>
      <c r="X2" s="266" t="s">
        <v>3</v>
      </c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8"/>
      <c r="AK2" s="266" t="s">
        <v>32</v>
      </c>
      <c r="AL2" s="267"/>
      <c r="AM2" s="267"/>
      <c r="AN2" s="267"/>
      <c r="AO2" s="267"/>
      <c r="AP2" s="267"/>
      <c r="AQ2" s="267"/>
      <c r="AR2" s="267"/>
      <c r="AS2" s="267"/>
      <c r="AT2" s="267"/>
      <c r="AU2" s="267"/>
      <c r="AV2" s="267"/>
      <c r="AW2" s="268"/>
      <c r="AX2" s="260" t="s">
        <v>5</v>
      </c>
      <c r="AY2" s="260"/>
      <c r="AZ2" s="260"/>
      <c r="BA2" s="260"/>
      <c r="BB2" s="260" t="s">
        <v>4</v>
      </c>
      <c r="BC2" s="260"/>
      <c r="BD2" s="260"/>
      <c r="BE2" s="260"/>
      <c r="BF2" s="260" t="s">
        <v>6</v>
      </c>
      <c r="BG2" s="260"/>
      <c r="BH2" s="260"/>
      <c r="BI2" s="260"/>
      <c r="BJ2" s="260" t="s">
        <v>7</v>
      </c>
      <c r="BK2" s="260"/>
      <c r="BL2" s="260"/>
      <c r="BM2" s="261"/>
    </row>
    <row r="3" spans="2:65" ht="20.100000000000001" customHeight="1" x14ac:dyDescent="0.45">
      <c r="B3" s="269" t="str">
        <f>変更履歴!B3</f>
        <v>受発注システム</v>
      </c>
      <c r="C3" s="189"/>
      <c r="D3" s="189"/>
      <c r="E3" s="189"/>
      <c r="F3" s="189"/>
      <c r="G3" s="189"/>
      <c r="H3" s="189" t="str">
        <f ca="1">変更履歴!H3</f>
        <v>MH0500</v>
      </c>
      <c r="I3" s="189"/>
      <c r="J3" s="189"/>
      <c r="K3" s="189"/>
      <c r="L3" s="189" t="str">
        <f>変更履歴!L3</f>
        <v>受発注</v>
      </c>
      <c r="M3" s="189"/>
      <c r="N3" s="189"/>
      <c r="O3" s="189"/>
      <c r="P3" s="189"/>
      <c r="Q3" s="189"/>
      <c r="R3" s="189" t="str">
        <f ca="1">変更履歴!R3</f>
        <v>帳票設計書</v>
      </c>
      <c r="S3" s="189"/>
      <c r="T3" s="189"/>
      <c r="U3" s="189"/>
      <c r="V3" s="189"/>
      <c r="W3" s="189"/>
      <c r="X3" s="193" t="str">
        <f ca="1">変更履歴!X3</f>
        <v>MH0500_部材リスト_帳票設計書</v>
      </c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0"/>
      <c r="AK3" s="193" t="str">
        <f ca="1">変更履歴!AK3</f>
        <v>部材リスト</v>
      </c>
      <c r="AL3" s="194"/>
      <c r="AM3" s="194"/>
      <c r="AN3" s="194"/>
      <c r="AO3" s="194"/>
      <c r="AP3" s="194"/>
      <c r="AQ3" s="194"/>
      <c r="AR3" s="194"/>
      <c r="AS3" s="194"/>
      <c r="AT3" s="194"/>
      <c r="AU3" s="194"/>
      <c r="AV3" s="194"/>
      <c r="AW3" s="190"/>
      <c r="AX3" s="200">
        <f>変更履歴!AX3</f>
        <v>45583</v>
      </c>
      <c r="AY3" s="200"/>
      <c r="AZ3" s="200"/>
      <c r="BA3" s="200"/>
      <c r="BB3" s="189" t="str">
        <f>変更履歴!BB3</f>
        <v>大谷</v>
      </c>
      <c r="BC3" s="189"/>
      <c r="BD3" s="189"/>
      <c r="BE3" s="189"/>
      <c r="BF3" s="200">
        <f>変更履歴!BF3</f>
        <v>45583</v>
      </c>
      <c r="BG3" s="200"/>
      <c r="BH3" s="200"/>
      <c r="BI3" s="200"/>
      <c r="BJ3" s="189" t="str">
        <f>変更履歴!BJ3</f>
        <v>大谷</v>
      </c>
      <c r="BK3" s="189"/>
      <c r="BL3" s="189"/>
      <c r="BM3" s="258"/>
    </row>
    <row r="4" spans="2:65" ht="20.100000000000001" customHeight="1" thickBot="1" x14ac:dyDescent="0.5">
      <c r="B4" s="270"/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62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264"/>
      <c r="AK4" s="262"/>
      <c r="AL4" s="263"/>
      <c r="AM4" s="263"/>
      <c r="AN4" s="263"/>
      <c r="AO4" s="263"/>
      <c r="AP4" s="263"/>
      <c r="AQ4" s="263"/>
      <c r="AR4" s="263"/>
      <c r="AS4" s="263"/>
      <c r="AT4" s="263"/>
      <c r="AU4" s="263"/>
      <c r="AV4" s="263"/>
      <c r="AW4" s="264"/>
      <c r="AX4" s="256"/>
      <c r="AY4" s="256"/>
      <c r="AZ4" s="256"/>
      <c r="BA4" s="256"/>
      <c r="BB4" s="257"/>
      <c r="BC4" s="257"/>
      <c r="BD4" s="257"/>
      <c r="BE4" s="257"/>
      <c r="BF4" s="256"/>
      <c r="BG4" s="256"/>
      <c r="BH4" s="256"/>
      <c r="BI4" s="256"/>
      <c r="BJ4" s="257"/>
      <c r="BK4" s="257"/>
      <c r="BL4" s="257"/>
      <c r="BM4" s="259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126" t="s">
        <v>149</v>
      </c>
      <c r="C7" s="127"/>
      <c r="D7" s="127"/>
      <c r="E7" s="127"/>
      <c r="F7" s="127"/>
      <c r="G7" s="127"/>
      <c r="H7" s="129" t="s">
        <v>177</v>
      </c>
      <c r="I7" s="128"/>
      <c r="J7" s="163" t="s">
        <v>20</v>
      </c>
      <c r="K7" s="158"/>
      <c r="L7" s="158"/>
      <c r="M7" s="158"/>
      <c r="N7" s="158"/>
      <c r="O7" s="158"/>
      <c r="P7" s="158"/>
      <c r="Q7" s="158"/>
      <c r="R7" s="163" t="s">
        <v>178</v>
      </c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58"/>
      <c r="AI7" s="158"/>
      <c r="AJ7" s="159"/>
      <c r="AK7" s="130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31"/>
      <c r="BJ7" s="29"/>
      <c r="BK7" s="29"/>
      <c r="BL7" s="29"/>
      <c r="BM7" s="29"/>
    </row>
    <row r="8" spans="2:65" ht="20.100000000000001" customHeight="1" x14ac:dyDescent="0.45">
      <c r="B8" s="160"/>
      <c r="C8" s="31"/>
      <c r="D8" s="31"/>
      <c r="E8" s="31"/>
      <c r="F8" s="31"/>
      <c r="G8" s="31"/>
      <c r="H8" s="134"/>
      <c r="I8" s="133"/>
      <c r="J8" s="161" t="s">
        <v>179</v>
      </c>
      <c r="K8" s="52"/>
      <c r="L8" s="52"/>
      <c r="M8" s="52"/>
      <c r="N8" s="52"/>
      <c r="O8" s="52"/>
      <c r="P8" s="52"/>
      <c r="Q8" s="52"/>
      <c r="R8" s="161" t="s">
        <v>180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62"/>
      <c r="AK8" s="135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36"/>
      <c r="BJ8" s="29"/>
      <c r="BK8" s="29"/>
      <c r="BL8" s="29"/>
      <c r="BM8" s="29"/>
    </row>
    <row r="9" spans="2:65" ht="20.100000000000001" customHeight="1" x14ac:dyDescent="0.45">
      <c r="B9" s="160"/>
      <c r="C9" s="31"/>
      <c r="D9" s="31"/>
      <c r="E9" s="31"/>
      <c r="F9" s="31"/>
      <c r="G9" s="31"/>
      <c r="H9" s="140"/>
      <c r="I9" s="164"/>
      <c r="J9" s="161" t="s">
        <v>181</v>
      </c>
      <c r="K9" s="52"/>
      <c r="L9" s="52"/>
      <c r="M9" s="52"/>
      <c r="N9" s="52"/>
      <c r="O9" s="52"/>
      <c r="P9" s="52"/>
      <c r="Q9" s="52"/>
      <c r="R9" s="161" t="s">
        <v>182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62"/>
      <c r="AK9" s="142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3"/>
      <c r="BJ9" s="29"/>
      <c r="BK9" s="29"/>
      <c r="BL9" s="29"/>
      <c r="BM9" s="29"/>
    </row>
    <row r="10" spans="2:65" ht="20.100000000000001" customHeight="1" x14ac:dyDescent="0.45">
      <c r="B10" s="160"/>
      <c r="C10" s="31"/>
      <c r="D10" s="31"/>
      <c r="E10" s="31"/>
      <c r="F10" s="31"/>
      <c r="G10" s="133"/>
      <c r="H10" s="134" t="s">
        <v>150</v>
      </c>
      <c r="I10" s="31"/>
      <c r="J10" s="148" t="s">
        <v>151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35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36"/>
      <c r="BJ10" s="29"/>
      <c r="BK10" s="29"/>
      <c r="BL10" s="29"/>
      <c r="BM10" s="29"/>
    </row>
    <row r="11" spans="2:65" ht="20.100000000000001" customHeight="1" x14ac:dyDescent="0.45">
      <c r="B11" s="132"/>
      <c r="C11" s="31"/>
      <c r="D11" s="31"/>
      <c r="E11" s="31"/>
      <c r="F11" s="31"/>
      <c r="G11" s="133"/>
      <c r="H11" s="134"/>
      <c r="I11" s="31"/>
      <c r="J11" s="134" t="s">
        <v>152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35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36"/>
      <c r="BJ11" s="29"/>
      <c r="BK11" s="29"/>
      <c r="BL11" s="29"/>
      <c r="BM11" s="29"/>
    </row>
    <row r="12" spans="2:65" ht="20.100000000000001" customHeight="1" x14ac:dyDescent="0.45">
      <c r="B12" s="132"/>
      <c r="C12" s="31"/>
      <c r="D12" s="31"/>
      <c r="E12" s="31"/>
      <c r="F12" s="31"/>
      <c r="G12" s="133"/>
      <c r="H12" s="134"/>
      <c r="I12" s="31"/>
      <c r="J12" s="134" t="s">
        <v>153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35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36"/>
      <c r="BJ12" s="29"/>
      <c r="BK12" s="29"/>
      <c r="BL12" s="29"/>
      <c r="BM12" s="29"/>
    </row>
    <row r="13" spans="2:65" ht="20.100000000000001" customHeight="1" x14ac:dyDescent="0.45">
      <c r="B13" s="132"/>
      <c r="C13" s="31"/>
      <c r="D13" s="31"/>
      <c r="E13" s="31"/>
      <c r="F13" s="31"/>
      <c r="G13" s="133"/>
      <c r="H13" s="134"/>
      <c r="I13" s="31"/>
      <c r="J13" s="134" t="s">
        <v>154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35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36"/>
      <c r="BJ13" s="29"/>
      <c r="BK13" s="29"/>
      <c r="BL13" s="29"/>
      <c r="BM13" s="29"/>
    </row>
    <row r="14" spans="2:65" ht="20.100000000000001" customHeight="1" x14ac:dyDescent="0.45">
      <c r="B14" s="132"/>
      <c r="C14" s="31"/>
      <c r="D14" s="31"/>
      <c r="E14" s="31"/>
      <c r="F14" s="31"/>
      <c r="G14" s="133"/>
      <c r="H14" s="137" t="s">
        <v>155</v>
      </c>
      <c r="I14" s="55"/>
      <c r="J14" s="144" t="s">
        <v>156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38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39"/>
      <c r="BJ14" s="29"/>
      <c r="BK14" s="29"/>
      <c r="BL14" s="29"/>
      <c r="BM14" s="29"/>
    </row>
    <row r="15" spans="2:65" ht="20.100000000000001" customHeight="1" x14ac:dyDescent="0.45">
      <c r="B15" s="132"/>
      <c r="C15" s="31"/>
      <c r="D15" s="31"/>
      <c r="E15" s="31"/>
      <c r="F15" s="31"/>
      <c r="G15" s="133"/>
      <c r="H15" s="134"/>
      <c r="I15" s="31"/>
      <c r="J15" s="145"/>
      <c r="K15" s="146" t="s">
        <v>157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35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36"/>
      <c r="BJ15" s="29"/>
      <c r="BK15" s="29"/>
      <c r="BL15" s="29"/>
      <c r="BM15" s="29"/>
    </row>
    <row r="16" spans="2:65" ht="20.100000000000001" customHeight="1" x14ac:dyDescent="0.45">
      <c r="B16" s="132"/>
      <c r="C16" s="31"/>
      <c r="D16" s="31"/>
      <c r="E16" s="31"/>
      <c r="F16" s="31"/>
      <c r="G16" s="133"/>
      <c r="H16" s="134"/>
      <c r="I16" s="31"/>
      <c r="J16" s="134"/>
      <c r="K16" s="29"/>
      <c r="L16" s="147"/>
      <c r="M16" s="146" t="s">
        <v>158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35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36"/>
      <c r="BJ16" s="29"/>
      <c r="BK16" s="29"/>
      <c r="BL16" s="29"/>
      <c r="BM16" s="29"/>
    </row>
    <row r="17" spans="2:65" ht="20.100000000000001" customHeight="1" x14ac:dyDescent="0.45">
      <c r="B17" s="132"/>
      <c r="C17" s="31"/>
      <c r="D17" s="31"/>
      <c r="E17" s="31"/>
      <c r="F17" s="31"/>
      <c r="G17" s="133"/>
      <c r="H17" s="134"/>
      <c r="I17" s="31"/>
      <c r="J17" s="134"/>
      <c r="K17" s="29"/>
      <c r="L17" s="147" t="s">
        <v>159</v>
      </c>
      <c r="M17" s="146" t="s">
        <v>158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35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36"/>
      <c r="BJ17" s="29"/>
      <c r="BK17" s="29"/>
      <c r="BL17" s="29"/>
      <c r="BM17" s="29"/>
    </row>
    <row r="18" spans="2:65" ht="20.100000000000001" customHeight="1" x14ac:dyDescent="0.45">
      <c r="B18" s="132"/>
      <c r="C18" s="31"/>
      <c r="D18" s="31"/>
      <c r="E18" s="31"/>
      <c r="F18" s="31"/>
      <c r="G18" s="133"/>
      <c r="H18" s="134"/>
      <c r="I18" s="31"/>
      <c r="J18" s="134"/>
      <c r="K18" s="29"/>
      <c r="L18" s="147" t="s">
        <v>160</v>
      </c>
      <c r="M18" s="146" t="s">
        <v>158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35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36"/>
      <c r="BJ18" s="29"/>
      <c r="BK18" s="29"/>
      <c r="BL18" s="29"/>
      <c r="BM18" s="29"/>
    </row>
    <row r="19" spans="2:65" ht="20.100000000000001" customHeight="1" x14ac:dyDescent="0.45">
      <c r="B19" s="132"/>
      <c r="C19" s="31"/>
      <c r="D19" s="31"/>
      <c r="E19" s="31"/>
      <c r="F19" s="31"/>
      <c r="G19" s="133"/>
      <c r="H19" s="134"/>
      <c r="I19" s="31"/>
      <c r="J19" s="134" t="s">
        <v>161</v>
      </c>
      <c r="K19" s="147"/>
      <c r="L19" s="146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35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36"/>
      <c r="BJ19" s="29"/>
      <c r="BK19" s="29"/>
      <c r="BL19" s="29"/>
      <c r="BM19" s="29"/>
    </row>
    <row r="20" spans="2:65" ht="20.100000000000001" customHeight="1" x14ac:dyDescent="0.45">
      <c r="B20" s="132"/>
      <c r="C20" s="31"/>
      <c r="D20" s="31"/>
      <c r="E20" s="31"/>
      <c r="F20" s="31"/>
      <c r="G20" s="133"/>
      <c r="H20" s="134"/>
      <c r="I20" s="31"/>
      <c r="J20" s="134"/>
      <c r="K20" s="31" t="s">
        <v>162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35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36"/>
      <c r="BJ20" s="29"/>
      <c r="BK20" s="29"/>
      <c r="BL20" s="29"/>
      <c r="BM20" s="29"/>
    </row>
    <row r="21" spans="2:65" ht="20.100000000000001" customHeight="1" x14ac:dyDescent="0.45">
      <c r="B21" s="132"/>
      <c r="C21" s="31"/>
      <c r="D21" s="31"/>
      <c r="E21" s="31"/>
      <c r="F21" s="31"/>
      <c r="G21" s="133"/>
      <c r="H21" s="134"/>
      <c r="I21" s="31"/>
      <c r="J21" s="134"/>
      <c r="K21" s="29"/>
      <c r="L21" s="31"/>
      <c r="M21" s="31" t="s">
        <v>163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35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36"/>
    </row>
    <row r="22" spans="2:65" ht="20.100000000000001" customHeight="1" x14ac:dyDescent="0.45">
      <c r="B22" s="132"/>
      <c r="C22" s="31"/>
      <c r="D22" s="31"/>
      <c r="E22" s="31"/>
      <c r="F22" s="31"/>
      <c r="G22" s="133"/>
      <c r="H22" s="140"/>
      <c r="I22" s="141"/>
      <c r="J22" s="140"/>
      <c r="K22" s="141"/>
      <c r="L22" s="141" t="s">
        <v>159</v>
      </c>
      <c r="M22" s="141" t="s">
        <v>164</v>
      </c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2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1"/>
      <c r="BA22" s="141"/>
      <c r="BB22" s="141"/>
      <c r="BC22" s="141"/>
      <c r="BD22" s="141"/>
      <c r="BE22" s="141"/>
      <c r="BF22" s="141"/>
      <c r="BG22" s="141"/>
      <c r="BH22" s="141"/>
      <c r="BI22" s="143"/>
    </row>
    <row r="23" spans="2:65" ht="20.100000000000001" customHeight="1" x14ac:dyDescent="0.45">
      <c r="B23" s="132"/>
      <c r="C23" s="31"/>
      <c r="D23" s="31"/>
      <c r="E23" s="31"/>
      <c r="F23" s="31"/>
      <c r="G23" s="133"/>
      <c r="H23" s="134" t="s">
        <v>165</v>
      </c>
      <c r="I23" s="31"/>
      <c r="J23" s="148"/>
      <c r="K23" s="146" t="s">
        <v>166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49" t="s">
        <v>167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36"/>
    </row>
    <row r="24" spans="2:65" ht="20.100000000000001" customHeight="1" x14ac:dyDescent="0.45">
      <c r="B24" s="132"/>
      <c r="C24" s="31"/>
      <c r="D24" s="31"/>
      <c r="E24" s="31"/>
      <c r="F24" s="31"/>
      <c r="G24" s="133"/>
      <c r="H24" s="134"/>
      <c r="I24" s="31"/>
      <c r="J24" s="148" t="s">
        <v>159</v>
      </c>
      <c r="K24" s="146" t="s">
        <v>168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35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36"/>
    </row>
    <row r="25" spans="2:65" ht="20.100000000000001" customHeight="1" x14ac:dyDescent="0.45">
      <c r="B25" s="132"/>
      <c r="C25" s="31"/>
      <c r="D25" s="31"/>
      <c r="E25" s="31"/>
      <c r="F25" s="31"/>
      <c r="G25" s="133"/>
      <c r="H25" s="134"/>
      <c r="I25" s="31"/>
      <c r="J25" s="148" t="s">
        <v>160</v>
      </c>
      <c r="K25" s="146" t="s">
        <v>168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35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36"/>
    </row>
    <row r="26" spans="2:65" ht="20.100000000000001" customHeight="1" x14ac:dyDescent="0.45">
      <c r="B26" s="132"/>
      <c r="C26" s="31"/>
      <c r="D26" s="31"/>
      <c r="E26" s="31"/>
      <c r="F26" s="31"/>
      <c r="G26" s="133"/>
      <c r="H26" s="134"/>
      <c r="I26" s="31"/>
      <c r="J26" s="148" t="s">
        <v>169</v>
      </c>
      <c r="K26" s="146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35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36"/>
    </row>
    <row r="27" spans="2:65" ht="20.100000000000001" customHeight="1" x14ac:dyDescent="0.45">
      <c r="B27" s="132"/>
      <c r="C27" s="31"/>
      <c r="D27" s="31"/>
      <c r="E27" s="31"/>
      <c r="F27" s="31"/>
      <c r="G27" s="133"/>
      <c r="H27" s="134"/>
      <c r="I27" s="31"/>
      <c r="J27" s="134"/>
      <c r="K27" s="31" t="s">
        <v>170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50" t="s">
        <v>171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36"/>
    </row>
    <row r="28" spans="2:65" ht="20.100000000000001" customHeight="1" x14ac:dyDescent="0.45">
      <c r="B28" s="132"/>
      <c r="C28" s="31"/>
      <c r="D28" s="31"/>
      <c r="E28" s="31"/>
      <c r="F28" s="31"/>
      <c r="G28" s="133"/>
      <c r="H28" s="134"/>
      <c r="I28" s="31"/>
      <c r="J28" s="134" t="s">
        <v>159</v>
      </c>
      <c r="K28" s="31" t="s">
        <v>172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34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36"/>
    </row>
    <row r="29" spans="2:65" ht="20.100000000000001" customHeight="1" x14ac:dyDescent="0.45">
      <c r="B29" s="132"/>
      <c r="C29" s="31"/>
      <c r="D29" s="31"/>
      <c r="E29" s="31"/>
      <c r="F29" s="31"/>
      <c r="G29" s="133"/>
      <c r="H29" s="134"/>
      <c r="I29" s="31"/>
      <c r="J29" s="148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34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36"/>
    </row>
    <row r="30" spans="2:65" ht="20.100000000000001" customHeight="1" x14ac:dyDescent="0.45">
      <c r="B30" s="132"/>
      <c r="C30" s="31"/>
      <c r="D30" s="31"/>
      <c r="E30" s="31"/>
      <c r="F30" s="31"/>
      <c r="G30" s="133"/>
      <c r="H30" s="134"/>
      <c r="I30" s="31"/>
      <c r="J30" s="134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34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36"/>
    </row>
    <row r="31" spans="2:65" ht="20.100000000000001" customHeight="1" x14ac:dyDescent="0.45">
      <c r="B31" s="132"/>
      <c r="C31" s="31"/>
      <c r="D31" s="31"/>
      <c r="E31" s="31"/>
      <c r="F31" s="31"/>
      <c r="G31" s="133"/>
      <c r="H31" s="140"/>
      <c r="I31" s="141"/>
      <c r="J31" s="140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0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3"/>
    </row>
    <row r="32" spans="2:65" ht="20.100000000000001" customHeight="1" x14ac:dyDescent="0.45">
      <c r="B32" s="132"/>
      <c r="C32" s="31"/>
      <c r="D32" s="31"/>
      <c r="E32" s="31"/>
      <c r="F32" s="31"/>
      <c r="G32" s="133"/>
      <c r="H32" s="134" t="s">
        <v>173</v>
      </c>
      <c r="I32" s="31"/>
      <c r="J32" s="148" t="s">
        <v>174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34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36"/>
    </row>
    <row r="33" spans="2:61" ht="20.100000000000001" customHeight="1" x14ac:dyDescent="0.45">
      <c r="B33" s="132"/>
      <c r="C33" s="31"/>
      <c r="D33" s="31"/>
      <c r="E33" s="31"/>
      <c r="F33" s="31"/>
      <c r="G33" s="133"/>
      <c r="H33" s="134"/>
      <c r="I33" s="31"/>
      <c r="J33" s="148" t="s">
        <v>175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34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36"/>
    </row>
    <row r="34" spans="2:61" ht="20.100000000000001" customHeight="1" thickBot="1" x14ac:dyDescent="0.5">
      <c r="B34" s="151"/>
      <c r="C34" s="152"/>
      <c r="D34" s="152"/>
      <c r="E34" s="152"/>
      <c r="F34" s="152"/>
      <c r="G34" s="153"/>
      <c r="H34" s="154"/>
      <c r="I34" s="152"/>
      <c r="J34" s="154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4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5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56" t="s">
        <v>176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G55"/>
  <sheetViews>
    <sheetView zoomScale="85" zoomScaleNormal="85" workbookViewId="0"/>
  </sheetViews>
  <sheetFormatPr defaultRowHeight="18" x14ac:dyDescent="0.45"/>
  <cols>
    <col min="1" max="2" width="8.796875" style="29"/>
    <col min="3" max="3" width="26.59765625" style="29" customWidth="1"/>
    <col min="4" max="4" width="22.5" style="29" bestFit="1" customWidth="1"/>
    <col min="5" max="5" width="106.8984375" style="29" customWidth="1"/>
    <col min="6" max="6" width="16.69921875" style="29" customWidth="1"/>
    <col min="7" max="16384" width="8.796875" style="29"/>
  </cols>
  <sheetData>
    <row r="2" spans="2:7" ht="19.2" thickBot="1" x14ac:dyDescent="0.5">
      <c r="B2" s="86" t="s">
        <v>48</v>
      </c>
    </row>
    <row r="3" spans="2:7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177" t="s">
        <v>188</v>
      </c>
      <c r="G3" s="78" t="s">
        <v>51</v>
      </c>
    </row>
    <row r="4" spans="2:7" x14ac:dyDescent="0.45">
      <c r="B4" s="37">
        <v>1</v>
      </c>
      <c r="C4" s="79" t="s">
        <v>74</v>
      </c>
      <c r="D4" s="79" t="s">
        <v>142</v>
      </c>
      <c r="E4" s="81" t="s">
        <v>185</v>
      </c>
      <c r="F4" s="81" t="s">
        <v>186</v>
      </c>
      <c r="G4" s="80" t="s">
        <v>183</v>
      </c>
    </row>
    <row r="5" spans="2:7" x14ac:dyDescent="0.45">
      <c r="B5" s="37">
        <v>2</v>
      </c>
      <c r="C5" s="79" t="s">
        <v>143</v>
      </c>
      <c r="D5" s="79" t="s">
        <v>144</v>
      </c>
      <c r="E5" s="81" t="s">
        <v>145</v>
      </c>
      <c r="F5" s="81" t="s">
        <v>187</v>
      </c>
      <c r="G5" s="80" t="s">
        <v>183</v>
      </c>
    </row>
    <row r="6" spans="2:7" x14ac:dyDescent="0.45">
      <c r="B6" s="37">
        <v>3</v>
      </c>
      <c r="C6" s="79" t="s">
        <v>402</v>
      </c>
      <c r="D6" s="79" t="s">
        <v>404</v>
      </c>
      <c r="E6" s="81" t="s">
        <v>403</v>
      </c>
      <c r="F6" s="81" t="s">
        <v>432</v>
      </c>
      <c r="G6" s="80" t="s">
        <v>183</v>
      </c>
    </row>
    <row r="7" spans="2:7" x14ac:dyDescent="0.45">
      <c r="B7" s="37">
        <v>4</v>
      </c>
      <c r="C7" s="79"/>
      <c r="D7" s="79"/>
      <c r="E7" s="81"/>
      <c r="F7" s="81"/>
      <c r="G7" s="80"/>
    </row>
    <row r="8" spans="2:7" x14ac:dyDescent="0.45">
      <c r="B8" s="37">
        <v>5</v>
      </c>
      <c r="C8" s="79"/>
      <c r="D8" s="79"/>
      <c r="E8" s="81"/>
      <c r="F8" s="81"/>
      <c r="G8" s="80"/>
    </row>
    <row r="9" spans="2:7" x14ac:dyDescent="0.45">
      <c r="B9" s="37">
        <v>6</v>
      </c>
      <c r="C9" s="79"/>
      <c r="D9" s="79"/>
      <c r="E9" s="81"/>
      <c r="F9" s="81"/>
      <c r="G9" s="80"/>
    </row>
    <row r="10" spans="2:7" x14ac:dyDescent="0.45">
      <c r="B10" s="37">
        <v>7</v>
      </c>
      <c r="C10" s="79"/>
      <c r="D10" s="79"/>
      <c r="E10" s="81"/>
      <c r="F10" s="81"/>
      <c r="G10" s="80"/>
    </row>
    <row r="11" spans="2:7" x14ac:dyDescent="0.45">
      <c r="B11" s="37">
        <v>8</v>
      </c>
      <c r="C11" s="79"/>
      <c r="D11" s="79"/>
      <c r="E11" s="81"/>
      <c r="F11" s="81"/>
      <c r="G11" s="80"/>
    </row>
    <row r="12" spans="2:7" x14ac:dyDescent="0.45">
      <c r="B12" s="37">
        <v>9</v>
      </c>
      <c r="C12" s="79"/>
      <c r="D12" s="79"/>
      <c r="E12" s="81"/>
      <c r="F12" s="81"/>
      <c r="G12" s="80"/>
    </row>
    <row r="13" spans="2:7" x14ac:dyDescent="0.45">
      <c r="B13" s="37">
        <v>10</v>
      </c>
      <c r="C13" s="79"/>
      <c r="D13" s="79"/>
      <c r="E13" s="81"/>
      <c r="F13" s="81"/>
      <c r="G13" s="80"/>
    </row>
    <row r="14" spans="2:7" x14ac:dyDescent="0.45">
      <c r="B14" s="37">
        <v>11</v>
      </c>
      <c r="C14" s="79"/>
      <c r="D14" s="79"/>
      <c r="E14" s="81"/>
      <c r="F14" s="81"/>
      <c r="G14" s="80"/>
    </row>
    <row r="15" spans="2:7" x14ac:dyDescent="0.45">
      <c r="B15" s="37">
        <v>12</v>
      </c>
      <c r="C15" s="79"/>
      <c r="D15" s="79"/>
      <c r="E15" s="81"/>
      <c r="F15" s="81"/>
      <c r="G15" s="80"/>
    </row>
    <row r="16" spans="2:7" x14ac:dyDescent="0.45">
      <c r="B16" s="37">
        <v>13</v>
      </c>
      <c r="C16" s="79"/>
      <c r="D16" s="79"/>
      <c r="E16" s="81"/>
      <c r="F16" s="81"/>
      <c r="G16" s="80"/>
    </row>
    <row r="17" spans="2:7" x14ac:dyDescent="0.45">
      <c r="B17" s="37">
        <v>14</v>
      </c>
      <c r="C17" s="79"/>
      <c r="D17" s="79"/>
      <c r="E17" s="81"/>
      <c r="F17" s="81"/>
      <c r="G17" s="80"/>
    </row>
    <row r="18" spans="2:7" x14ac:dyDescent="0.45">
      <c r="B18" s="37">
        <v>15</v>
      </c>
      <c r="C18" s="79"/>
      <c r="D18" s="79"/>
      <c r="E18" s="81"/>
      <c r="F18" s="81"/>
      <c r="G18" s="80"/>
    </row>
    <row r="19" spans="2:7" x14ac:dyDescent="0.45">
      <c r="B19" s="37">
        <v>16</v>
      </c>
      <c r="C19" s="79"/>
      <c r="D19" s="79"/>
      <c r="E19" s="81"/>
      <c r="F19" s="81"/>
      <c r="G19" s="80"/>
    </row>
    <row r="20" spans="2:7" x14ac:dyDescent="0.45">
      <c r="B20" s="37">
        <v>17</v>
      </c>
      <c r="C20" s="79"/>
      <c r="D20" s="79"/>
      <c r="E20" s="81"/>
      <c r="F20" s="81"/>
      <c r="G20" s="80"/>
    </row>
    <row r="21" spans="2:7" x14ac:dyDescent="0.45">
      <c r="B21" s="37">
        <v>18</v>
      </c>
      <c r="C21" s="79"/>
      <c r="D21" s="79"/>
      <c r="E21" s="81"/>
      <c r="F21" s="81"/>
      <c r="G21" s="80"/>
    </row>
    <row r="22" spans="2:7" x14ac:dyDescent="0.45">
      <c r="B22" s="37">
        <v>19</v>
      </c>
      <c r="C22" s="79"/>
      <c r="D22" s="79"/>
      <c r="E22" s="81"/>
      <c r="F22" s="81"/>
      <c r="G22" s="80"/>
    </row>
    <row r="23" spans="2:7" x14ac:dyDescent="0.45">
      <c r="B23" s="37">
        <v>20</v>
      </c>
      <c r="C23" s="79"/>
      <c r="D23" s="79"/>
      <c r="E23" s="81"/>
      <c r="F23" s="81"/>
      <c r="G23" s="80"/>
    </row>
    <row r="24" spans="2:7" x14ac:dyDescent="0.45">
      <c r="B24" s="37">
        <v>21</v>
      </c>
      <c r="C24" s="79"/>
      <c r="D24" s="79"/>
      <c r="E24" s="81"/>
      <c r="F24" s="81"/>
      <c r="G24" s="80"/>
    </row>
    <row r="25" spans="2:7" x14ac:dyDescent="0.45">
      <c r="B25" s="37">
        <v>22</v>
      </c>
      <c r="C25" s="79"/>
      <c r="D25" s="79"/>
      <c r="E25" s="81"/>
      <c r="F25" s="81"/>
      <c r="G25" s="80"/>
    </row>
    <row r="26" spans="2:7" x14ac:dyDescent="0.45">
      <c r="B26" s="37">
        <v>23</v>
      </c>
      <c r="C26" s="79"/>
      <c r="D26" s="79"/>
      <c r="E26" s="81"/>
      <c r="F26" s="81"/>
      <c r="G26" s="80"/>
    </row>
    <row r="27" spans="2:7" x14ac:dyDescent="0.45">
      <c r="B27" s="37">
        <v>24</v>
      </c>
      <c r="C27" s="79"/>
      <c r="D27" s="79"/>
      <c r="E27" s="81"/>
      <c r="F27" s="81"/>
      <c r="G27" s="80"/>
    </row>
    <row r="28" spans="2:7" x14ac:dyDescent="0.45">
      <c r="B28" s="37">
        <v>25</v>
      </c>
      <c r="C28" s="79"/>
      <c r="D28" s="79"/>
      <c r="E28" s="81"/>
      <c r="F28" s="81"/>
      <c r="G28" s="80"/>
    </row>
    <row r="29" spans="2:7" x14ac:dyDescent="0.45">
      <c r="B29" s="37">
        <v>26</v>
      </c>
      <c r="C29" s="79"/>
      <c r="D29" s="79"/>
      <c r="E29" s="81"/>
      <c r="F29" s="81"/>
      <c r="G29" s="80"/>
    </row>
    <row r="30" spans="2:7" x14ac:dyDescent="0.45">
      <c r="B30" s="37">
        <v>27</v>
      </c>
      <c r="C30" s="79"/>
      <c r="D30" s="79"/>
      <c r="E30" s="81"/>
      <c r="F30" s="81"/>
      <c r="G30" s="80"/>
    </row>
    <row r="31" spans="2:7" x14ac:dyDescent="0.45">
      <c r="B31" s="37">
        <v>28</v>
      </c>
      <c r="C31" s="79"/>
      <c r="D31" s="79"/>
      <c r="E31" s="81"/>
      <c r="F31" s="81"/>
      <c r="G31" s="80"/>
    </row>
    <row r="32" spans="2:7" x14ac:dyDescent="0.45">
      <c r="B32" s="37">
        <v>29</v>
      </c>
      <c r="C32" s="79"/>
      <c r="D32" s="79"/>
      <c r="E32" s="81"/>
      <c r="F32" s="81"/>
      <c r="G32" s="80"/>
    </row>
    <row r="33" spans="2:7" x14ac:dyDescent="0.45">
      <c r="B33" s="37">
        <v>30</v>
      </c>
      <c r="C33" s="79"/>
      <c r="D33" s="79"/>
      <c r="E33" s="81"/>
      <c r="F33" s="81"/>
      <c r="G33" s="80"/>
    </row>
    <row r="34" spans="2:7" x14ac:dyDescent="0.45">
      <c r="B34" s="37">
        <v>31</v>
      </c>
      <c r="C34" s="79"/>
      <c r="D34" s="79"/>
      <c r="E34" s="81"/>
      <c r="F34" s="81"/>
      <c r="G34" s="80"/>
    </row>
    <row r="35" spans="2:7" x14ac:dyDescent="0.45">
      <c r="B35" s="37">
        <v>32</v>
      </c>
      <c r="C35" s="79"/>
      <c r="D35" s="79"/>
      <c r="E35" s="81"/>
      <c r="F35" s="81"/>
      <c r="G35" s="80"/>
    </row>
    <row r="36" spans="2:7" x14ac:dyDescent="0.45">
      <c r="B36" s="37">
        <v>33</v>
      </c>
      <c r="C36" s="79"/>
      <c r="D36" s="79"/>
      <c r="E36" s="81"/>
      <c r="F36" s="81"/>
      <c r="G36" s="80"/>
    </row>
    <row r="37" spans="2:7" x14ac:dyDescent="0.45">
      <c r="B37" s="37">
        <v>34</v>
      </c>
      <c r="C37" s="79"/>
      <c r="D37" s="79"/>
      <c r="E37" s="81"/>
      <c r="F37" s="81"/>
      <c r="G37" s="80"/>
    </row>
    <row r="38" spans="2:7" x14ac:dyDescent="0.45">
      <c r="B38" s="37">
        <v>35</v>
      </c>
      <c r="C38" s="79"/>
      <c r="D38" s="79"/>
      <c r="E38" s="81"/>
      <c r="F38" s="81"/>
      <c r="G38" s="80"/>
    </row>
    <row r="39" spans="2:7" x14ac:dyDescent="0.45">
      <c r="B39" s="37">
        <v>36</v>
      </c>
      <c r="C39" s="79"/>
      <c r="D39" s="79"/>
      <c r="E39" s="81"/>
      <c r="F39" s="81"/>
      <c r="G39" s="80"/>
    </row>
    <row r="40" spans="2:7" x14ac:dyDescent="0.45">
      <c r="B40" s="37">
        <v>37</v>
      </c>
      <c r="C40" s="79"/>
      <c r="D40" s="79"/>
      <c r="E40" s="81"/>
      <c r="F40" s="81"/>
      <c r="G40" s="80"/>
    </row>
    <row r="41" spans="2:7" x14ac:dyDescent="0.45">
      <c r="B41" s="37">
        <v>38</v>
      </c>
      <c r="C41" s="79"/>
      <c r="D41" s="79"/>
      <c r="E41" s="81"/>
      <c r="F41" s="81"/>
      <c r="G41" s="80"/>
    </row>
    <row r="42" spans="2:7" x14ac:dyDescent="0.45">
      <c r="B42" s="37">
        <v>39</v>
      </c>
      <c r="C42" s="79"/>
      <c r="D42" s="79"/>
      <c r="E42" s="81"/>
      <c r="F42" s="81"/>
      <c r="G42" s="80"/>
    </row>
    <row r="43" spans="2:7" x14ac:dyDescent="0.45">
      <c r="B43" s="37">
        <v>40</v>
      </c>
      <c r="C43" s="79"/>
      <c r="D43" s="79"/>
      <c r="E43" s="81"/>
      <c r="F43" s="81"/>
      <c r="G43" s="80"/>
    </row>
    <row r="44" spans="2:7" x14ac:dyDescent="0.45">
      <c r="B44" s="37">
        <v>41</v>
      </c>
      <c r="C44" s="79"/>
      <c r="D44" s="79"/>
      <c r="E44" s="81"/>
      <c r="F44" s="81"/>
      <c r="G44" s="80"/>
    </row>
    <row r="45" spans="2:7" x14ac:dyDescent="0.45">
      <c r="B45" s="37">
        <v>42</v>
      </c>
      <c r="C45" s="79"/>
      <c r="D45" s="79"/>
      <c r="E45" s="81"/>
      <c r="F45" s="81"/>
      <c r="G45" s="80"/>
    </row>
    <row r="46" spans="2:7" x14ac:dyDescent="0.45">
      <c r="B46" s="37">
        <v>43</v>
      </c>
      <c r="C46" s="79"/>
      <c r="D46" s="79"/>
      <c r="E46" s="81"/>
      <c r="F46" s="81"/>
      <c r="G46" s="80"/>
    </row>
    <row r="47" spans="2:7" x14ac:dyDescent="0.45">
      <c r="B47" s="37">
        <v>44</v>
      </c>
      <c r="C47" s="79"/>
      <c r="D47" s="79"/>
      <c r="E47" s="81"/>
      <c r="F47" s="81"/>
      <c r="G47" s="80"/>
    </row>
    <row r="48" spans="2:7" x14ac:dyDescent="0.45">
      <c r="B48" s="37">
        <v>45</v>
      </c>
      <c r="C48" s="79"/>
      <c r="D48" s="79"/>
      <c r="E48" s="81"/>
      <c r="F48" s="81"/>
      <c r="G48" s="80"/>
    </row>
    <row r="49" spans="2:7" x14ac:dyDescent="0.45">
      <c r="B49" s="37">
        <v>46</v>
      </c>
      <c r="C49" s="79"/>
      <c r="D49" s="79"/>
      <c r="E49" s="81"/>
      <c r="F49" s="81"/>
      <c r="G49" s="80"/>
    </row>
    <row r="50" spans="2:7" x14ac:dyDescent="0.45">
      <c r="B50" s="37">
        <v>47</v>
      </c>
      <c r="C50" s="79"/>
      <c r="D50" s="79"/>
      <c r="E50" s="81"/>
      <c r="F50" s="81"/>
      <c r="G50" s="80"/>
    </row>
    <row r="51" spans="2:7" x14ac:dyDescent="0.45">
      <c r="B51" s="37">
        <v>48</v>
      </c>
      <c r="C51" s="79"/>
      <c r="D51" s="79"/>
      <c r="E51" s="81"/>
      <c r="F51" s="81"/>
      <c r="G51" s="80"/>
    </row>
    <row r="52" spans="2:7" x14ac:dyDescent="0.45">
      <c r="B52" s="37">
        <v>49</v>
      </c>
      <c r="C52" s="79"/>
      <c r="D52" s="79"/>
      <c r="E52" s="81"/>
      <c r="F52" s="81"/>
      <c r="G52" s="80"/>
    </row>
    <row r="53" spans="2:7" x14ac:dyDescent="0.45">
      <c r="B53" s="37">
        <v>50</v>
      </c>
      <c r="C53" s="79"/>
      <c r="D53" s="79"/>
      <c r="E53" s="81"/>
      <c r="F53" s="81"/>
      <c r="G53" s="80"/>
    </row>
    <row r="54" spans="2:7" ht="18.600000000000001" thickBot="1" x14ac:dyDescent="0.5">
      <c r="B54" s="82">
        <v>51</v>
      </c>
      <c r="C54" s="83"/>
      <c r="D54" s="83"/>
      <c r="E54" s="84"/>
      <c r="F54" s="84"/>
      <c r="G54" s="85"/>
    </row>
    <row r="55" spans="2:7" ht="18.600000000000001" thickTop="1" x14ac:dyDescent="0.45"/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V8"/>
  <sheetViews>
    <sheetView zoomScale="75" zoomScaleNormal="100" workbookViewId="0"/>
  </sheetViews>
  <sheetFormatPr defaultColWidth="7.796875" defaultRowHeight="13.2" x14ac:dyDescent="0.2"/>
  <cols>
    <col min="1" max="1" width="4.3984375" style="91" customWidth="1"/>
    <col min="2" max="2" width="3.796875" style="91" customWidth="1"/>
    <col min="3" max="3" width="4.296875" style="91" customWidth="1"/>
    <col min="4" max="4" width="9.59765625" style="91" customWidth="1"/>
    <col min="5" max="5" width="7.796875" style="91" customWidth="1"/>
    <col min="6" max="6" width="33.09765625" style="91" customWidth="1"/>
    <col min="7" max="10" width="5.59765625" style="91" customWidth="1"/>
    <col min="11" max="11" width="5.59765625" style="91" hidden="1" customWidth="1"/>
    <col min="12" max="12" width="8.19921875" style="91" customWidth="1"/>
    <col min="13" max="13" width="7.5" style="91" hidden="1" customWidth="1"/>
    <col min="14" max="14" width="8.19921875" style="91" customWidth="1"/>
    <col min="15" max="15" width="7.796875" style="91"/>
    <col min="16" max="16" width="5.3984375" style="91" customWidth="1"/>
    <col min="17" max="18" width="7.796875" style="91"/>
    <col min="19" max="19" width="7.796875" style="91" hidden="1" customWidth="1"/>
    <col min="20" max="20" width="7.796875" style="91"/>
    <col min="21" max="48" width="7.59765625" style="91" customWidth="1"/>
    <col min="49" max="256" width="7.796875" style="91"/>
    <col min="257" max="257" width="4.3984375" style="91" customWidth="1"/>
    <col min="258" max="258" width="3.796875" style="91" customWidth="1"/>
    <col min="259" max="259" width="4.296875" style="91" customWidth="1"/>
    <col min="260" max="260" width="9.59765625" style="91" customWidth="1"/>
    <col min="261" max="261" width="7.796875" style="91" customWidth="1"/>
    <col min="262" max="262" width="33.09765625" style="91" customWidth="1"/>
    <col min="263" max="266" width="5.59765625" style="91" customWidth="1"/>
    <col min="267" max="267" width="0" style="91" hidden="1" customWidth="1"/>
    <col min="268" max="268" width="8.19921875" style="91" customWidth="1"/>
    <col min="269" max="269" width="0" style="91" hidden="1" customWidth="1"/>
    <col min="270" max="270" width="8.19921875" style="91" customWidth="1"/>
    <col min="271" max="271" width="7.796875" style="91"/>
    <col min="272" max="272" width="5.3984375" style="91" customWidth="1"/>
    <col min="273" max="274" width="7.796875" style="91"/>
    <col min="275" max="275" width="0" style="91" hidden="1" customWidth="1"/>
    <col min="276" max="276" width="7.796875" style="91"/>
    <col min="277" max="304" width="7.59765625" style="91" customWidth="1"/>
    <col min="305" max="512" width="7.796875" style="91"/>
    <col min="513" max="513" width="4.3984375" style="91" customWidth="1"/>
    <col min="514" max="514" width="3.796875" style="91" customWidth="1"/>
    <col min="515" max="515" width="4.296875" style="91" customWidth="1"/>
    <col min="516" max="516" width="9.59765625" style="91" customWidth="1"/>
    <col min="517" max="517" width="7.796875" style="91" customWidth="1"/>
    <col min="518" max="518" width="33.09765625" style="91" customWidth="1"/>
    <col min="519" max="522" width="5.59765625" style="91" customWidth="1"/>
    <col min="523" max="523" width="0" style="91" hidden="1" customWidth="1"/>
    <col min="524" max="524" width="8.19921875" style="91" customWidth="1"/>
    <col min="525" max="525" width="0" style="91" hidden="1" customWidth="1"/>
    <col min="526" max="526" width="8.19921875" style="91" customWidth="1"/>
    <col min="527" max="527" width="7.796875" style="91"/>
    <col min="528" max="528" width="5.3984375" style="91" customWidth="1"/>
    <col min="529" max="530" width="7.796875" style="91"/>
    <col min="531" max="531" width="0" style="91" hidden="1" customWidth="1"/>
    <col min="532" max="532" width="7.796875" style="91"/>
    <col min="533" max="560" width="7.59765625" style="91" customWidth="1"/>
    <col min="561" max="768" width="7.796875" style="91"/>
    <col min="769" max="769" width="4.3984375" style="91" customWidth="1"/>
    <col min="770" max="770" width="3.796875" style="91" customWidth="1"/>
    <col min="771" max="771" width="4.296875" style="91" customWidth="1"/>
    <col min="772" max="772" width="9.59765625" style="91" customWidth="1"/>
    <col min="773" max="773" width="7.796875" style="91" customWidth="1"/>
    <col min="774" max="774" width="33.09765625" style="91" customWidth="1"/>
    <col min="775" max="778" width="5.59765625" style="91" customWidth="1"/>
    <col min="779" max="779" width="0" style="91" hidden="1" customWidth="1"/>
    <col min="780" max="780" width="8.19921875" style="91" customWidth="1"/>
    <col min="781" max="781" width="0" style="91" hidden="1" customWidth="1"/>
    <col min="782" max="782" width="8.19921875" style="91" customWidth="1"/>
    <col min="783" max="783" width="7.796875" style="91"/>
    <col min="784" max="784" width="5.3984375" style="91" customWidth="1"/>
    <col min="785" max="786" width="7.796875" style="91"/>
    <col min="787" max="787" width="0" style="91" hidden="1" customWidth="1"/>
    <col min="788" max="788" width="7.796875" style="91"/>
    <col min="789" max="816" width="7.59765625" style="91" customWidth="1"/>
    <col min="817" max="1024" width="7.796875" style="91"/>
    <col min="1025" max="1025" width="4.3984375" style="91" customWidth="1"/>
    <col min="1026" max="1026" width="3.796875" style="91" customWidth="1"/>
    <col min="1027" max="1027" width="4.296875" style="91" customWidth="1"/>
    <col min="1028" max="1028" width="9.59765625" style="91" customWidth="1"/>
    <col min="1029" max="1029" width="7.796875" style="91" customWidth="1"/>
    <col min="1030" max="1030" width="33.09765625" style="91" customWidth="1"/>
    <col min="1031" max="1034" width="5.59765625" style="91" customWidth="1"/>
    <col min="1035" max="1035" width="0" style="91" hidden="1" customWidth="1"/>
    <col min="1036" max="1036" width="8.19921875" style="91" customWidth="1"/>
    <col min="1037" max="1037" width="0" style="91" hidden="1" customWidth="1"/>
    <col min="1038" max="1038" width="8.19921875" style="91" customWidth="1"/>
    <col min="1039" max="1039" width="7.796875" style="91"/>
    <col min="1040" max="1040" width="5.3984375" style="91" customWidth="1"/>
    <col min="1041" max="1042" width="7.796875" style="91"/>
    <col min="1043" max="1043" width="0" style="91" hidden="1" customWidth="1"/>
    <col min="1044" max="1044" width="7.796875" style="91"/>
    <col min="1045" max="1072" width="7.59765625" style="91" customWidth="1"/>
    <col min="1073" max="1280" width="7.796875" style="91"/>
    <col min="1281" max="1281" width="4.3984375" style="91" customWidth="1"/>
    <col min="1282" max="1282" width="3.796875" style="91" customWidth="1"/>
    <col min="1283" max="1283" width="4.296875" style="91" customWidth="1"/>
    <col min="1284" max="1284" width="9.59765625" style="91" customWidth="1"/>
    <col min="1285" max="1285" width="7.796875" style="91" customWidth="1"/>
    <col min="1286" max="1286" width="33.09765625" style="91" customWidth="1"/>
    <col min="1287" max="1290" width="5.59765625" style="91" customWidth="1"/>
    <col min="1291" max="1291" width="0" style="91" hidden="1" customWidth="1"/>
    <col min="1292" max="1292" width="8.19921875" style="91" customWidth="1"/>
    <col min="1293" max="1293" width="0" style="91" hidden="1" customWidth="1"/>
    <col min="1294" max="1294" width="8.19921875" style="91" customWidth="1"/>
    <col min="1295" max="1295" width="7.796875" style="91"/>
    <col min="1296" max="1296" width="5.3984375" style="91" customWidth="1"/>
    <col min="1297" max="1298" width="7.796875" style="91"/>
    <col min="1299" max="1299" width="0" style="91" hidden="1" customWidth="1"/>
    <col min="1300" max="1300" width="7.796875" style="91"/>
    <col min="1301" max="1328" width="7.59765625" style="91" customWidth="1"/>
    <col min="1329" max="1536" width="7.796875" style="91"/>
    <col min="1537" max="1537" width="4.3984375" style="91" customWidth="1"/>
    <col min="1538" max="1538" width="3.796875" style="91" customWidth="1"/>
    <col min="1539" max="1539" width="4.296875" style="91" customWidth="1"/>
    <col min="1540" max="1540" width="9.59765625" style="91" customWidth="1"/>
    <col min="1541" max="1541" width="7.796875" style="91" customWidth="1"/>
    <col min="1542" max="1542" width="33.09765625" style="91" customWidth="1"/>
    <col min="1543" max="1546" width="5.59765625" style="91" customWidth="1"/>
    <col min="1547" max="1547" width="0" style="91" hidden="1" customWidth="1"/>
    <col min="1548" max="1548" width="8.19921875" style="91" customWidth="1"/>
    <col min="1549" max="1549" width="0" style="91" hidden="1" customWidth="1"/>
    <col min="1550" max="1550" width="8.19921875" style="91" customWidth="1"/>
    <col min="1551" max="1551" width="7.796875" style="91"/>
    <col min="1552" max="1552" width="5.3984375" style="91" customWidth="1"/>
    <col min="1553" max="1554" width="7.796875" style="91"/>
    <col min="1555" max="1555" width="0" style="91" hidden="1" customWidth="1"/>
    <col min="1556" max="1556" width="7.796875" style="91"/>
    <col min="1557" max="1584" width="7.59765625" style="91" customWidth="1"/>
    <col min="1585" max="1792" width="7.796875" style="91"/>
    <col min="1793" max="1793" width="4.3984375" style="91" customWidth="1"/>
    <col min="1794" max="1794" width="3.796875" style="91" customWidth="1"/>
    <col min="1795" max="1795" width="4.296875" style="91" customWidth="1"/>
    <col min="1796" max="1796" width="9.59765625" style="91" customWidth="1"/>
    <col min="1797" max="1797" width="7.796875" style="91" customWidth="1"/>
    <col min="1798" max="1798" width="33.09765625" style="91" customWidth="1"/>
    <col min="1799" max="1802" width="5.59765625" style="91" customWidth="1"/>
    <col min="1803" max="1803" width="0" style="91" hidden="1" customWidth="1"/>
    <col min="1804" max="1804" width="8.19921875" style="91" customWidth="1"/>
    <col min="1805" max="1805" width="0" style="91" hidden="1" customWidth="1"/>
    <col min="1806" max="1806" width="8.19921875" style="91" customWidth="1"/>
    <col min="1807" max="1807" width="7.796875" style="91"/>
    <col min="1808" max="1808" width="5.3984375" style="91" customWidth="1"/>
    <col min="1809" max="1810" width="7.796875" style="91"/>
    <col min="1811" max="1811" width="0" style="91" hidden="1" customWidth="1"/>
    <col min="1812" max="1812" width="7.796875" style="91"/>
    <col min="1813" max="1840" width="7.59765625" style="91" customWidth="1"/>
    <col min="1841" max="2048" width="7.796875" style="91"/>
    <col min="2049" max="2049" width="4.3984375" style="91" customWidth="1"/>
    <col min="2050" max="2050" width="3.796875" style="91" customWidth="1"/>
    <col min="2051" max="2051" width="4.296875" style="91" customWidth="1"/>
    <col min="2052" max="2052" width="9.59765625" style="91" customWidth="1"/>
    <col min="2053" max="2053" width="7.796875" style="91" customWidth="1"/>
    <col min="2054" max="2054" width="33.09765625" style="91" customWidth="1"/>
    <col min="2055" max="2058" width="5.59765625" style="91" customWidth="1"/>
    <col min="2059" max="2059" width="0" style="91" hidden="1" customWidth="1"/>
    <col min="2060" max="2060" width="8.19921875" style="91" customWidth="1"/>
    <col min="2061" max="2061" width="0" style="91" hidden="1" customWidth="1"/>
    <col min="2062" max="2062" width="8.19921875" style="91" customWidth="1"/>
    <col min="2063" max="2063" width="7.796875" style="91"/>
    <col min="2064" max="2064" width="5.3984375" style="91" customWidth="1"/>
    <col min="2065" max="2066" width="7.796875" style="91"/>
    <col min="2067" max="2067" width="0" style="91" hidden="1" customWidth="1"/>
    <col min="2068" max="2068" width="7.796875" style="91"/>
    <col min="2069" max="2096" width="7.59765625" style="91" customWidth="1"/>
    <col min="2097" max="2304" width="7.796875" style="91"/>
    <col min="2305" max="2305" width="4.3984375" style="91" customWidth="1"/>
    <col min="2306" max="2306" width="3.796875" style="91" customWidth="1"/>
    <col min="2307" max="2307" width="4.296875" style="91" customWidth="1"/>
    <col min="2308" max="2308" width="9.59765625" style="91" customWidth="1"/>
    <col min="2309" max="2309" width="7.796875" style="91" customWidth="1"/>
    <col min="2310" max="2310" width="33.09765625" style="91" customWidth="1"/>
    <col min="2311" max="2314" width="5.59765625" style="91" customWidth="1"/>
    <col min="2315" max="2315" width="0" style="91" hidden="1" customWidth="1"/>
    <col min="2316" max="2316" width="8.19921875" style="91" customWidth="1"/>
    <col min="2317" max="2317" width="0" style="91" hidden="1" customWidth="1"/>
    <col min="2318" max="2318" width="8.19921875" style="91" customWidth="1"/>
    <col min="2319" max="2319" width="7.796875" style="91"/>
    <col min="2320" max="2320" width="5.3984375" style="91" customWidth="1"/>
    <col min="2321" max="2322" width="7.796875" style="91"/>
    <col min="2323" max="2323" width="0" style="91" hidden="1" customWidth="1"/>
    <col min="2324" max="2324" width="7.796875" style="91"/>
    <col min="2325" max="2352" width="7.59765625" style="91" customWidth="1"/>
    <col min="2353" max="2560" width="7.796875" style="91"/>
    <col min="2561" max="2561" width="4.3984375" style="91" customWidth="1"/>
    <col min="2562" max="2562" width="3.796875" style="91" customWidth="1"/>
    <col min="2563" max="2563" width="4.296875" style="91" customWidth="1"/>
    <col min="2564" max="2564" width="9.59765625" style="91" customWidth="1"/>
    <col min="2565" max="2565" width="7.796875" style="91" customWidth="1"/>
    <col min="2566" max="2566" width="33.09765625" style="91" customWidth="1"/>
    <col min="2567" max="2570" width="5.59765625" style="91" customWidth="1"/>
    <col min="2571" max="2571" width="0" style="91" hidden="1" customWidth="1"/>
    <col min="2572" max="2572" width="8.19921875" style="91" customWidth="1"/>
    <col min="2573" max="2573" width="0" style="91" hidden="1" customWidth="1"/>
    <col min="2574" max="2574" width="8.19921875" style="91" customWidth="1"/>
    <col min="2575" max="2575" width="7.796875" style="91"/>
    <col min="2576" max="2576" width="5.3984375" style="91" customWidth="1"/>
    <col min="2577" max="2578" width="7.796875" style="91"/>
    <col min="2579" max="2579" width="0" style="91" hidden="1" customWidth="1"/>
    <col min="2580" max="2580" width="7.796875" style="91"/>
    <col min="2581" max="2608" width="7.59765625" style="91" customWidth="1"/>
    <col min="2609" max="2816" width="7.796875" style="91"/>
    <col min="2817" max="2817" width="4.3984375" style="91" customWidth="1"/>
    <col min="2818" max="2818" width="3.796875" style="91" customWidth="1"/>
    <col min="2819" max="2819" width="4.296875" style="91" customWidth="1"/>
    <col min="2820" max="2820" width="9.59765625" style="91" customWidth="1"/>
    <col min="2821" max="2821" width="7.796875" style="91" customWidth="1"/>
    <col min="2822" max="2822" width="33.09765625" style="91" customWidth="1"/>
    <col min="2823" max="2826" width="5.59765625" style="91" customWidth="1"/>
    <col min="2827" max="2827" width="0" style="91" hidden="1" customWidth="1"/>
    <col min="2828" max="2828" width="8.19921875" style="91" customWidth="1"/>
    <col min="2829" max="2829" width="0" style="91" hidden="1" customWidth="1"/>
    <col min="2830" max="2830" width="8.19921875" style="91" customWidth="1"/>
    <col min="2831" max="2831" width="7.796875" style="91"/>
    <col min="2832" max="2832" width="5.3984375" style="91" customWidth="1"/>
    <col min="2833" max="2834" width="7.796875" style="91"/>
    <col min="2835" max="2835" width="0" style="91" hidden="1" customWidth="1"/>
    <col min="2836" max="2836" width="7.796875" style="91"/>
    <col min="2837" max="2864" width="7.59765625" style="91" customWidth="1"/>
    <col min="2865" max="3072" width="7.796875" style="91"/>
    <col min="3073" max="3073" width="4.3984375" style="91" customWidth="1"/>
    <col min="3074" max="3074" width="3.796875" style="91" customWidth="1"/>
    <col min="3075" max="3075" width="4.296875" style="91" customWidth="1"/>
    <col min="3076" max="3076" width="9.59765625" style="91" customWidth="1"/>
    <col min="3077" max="3077" width="7.796875" style="91" customWidth="1"/>
    <col min="3078" max="3078" width="33.09765625" style="91" customWidth="1"/>
    <col min="3079" max="3082" width="5.59765625" style="91" customWidth="1"/>
    <col min="3083" max="3083" width="0" style="91" hidden="1" customWidth="1"/>
    <col min="3084" max="3084" width="8.19921875" style="91" customWidth="1"/>
    <col min="3085" max="3085" width="0" style="91" hidden="1" customWidth="1"/>
    <col min="3086" max="3086" width="8.19921875" style="91" customWidth="1"/>
    <col min="3087" max="3087" width="7.796875" style="91"/>
    <col min="3088" max="3088" width="5.3984375" style="91" customWidth="1"/>
    <col min="3089" max="3090" width="7.796875" style="91"/>
    <col min="3091" max="3091" width="0" style="91" hidden="1" customWidth="1"/>
    <col min="3092" max="3092" width="7.796875" style="91"/>
    <col min="3093" max="3120" width="7.59765625" style="91" customWidth="1"/>
    <col min="3121" max="3328" width="7.796875" style="91"/>
    <col min="3329" max="3329" width="4.3984375" style="91" customWidth="1"/>
    <col min="3330" max="3330" width="3.796875" style="91" customWidth="1"/>
    <col min="3331" max="3331" width="4.296875" style="91" customWidth="1"/>
    <col min="3332" max="3332" width="9.59765625" style="91" customWidth="1"/>
    <col min="3333" max="3333" width="7.796875" style="91" customWidth="1"/>
    <col min="3334" max="3334" width="33.09765625" style="91" customWidth="1"/>
    <col min="3335" max="3338" width="5.59765625" style="91" customWidth="1"/>
    <col min="3339" max="3339" width="0" style="91" hidden="1" customWidth="1"/>
    <col min="3340" max="3340" width="8.19921875" style="91" customWidth="1"/>
    <col min="3341" max="3341" width="0" style="91" hidden="1" customWidth="1"/>
    <col min="3342" max="3342" width="8.19921875" style="91" customWidth="1"/>
    <col min="3343" max="3343" width="7.796875" style="91"/>
    <col min="3344" max="3344" width="5.3984375" style="91" customWidth="1"/>
    <col min="3345" max="3346" width="7.796875" style="91"/>
    <col min="3347" max="3347" width="0" style="91" hidden="1" customWidth="1"/>
    <col min="3348" max="3348" width="7.796875" style="91"/>
    <col min="3349" max="3376" width="7.59765625" style="91" customWidth="1"/>
    <col min="3377" max="3584" width="7.796875" style="91"/>
    <col min="3585" max="3585" width="4.3984375" style="91" customWidth="1"/>
    <col min="3586" max="3586" width="3.796875" style="91" customWidth="1"/>
    <col min="3587" max="3587" width="4.296875" style="91" customWidth="1"/>
    <col min="3588" max="3588" width="9.59765625" style="91" customWidth="1"/>
    <col min="3589" max="3589" width="7.796875" style="91" customWidth="1"/>
    <col min="3590" max="3590" width="33.09765625" style="91" customWidth="1"/>
    <col min="3591" max="3594" width="5.59765625" style="91" customWidth="1"/>
    <col min="3595" max="3595" width="0" style="91" hidden="1" customWidth="1"/>
    <col min="3596" max="3596" width="8.19921875" style="91" customWidth="1"/>
    <col min="3597" max="3597" width="0" style="91" hidden="1" customWidth="1"/>
    <col min="3598" max="3598" width="8.19921875" style="91" customWidth="1"/>
    <col min="3599" max="3599" width="7.796875" style="91"/>
    <col min="3600" max="3600" width="5.3984375" style="91" customWidth="1"/>
    <col min="3601" max="3602" width="7.796875" style="91"/>
    <col min="3603" max="3603" width="0" style="91" hidden="1" customWidth="1"/>
    <col min="3604" max="3604" width="7.796875" style="91"/>
    <col min="3605" max="3632" width="7.59765625" style="91" customWidth="1"/>
    <col min="3633" max="3840" width="7.796875" style="91"/>
    <col min="3841" max="3841" width="4.3984375" style="91" customWidth="1"/>
    <col min="3842" max="3842" width="3.796875" style="91" customWidth="1"/>
    <col min="3843" max="3843" width="4.296875" style="91" customWidth="1"/>
    <col min="3844" max="3844" width="9.59765625" style="91" customWidth="1"/>
    <col min="3845" max="3845" width="7.796875" style="91" customWidth="1"/>
    <col min="3846" max="3846" width="33.09765625" style="91" customWidth="1"/>
    <col min="3847" max="3850" width="5.59765625" style="91" customWidth="1"/>
    <col min="3851" max="3851" width="0" style="91" hidden="1" customWidth="1"/>
    <col min="3852" max="3852" width="8.19921875" style="91" customWidth="1"/>
    <col min="3853" max="3853" width="0" style="91" hidden="1" customWidth="1"/>
    <col min="3854" max="3854" width="8.19921875" style="91" customWidth="1"/>
    <col min="3855" max="3855" width="7.796875" style="91"/>
    <col min="3856" max="3856" width="5.3984375" style="91" customWidth="1"/>
    <col min="3857" max="3858" width="7.796875" style="91"/>
    <col min="3859" max="3859" width="0" style="91" hidden="1" customWidth="1"/>
    <col min="3860" max="3860" width="7.796875" style="91"/>
    <col min="3861" max="3888" width="7.59765625" style="91" customWidth="1"/>
    <col min="3889" max="4096" width="7.796875" style="91"/>
    <col min="4097" max="4097" width="4.3984375" style="91" customWidth="1"/>
    <col min="4098" max="4098" width="3.796875" style="91" customWidth="1"/>
    <col min="4099" max="4099" width="4.296875" style="91" customWidth="1"/>
    <col min="4100" max="4100" width="9.59765625" style="91" customWidth="1"/>
    <col min="4101" max="4101" width="7.796875" style="91" customWidth="1"/>
    <col min="4102" max="4102" width="33.09765625" style="91" customWidth="1"/>
    <col min="4103" max="4106" width="5.59765625" style="91" customWidth="1"/>
    <col min="4107" max="4107" width="0" style="91" hidden="1" customWidth="1"/>
    <col min="4108" max="4108" width="8.19921875" style="91" customWidth="1"/>
    <col min="4109" max="4109" width="0" style="91" hidden="1" customWidth="1"/>
    <col min="4110" max="4110" width="8.19921875" style="91" customWidth="1"/>
    <col min="4111" max="4111" width="7.796875" style="91"/>
    <col min="4112" max="4112" width="5.3984375" style="91" customWidth="1"/>
    <col min="4113" max="4114" width="7.796875" style="91"/>
    <col min="4115" max="4115" width="0" style="91" hidden="1" customWidth="1"/>
    <col min="4116" max="4116" width="7.796875" style="91"/>
    <col min="4117" max="4144" width="7.59765625" style="91" customWidth="1"/>
    <col min="4145" max="4352" width="7.796875" style="91"/>
    <col min="4353" max="4353" width="4.3984375" style="91" customWidth="1"/>
    <col min="4354" max="4354" width="3.796875" style="91" customWidth="1"/>
    <col min="4355" max="4355" width="4.296875" style="91" customWidth="1"/>
    <col min="4356" max="4356" width="9.59765625" style="91" customWidth="1"/>
    <col min="4357" max="4357" width="7.796875" style="91" customWidth="1"/>
    <col min="4358" max="4358" width="33.09765625" style="91" customWidth="1"/>
    <col min="4359" max="4362" width="5.59765625" style="91" customWidth="1"/>
    <col min="4363" max="4363" width="0" style="91" hidden="1" customWidth="1"/>
    <col min="4364" max="4364" width="8.19921875" style="91" customWidth="1"/>
    <col min="4365" max="4365" width="0" style="91" hidden="1" customWidth="1"/>
    <col min="4366" max="4366" width="8.19921875" style="91" customWidth="1"/>
    <col min="4367" max="4367" width="7.796875" style="91"/>
    <col min="4368" max="4368" width="5.3984375" style="91" customWidth="1"/>
    <col min="4369" max="4370" width="7.796875" style="91"/>
    <col min="4371" max="4371" width="0" style="91" hidden="1" customWidth="1"/>
    <col min="4372" max="4372" width="7.796875" style="91"/>
    <col min="4373" max="4400" width="7.59765625" style="91" customWidth="1"/>
    <col min="4401" max="4608" width="7.796875" style="91"/>
    <col min="4609" max="4609" width="4.3984375" style="91" customWidth="1"/>
    <col min="4610" max="4610" width="3.796875" style="91" customWidth="1"/>
    <col min="4611" max="4611" width="4.296875" style="91" customWidth="1"/>
    <col min="4612" max="4612" width="9.59765625" style="91" customWidth="1"/>
    <col min="4613" max="4613" width="7.796875" style="91" customWidth="1"/>
    <col min="4614" max="4614" width="33.09765625" style="91" customWidth="1"/>
    <col min="4615" max="4618" width="5.59765625" style="91" customWidth="1"/>
    <col min="4619" max="4619" width="0" style="91" hidden="1" customWidth="1"/>
    <col min="4620" max="4620" width="8.19921875" style="91" customWidth="1"/>
    <col min="4621" max="4621" width="0" style="91" hidden="1" customWidth="1"/>
    <col min="4622" max="4622" width="8.19921875" style="91" customWidth="1"/>
    <col min="4623" max="4623" width="7.796875" style="91"/>
    <col min="4624" max="4624" width="5.3984375" style="91" customWidth="1"/>
    <col min="4625" max="4626" width="7.796875" style="91"/>
    <col min="4627" max="4627" width="0" style="91" hidden="1" customWidth="1"/>
    <col min="4628" max="4628" width="7.796875" style="91"/>
    <col min="4629" max="4656" width="7.59765625" style="91" customWidth="1"/>
    <col min="4657" max="4864" width="7.796875" style="91"/>
    <col min="4865" max="4865" width="4.3984375" style="91" customWidth="1"/>
    <col min="4866" max="4866" width="3.796875" style="91" customWidth="1"/>
    <col min="4867" max="4867" width="4.296875" style="91" customWidth="1"/>
    <col min="4868" max="4868" width="9.59765625" style="91" customWidth="1"/>
    <col min="4869" max="4869" width="7.796875" style="91" customWidth="1"/>
    <col min="4870" max="4870" width="33.09765625" style="91" customWidth="1"/>
    <col min="4871" max="4874" width="5.59765625" style="91" customWidth="1"/>
    <col min="4875" max="4875" width="0" style="91" hidden="1" customWidth="1"/>
    <col min="4876" max="4876" width="8.19921875" style="91" customWidth="1"/>
    <col min="4877" max="4877" width="0" style="91" hidden="1" customWidth="1"/>
    <col min="4878" max="4878" width="8.19921875" style="91" customWidth="1"/>
    <col min="4879" max="4879" width="7.796875" style="91"/>
    <col min="4880" max="4880" width="5.3984375" style="91" customWidth="1"/>
    <col min="4881" max="4882" width="7.796875" style="91"/>
    <col min="4883" max="4883" width="0" style="91" hidden="1" customWidth="1"/>
    <col min="4884" max="4884" width="7.796875" style="91"/>
    <col min="4885" max="4912" width="7.59765625" style="91" customWidth="1"/>
    <col min="4913" max="5120" width="7.796875" style="91"/>
    <col min="5121" max="5121" width="4.3984375" style="91" customWidth="1"/>
    <col min="5122" max="5122" width="3.796875" style="91" customWidth="1"/>
    <col min="5123" max="5123" width="4.296875" style="91" customWidth="1"/>
    <col min="5124" max="5124" width="9.59765625" style="91" customWidth="1"/>
    <col min="5125" max="5125" width="7.796875" style="91" customWidth="1"/>
    <col min="5126" max="5126" width="33.09765625" style="91" customWidth="1"/>
    <col min="5127" max="5130" width="5.59765625" style="91" customWidth="1"/>
    <col min="5131" max="5131" width="0" style="91" hidden="1" customWidth="1"/>
    <col min="5132" max="5132" width="8.19921875" style="91" customWidth="1"/>
    <col min="5133" max="5133" width="0" style="91" hidden="1" customWidth="1"/>
    <col min="5134" max="5134" width="8.19921875" style="91" customWidth="1"/>
    <col min="5135" max="5135" width="7.796875" style="91"/>
    <col min="5136" max="5136" width="5.3984375" style="91" customWidth="1"/>
    <col min="5137" max="5138" width="7.796875" style="91"/>
    <col min="5139" max="5139" width="0" style="91" hidden="1" customWidth="1"/>
    <col min="5140" max="5140" width="7.796875" style="91"/>
    <col min="5141" max="5168" width="7.59765625" style="91" customWidth="1"/>
    <col min="5169" max="5376" width="7.796875" style="91"/>
    <col min="5377" max="5377" width="4.3984375" style="91" customWidth="1"/>
    <col min="5378" max="5378" width="3.796875" style="91" customWidth="1"/>
    <col min="5379" max="5379" width="4.296875" style="91" customWidth="1"/>
    <col min="5380" max="5380" width="9.59765625" style="91" customWidth="1"/>
    <col min="5381" max="5381" width="7.796875" style="91" customWidth="1"/>
    <col min="5382" max="5382" width="33.09765625" style="91" customWidth="1"/>
    <col min="5383" max="5386" width="5.59765625" style="91" customWidth="1"/>
    <col min="5387" max="5387" width="0" style="91" hidden="1" customWidth="1"/>
    <col min="5388" max="5388" width="8.19921875" style="91" customWidth="1"/>
    <col min="5389" max="5389" width="0" style="91" hidden="1" customWidth="1"/>
    <col min="5390" max="5390" width="8.19921875" style="91" customWidth="1"/>
    <col min="5391" max="5391" width="7.796875" style="91"/>
    <col min="5392" max="5392" width="5.3984375" style="91" customWidth="1"/>
    <col min="5393" max="5394" width="7.796875" style="91"/>
    <col min="5395" max="5395" width="0" style="91" hidden="1" customWidth="1"/>
    <col min="5396" max="5396" width="7.796875" style="91"/>
    <col min="5397" max="5424" width="7.59765625" style="91" customWidth="1"/>
    <col min="5425" max="5632" width="7.796875" style="91"/>
    <col min="5633" max="5633" width="4.3984375" style="91" customWidth="1"/>
    <col min="5634" max="5634" width="3.796875" style="91" customWidth="1"/>
    <col min="5635" max="5635" width="4.296875" style="91" customWidth="1"/>
    <col min="5636" max="5636" width="9.59765625" style="91" customWidth="1"/>
    <col min="5637" max="5637" width="7.796875" style="91" customWidth="1"/>
    <col min="5638" max="5638" width="33.09765625" style="91" customWidth="1"/>
    <col min="5639" max="5642" width="5.59765625" style="91" customWidth="1"/>
    <col min="5643" max="5643" width="0" style="91" hidden="1" customWidth="1"/>
    <col min="5644" max="5644" width="8.19921875" style="91" customWidth="1"/>
    <col min="5645" max="5645" width="0" style="91" hidden="1" customWidth="1"/>
    <col min="5646" max="5646" width="8.19921875" style="91" customWidth="1"/>
    <col min="5647" max="5647" width="7.796875" style="91"/>
    <col min="5648" max="5648" width="5.3984375" style="91" customWidth="1"/>
    <col min="5649" max="5650" width="7.796875" style="91"/>
    <col min="5651" max="5651" width="0" style="91" hidden="1" customWidth="1"/>
    <col min="5652" max="5652" width="7.796875" style="91"/>
    <col min="5653" max="5680" width="7.59765625" style="91" customWidth="1"/>
    <col min="5681" max="5888" width="7.796875" style="91"/>
    <col min="5889" max="5889" width="4.3984375" style="91" customWidth="1"/>
    <col min="5890" max="5890" width="3.796875" style="91" customWidth="1"/>
    <col min="5891" max="5891" width="4.296875" style="91" customWidth="1"/>
    <col min="5892" max="5892" width="9.59765625" style="91" customWidth="1"/>
    <col min="5893" max="5893" width="7.796875" style="91" customWidth="1"/>
    <col min="5894" max="5894" width="33.09765625" style="91" customWidth="1"/>
    <col min="5895" max="5898" width="5.59765625" style="91" customWidth="1"/>
    <col min="5899" max="5899" width="0" style="91" hidden="1" customWidth="1"/>
    <col min="5900" max="5900" width="8.19921875" style="91" customWidth="1"/>
    <col min="5901" max="5901" width="0" style="91" hidden="1" customWidth="1"/>
    <col min="5902" max="5902" width="8.19921875" style="91" customWidth="1"/>
    <col min="5903" max="5903" width="7.796875" style="91"/>
    <col min="5904" max="5904" width="5.3984375" style="91" customWidth="1"/>
    <col min="5905" max="5906" width="7.796875" style="91"/>
    <col min="5907" max="5907" width="0" style="91" hidden="1" customWidth="1"/>
    <col min="5908" max="5908" width="7.796875" style="91"/>
    <col min="5909" max="5936" width="7.59765625" style="91" customWidth="1"/>
    <col min="5937" max="6144" width="7.796875" style="91"/>
    <col min="6145" max="6145" width="4.3984375" style="91" customWidth="1"/>
    <col min="6146" max="6146" width="3.796875" style="91" customWidth="1"/>
    <col min="6147" max="6147" width="4.296875" style="91" customWidth="1"/>
    <col min="6148" max="6148" width="9.59765625" style="91" customWidth="1"/>
    <col min="6149" max="6149" width="7.796875" style="91" customWidth="1"/>
    <col min="6150" max="6150" width="33.09765625" style="91" customWidth="1"/>
    <col min="6151" max="6154" width="5.59765625" style="91" customWidth="1"/>
    <col min="6155" max="6155" width="0" style="91" hidden="1" customWidth="1"/>
    <col min="6156" max="6156" width="8.19921875" style="91" customWidth="1"/>
    <col min="6157" max="6157" width="0" style="91" hidden="1" customWidth="1"/>
    <col min="6158" max="6158" width="8.19921875" style="91" customWidth="1"/>
    <col min="6159" max="6159" width="7.796875" style="91"/>
    <col min="6160" max="6160" width="5.3984375" style="91" customWidth="1"/>
    <col min="6161" max="6162" width="7.796875" style="91"/>
    <col min="6163" max="6163" width="0" style="91" hidden="1" customWidth="1"/>
    <col min="6164" max="6164" width="7.796875" style="91"/>
    <col min="6165" max="6192" width="7.59765625" style="91" customWidth="1"/>
    <col min="6193" max="6400" width="7.796875" style="91"/>
    <col min="6401" max="6401" width="4.3984375" style="91" customWidth="1"/>
    <col min="6402" max="6402" width="3.796875" style="91" customWidth="1"/>
    <col min="6403" max="6403" width="4.296875" style="91" customWidth="1"/>
    <col min="6404" max="6404" width="9.59765625" style="91" customWidth="1"/>
    <col min="6405" max="6405" width="7.796875" style="91" customWidth="1"/>
    <col min="6406" max="6406" width="33.09765625" style="91" customWidth="1"/>
    <col min="6407" max="6410" width="5.59765625" style="91" customWidth="1"/>
    <col min="6411" max="6411" width="0" style="91" hidden="1" customWidth="1"/>
    <col min="6412" max="6412" width="8.19921875" style="91" customWidth="1"/>
    <col min="6413" max="6413" width="0" style="91" hidden="1" customWidth="1"/>
    <col min="6414" max="6414" width="8.19921875" style="91" customWidth="1"/>
    <col min="6415" max="6415" width="7.796875" style="91"/>
    <col min="6416" max="6416" width="5.3984375" style="91" customWidth="1"/>
    <col min="6417" max="6418" width="7.796875" style="91"/>
    <col min="6419" max="6419" width="0" style="91" hidden="1" customWidth="1"/>
    <col min="6420" max="6420" width="7.796875" style="91"/>
    <col min="6421" max="6448" width="7.59765625" style="91" customWidth="1"/>
    <col min="6449" max="6656" width="7.796875" style="91"/>
    <col min="6657" max="6657" width="4.3984375" style="91" customWidth="1"/>
    <col min="6658" max="6658" width="3.796875" style="91" customWidth="1"/>
    <col min="6659" max="6659" width="4.296875" style="91" customWidth="1"/>
    <col min="6660" max="6660" width="9.59765625" style="91" customWidth="1"/>
    <col min="6661" max="6661" width="7.796875" style="91" customWidth="1"/>
    <col min="6662" max="6662" width="33.09765625" style="91" customWidth="1"/>
    <col min="6663" max="6666" width="5.59765625" style="91" customWidth="1"/>
    <col min="6667" max="6667" width="0" style="91" hidden="1" customWidth="1"/>
    <col min="6668" max="6668" width="8.19921875" style="91" customWidth="1"/>
    <col min="6669" max="6669" width="0" style="91" hidden="1" customWidth="1"/>
    <col min="6670" max="6670" width="8.19921875" style="91" customWidth="1"/>
    <col min="6671" max="6671" width="7.796875" style="91"/>
    <col min="6672" max="6672" width="5.3984375" style="91" customWidth="1"/>
    <col min="6673" max="6674" width="7.796875" style="91"/>
    <col min="6675" max="6675" width="0" style="91" hidden="1" customWidth="1"/>
    <col min="6676" max="6676" width="7.796875" style="91"/>
    <col min="6677" max="6704" width="7.59765625" style="91" customWidth="1"/>
    <col min="6705" max="6912" width="7.796875" style="91"/>
    <col min="6913" max="6913" width="4.3984375" style="91" customWidth="1"/>
    <col min="6914" max="6914" width="3.796875" style="91" customWidth="1"/>
    <col min="6915" max="6915" width="4.296875" style="91" customWidth="1"/>
    <col min="6916" max="6916" width="9.59765625" style="91" customWidth="1"/>
    <col min="6917" max="6917" width="7.796875" style="91" customWidth="1"/>
    <col min="6918" max="6918" width="33.09765625" style="91" customWidth="1"/>
    <col min="6919" max="6922" width="5.59765625" style="91" customWidth="1"/>
    <col min="6923" max="6923" width="0" style="91" hidden="1" customWidth="1"/>
    <col min="6924" max="6924" width="8.19921875" style="91" customWidth="1"/>
    <col min="6925" max="6925" width="0" style="91" hidden="1" customWidth="1"/>
    <col min="6926" max="6926" width="8.19921875" style="91" customWidth="1"/>
    <col min="6927" max="6927" width="7.796875" style="91"/>
    <col min="6928" max="6928" width="5.3984375" style="91" customWidth="1"/>
    <col min="6929" max="6930" width="7.796875" style="91"/>
    <col min="6931" max="6931" width="0" style="91" hidden="1" customWidth="1"/>
    <col min="6932" max="6932" width="7.796875" style="91"/>
    <col min="6933" max="6960" width="7.59765625" style="91" customWidth="1"/>
    <col min="6961" max="7168" width="7.796875" style="91"/>
    <col min="7169" max="7169" width="4.3984375" style="91" customWidth="1"/>
    <col min="7170" max="7170" width="3.796875" style="91" customWidth="1"/>
    <col min="7171" max="7171" width="4.296875" style="91" customWidth="1"/>
    <col min="7172" max="7172" width="9.59765625" style="91" customWidth="1"/>
    <col min="7173" max="7173" width="7.796875" style="91" customWidth="1"/>
    <col min="7174" max="7174" width="33.09765625" style="91" customWidth="1"/>
    <col min="7175" max="7178" width="5.59765625" style="91" customWidth="1"/>
    <col min="7179" max="7179" width="0" style="91" hidden="1" customWidth="1"/>
    <col min="7180" max="7180" width="8.19921875" style="91" customWidth="1"/>
    <col min="7181" max="7181" width="0" style="91" hidden="1" customWidth="1"/>
    <col min="7182" max="7182" width="8.19921875" style="91" customWidth="1"/>
    <col min="7183" max="7183" width="7.796875" style="91"/>
    <col min="7184" max="7184" width="5.3984375" style="91" customWidth="1"/>
    <col min="7185" max="7186" width="7.796875" style="91"/>
    <col min="7187" max="7187" width="0" style="91" hidden="1" customWidth="1"/>
    <col min="7188" max="7188" width="7.796875" style="91"/>
    <col min="7189" max="7216" width="7.59765625" style="91" customWidth="1"/>
    <col min="7217" max="7424" width="7.796875" style="91"/>
    <col min="7425" max="7425" width="4.3984375" style="91" customWidth="1"/>
    <col min="7426" max="7426" width="3.796875" style="91" customWidth="1"/>
    <col min="7427" max="7427" width="4.296875" style="91" customWidth="1"/>
    <col min="7428" max="7428" width="9.59765625" style="91" customWidth="1"/>
    <col min="7429" max="7429" width="7.796875" style="91" customWidth="1"/>
    <col min="7430" max="7430" width="33.09765625" style="91" customWidth="1"/>
    <col min="7431" max="7434" width="5.59765625" style="91" customWidth="1"/>
    <col min="7435" max="7435" width="0" style="91" hidden="1" customWidth="1"/>
    <col min="7436" max="7436" width="8.19921875" style="91" customWidth="1"/>
    <col min="7437" max="7437" width="0" style="91" hidden="1" customWidth="1"/>
    <col min="7438" max="7438" width="8.19921875" style="91" customWidth="1"/>
    <col min="7439" max="7439" width="7.796875" style="91"/>
    <col min="7440" max="7440" width="5.3984375" style="91" customWidth="1"/>
    <col min="7441" max="7442" width="7.796875" style="91"/>
    <col min="7443" max="7443" width="0" style="91" hidden="1" customWidth="1"/>
    <col min="7444" max="7444" width="7.796875" style="91"/>
    <col min="7445" max="7472" width="7.59765625" style="91" customWidth="1"/>
    <col min="7473" max="7680" width="7.796875" style="91"/>
    <col min="7681" max="7681" width="4.3984375" style="91" customWidth="1"/>
    <col min="7682" max="7682" width="3.796875" style="91" customWidth="1"/>
    <col min="7683" max="7683" width="4.296875" style="91" customWidth="1"/>
    <col min="7684" max="7684" width="9.59765625" style="91" customWidth="1"/>
    <col min="7685" max="7685" width="7.796875" style="91" customWidth="1"/>
    <col min="7686" max="7686" width="33.09765625" style="91" customWidth="1"/>
    <col min="7687" max="7690" width="5.59765625" style="91" customWidth="1"/>
    <col min="7691" max="7691" width="0" style="91" hidden="1" customWidth="1"/>
    <col min="7692" max="7692" width="8.19921875" style="91" customWidth="1"/>
    <col min="7693" max="7693" width="0" style="91" hidden="1" customWidth="1"/>
    <col min="7694" max="7694" width="8.19921875" style="91" customWidth="1"/>
    <col min="7695" max="7695" width="7.796875" style="91"/>
    <col min="7696" max="7696" width="5.3984375" style="91" customWidth="1"/>
    <col min="7697" max="7698" width="7.796875" style="91"/>
    <col min="7699" max="7699" width="0" style="91" hidden="1" customWidth="1"/>
    <col min="7700" max="7700" width="7.796875" style="91"/>
    <col min="7701" max="7728" width="7.59765625" style="91" customWidth="1"/>
    <col min="7729" max="7936" width="7.796875" style="91"/>
    <col min="7937" max="7937" width="4.3984375" style="91" customWidth="1"/>
    <col min="7938" max="7938" width="3.796875" style="91" customWidth="1"/>
    <col min="7939" max="7939" width="4.296875" style="91" customWidth="1"/>
    <col min="7940" max="7940" width="9.59765625" style="91" customWidth="1"/>
    <col min="7941" max="7941" width="7.796875" style="91" customWidth="1"/>
    <col min="7942" max="7942" width="33.09765625" style="91" customWidth="1"/>
    <col min="7943" max="7946" width="5.59765625" style="91" customWidth="1"/>
    <col min="7947" max="7947" width="0" style="91" hidden="1" customWidth="1"/>
    <col min="7948" max="7948" width="8.19921875" style="91" customWidth="1"/>
    <col min="7949" max="7949" width="0" style="91" hidden="1" customWidth="1"/>
    <col min="7950" max="7950" width="8.19921875" style="91" customWidth="1"/>
    <col min="7951" max="7951" width="7.796875" style="91"/>
    <col min="7952" max="7952" width="5.3984375" style="91" customWidth="1"/>
    <col min="7953" max="7954" width="7.796875" style="91"/>
    <col min="7955" max="7955" width="0" style="91" hidden="1" customWidth="1"/>
    <col min="7956" max="7956" width="7.796875" style="91"/>
    <col min="7957" max="7984" width="7.59765625" style="91" customWidth="1"/>
    <col min="7985" max="8192" width="7.796875" style="91"/>
    <col min="8193" max="8193" width="4.3984375" style="91" customWidth="1"/>
    <col min="8194" max="8194" width="3.796875" style="91" customWidth="1"/>
    <col min="8195" max="8195" width="4.296875" style="91" customWidth="1"/>
    <col min="8196" max="8196" width="9.59765625" style="91" customWidth="1"/>
    <col min="8197" max="8197" width="7.796875" style="91" customWidth="1"/>
    <col min="8198" max="8198" width="33.09765625" style="91" customWidth="1"/>
    <col min="8199" max="8202" width="5.59765625" style="91" customWidth="1"/>
    <col min="8203" max="8203" width="0" style="91" hidden="1" customWidth="1"/>
    <col min="8204" max="8204" width="8.19921875" style="91" customWidth="1"/>
    <col min="8205" max="8205" width="0" style="91" hidden="1" customWidth="1"/>
    <col min="8206" max="8206" width="8.19921875" style="91" customWidth="1"/>
    <col min="8207" max="8207" width="7.796875" style="91"/>
    <col min="8208" max="8208" width="5.3984375" style="91" customWidth="1"/>
    <col min="8209" max="8210" width="7.796875" style="91"/>
    <col min="8211" max="8211" width="0" style="91" hidden="1" customWidth="1"/>
    <col min="8212" max="8212" width="7.796875" style="91"/>
    <col min="8213" max="8240" width="7.59765625" style="91" customWidth="1"/>
    <col min="8241" max="8448" width="7.796875" style="91"/>
    <col min="8449" max="8449" width="4.3984375" style="91" customWidth="1"/>
    <col min="8450" max="8450" width="3.796875" style="91" customWidth="1"/>
    <col min="8451" max="8451" width="4.296875" style="91" customWidth="1"/>
    <col min="8452" max="8452" width="9.59765625" style="91" customWidth="1"/>
    <col min="8453" max="8453" width="7.796875" style="91" customWidth="1"/>
    <col min="8454" max="8454" width="33.09765625" style="91" customWidth="1"/>
    <col min="8455" max="8458" width="5.59765625" style="91" customWidth="1"/>
    <col min="8459" max="8459" width="0" style="91" hidden="1" customWidth="1"/>
    <col min="8460" max="8460" width="8.19921875" style="91" customWidth="1"/>
    <col min="8461" max="8461" width="0" style="91" hidden="1" customWidth="1"/>
    <col min="8462" max="8462" width="8.19921875" style="91" customWidth="1"/>
    <col min="8463" max="8463" width="7.796875" style="91"/>
    <col min="8464" max="8464" width="5.3984375" style="91" customWidth="1"/>
    <col min="8465" max="8466" width="7.796875" style="91"/>
    <col min="8467" max="8467" width="0" style="91" hidden="1" customWidth="1"/>
    <col min="8468" max="8468" width="7.796875" style="91"/>
    <col min="8469" max="8496" width="7.59765625" style="91" customWidth="1"/>
    <col min="8497" max="8704" width="7.796875" style="91"/>
    <col min="8705" max="8705" width="4.3984375" style="91" customWidth="1"/>
    <col min="8706" max="8706" width="3.796875" style="91" customWidth="1"/>
    <col min="8707" max="8707" width="4.296875" style="91" customWidth="1"/>
    <col min="8708" max="8708" width="9.59765625" style="91" customWidth="1"/>
    <col min="8709" max="8709" width="7.796875" style="91" customWidth="1"/>
    <col min="8710" max="8710" width="33.09765625" style="91" customWidth="1"/>
    <col min="8711" max="8714" width="5.59765625" style="91" customWidth="1"/>
    <col min="8715" max="8715" width="0" style="91" hidden="1" customWidth="1"/>
    <col min="8716" max="8716" width="8.19921875" style="91" customWidth="1"/>
    <col min="8717" max="8717" width="0" style="91" hidden="1" customWidth="1"/>
    <col min="8718" max="8718" width="8.19921875" style="91" customWidth="1"/>
    <col min="8719" max="8719" width="7.796875" style="91"/>
    <col min="8720" max="8720" width="5.3984375" style="91" customWidth="1"/>
    <col min="8721" max="8722" width="7.796875" style="91"/>
    <col min="8723" max="8723" width="0" style="91" hidden="1" customWidth="1"/>
    <col min="8724" max="8724" width="7.796875" style="91"/>
    <col min="8725" max="8752" width="7.59765625" style="91" customWidth="1"/>
    <col min="8753" max="8960" width="7.796875" style="91"/>
    <col min="8961" max="8961" width="4.3984375" style="91" customWidth="1"/>
    <col min="8962" max="8962" width="3.796875" style="91" customWidth="1"/>
    <col min="8963" max="8963" width="4.296875" style="91" customWidth="1"/>
    <col min="8964" max="8964" width="9.59765625" style="91" customWidth="1"/>
    <col min="8965" max="8965" width="7.796875" style="91" customWidth="1"/>
    <col min="8966" max="8966" width="33.09765625" style="91" customWidth="1"/>
    <col min="8967" max="8970" width="5.59765625" style="91" customWidth="1"/>
    <col min="8971" max="8971" width="0" style="91" hidden="1" customWidth="1"/>
    <col min="8972" max="8972" width="8.19921875" style="91" customWidth="1"/>
    <col min="8973" max="8973" width="0" style="91" hidden="1" customWidth="1"/>
    <col min="8974" max="8974" width="8.19921875" style="91" customWidth="1"/>
    <col min="8975" max="8975" width="7.796875" style="91"/>
    <col min="8976" max="8976" width="5.3984375" style="91" customWidth="1"/>
    <col min="8977" max="8978" width="7.796875" style="91"/>
    <col min="8979" max="8979" width="0" style="91" hidden="1" customWidth="1"/>
    <col min="8980" max="8980" width="7.796875" style="91"/>
    <col min="8981" max="9008" width="7.59765625" style="91" customWidth="1"/>
    <col min="9009" max="9216" width="7.796875" style="91"/>
    <col min="9217" max="9217" width="4.3984375" style="91" customWidth="1"/>
    <col min="9218" max="9218" width="3.796875" style="91" customWidth="1"/>
    <col min="9219" max="9219" width="4.296875" style="91" customWidth="1"/>
    <col min="9220" max="9220" width="9.59765625" style="91" customWidth="1"/>
    <col min="9221" max="9221" width="7.796875" style="91" customWidth="1"/>
    <col min="9222" max="9222" width="33.09765625" style="91" customWidth="1"/>
    <col min="9223" max="9226" width="5.59765625" style="91" customWidth="1"/>
    <col min="9227" max="9227" width="0" style="91" hidden="1" customWidth="1"/>
    <col min="9228" max="9228" width="8.19921875" style="91" customWidth="1"/>
    <col min="9229" max="9229" width="0" style="91" hidden="1" customWidth="1"/>
    <col min="9230" max="9230" width="8.19921875" style="91" customWidth="1"/>
    <col min="9231" max="9231" width="7.796875" style="91"/>
    <col min="9232" max="9232" width="5.3984375" style="91" customWidth="1"/>
    <col min="9233" max="9234" width="7.796875" style="91"/>
    <col min="9235" max="9235" width="0" style="91" hidden="1" customWidth="1"/>
    <col min="9236" max="9236" width="7.796875" style="91"/>
    <col min="9237" max="9264" width="7.59765625" style="91" customWidth="1"/>
    <col min="9265" max="9472" width="7.796875" style="91"/>
    <col min="9473" max="9473" width="4.3984375" style="91" customWidth="1"/>
    <col min="9474" max="9474" width="3.796875" style="91" customWidth="1"/>
    <col min="9475" max="9475" width="4.296875" style="91" customWidth="1"/>
    <col min="9476" max="9476" width="9.59765625" style="91" customWidth="1"/>
    <col min="9477" max="9477" width="7.796875" style="91" customWidth="1"/>
    <col min="9478" max="9478" width="33.09765625" style="91" customWidth="1"/>
    <col min="9479" max="9482" width="5.59765625" style="91" customWidth="1"/>
    <col min="9483" max="9483" width="0" style="91" hidden="1" customWidth="1"/>
    <col min="9484" max="9484" width="8.19921875" style="91" customWidth="1"/>
    <col min="9485" max="9485" width="0" style="91" hidden="1" customWidth="1"/>
    <col min="9486" max="9486" width="8.19921875" style="91" customWidth="1"/>
    <col min="9487" max="9487" width="7.796875" style="91"/>
    <col min="9488" max="9488" width="5.3984375" style="91" customWidth="1"/>
    <col min="9489" max="9490" width="7.796875" style="91"/>
    <col min="9491" max="9491" width="0" style="91" hidden="1" customWidth="1"/>
    <col min="9492" max="9492" width="7.796875" style="91"/>
    <col min="9493" max="9520" width="7.59765625" style="91" customWidth="1"/>
    <col min="9521" max="9728" width="7.796875" style="91"/>
    <col min="9729" max="9729" width="4.3984375" style="91" customWidth="1"/>
    <col min="9730" max="9730" width="3.796875" style="91" customWidth="1"/>
    <col min="9731" max="9731" width="4.296875" style="91" customWidth="1"/>
    <col min="9732" max="9732" width="9.59765625" style="91" customWidth="1"/>
    <col min="9733" max="9733" width="7.796875" style="91" customWidth="1"/>
    <col min="9734" max="9734" width="33.09765625" style="91" customWidth="1"/>
    <col min="9735" max="9738" width="5.59765625" style="91" customWidth="1"/>
    <col min="9739" max="9739" width="0" style="91" hidden="1" customWidth="1"/>
    <col min="9740" max="9740" width="8.19921875" style="91" customWidth="1"/>
    <col min="9741" max="9741" width="0" style="91" hidden="1" customWidth="1"/>
    <col min="9742" max="9742" width="8.19921875" style="91" customWidth="1"/>
    <col min="9743" max="9743" width="7.796875" style="91"/>
    <col min="9744" max="9744" width="5.3984375" style="91" customWidth="1"/>
    <col min="9745" max="9746" width="7.796875" style="91"/>
    <col min="9747" max="9747" width="0" style="91" hidden="1" customWidth="1"/>
    <col min="9748" max="9748" width="7.796875" style="91"/>
    <col min="9749" max="9776" width="7.59765625" style="91" customWidth="1"/>
    <col min="9777" max="9984" width="7.796875" style="91"/>
    <col min="9985" max="9985" width="4.3984375" style="91" customWidth="1"/>
    <col min="9986" max="9986" width="3.796875" style="91" customWidth="1"/>
    <col min="9987" max="9987" width="4.296875" style="91" customWidth="1"/>
    <col min="9988" max="9988" width="9.59765625" style="91" customWidth="1"/>
    <col min="9989" max="9989" width="7.796875" style="91" customWidth="1"/>
    <col min="9990" max="9990" width="33.09765625" style="91" customWidth="1"/>
    <col min="9991" max="9994" width="5.59765625" style="91" customWidth="1"/>
    <col min="9995" max="9995" width="0" style="91" hidden="1" customWidth="1"/>
    <col min="9996" max="9996" width="8.19921875" style="91" customWidth="1"/>
    <col min="9997" max="9997" width="0" style="91" hidden="1" customWidth="1"/>
    <col min="9998" max="9998" width="8.19921875" style="91" customWidth="1"/>
    <col min="9999" max="9999" width="7.796875" style="91"/>
    <col min="10000" max="10000" width="5.3984375" style="91" customWidth="1"/>
    <col min="10001" max="10002" width="7.796875" style="91"/>
    <col min="10003" max="10003" width="0" style="91" hidden="1" customWidth="1"/>
    <col min="10004" max="10004" width="7.796875" style="91"/>
    <col min="10005" max="10032" width="7.59765625" style="91" customWidth="1"/>
    <col min="10033" max="10240" width="7.796875" style="91"/>
    <col min="10241" max="10241" width="4.3984375" style="91" customWidth="1"/>
    <col min="10242" max="10242" width="3.796875" style="91" customWidth="1"/>
    <col min="10243" max="10243" width="4.296875" style="91" customWidth="1"/>
    <col min="10244" max="10244" width="9.59765625" style="91" customWidth="1"/>
    <col min="10245" max="10245" width="7.796875" style="91" customWidth="1"/>
    <col min="10246" max="10246" width="33.09765625" style="91" customWidth="1"/>
    <col min="10247" max="10250" width="5.59765625" style="91" customWidth="1"/>
    <col min="10251" max="10251" width="0" style="91" hidden="1" customWidth="1"/>
    <col min="10252" max="10252" width="8.19921875" style="91" customWidth="1"/>
    <col min="10253" max="10253" width="0" style="91" hidden="1" customWidth="1"/>
    <col min="10254" max="10254" width="8.19921875" style="91" customWidth="1"/>
    <col min="10255" max="10255" width="7.796875" style="91"/>
    <col min="10256" max="10256" width="5.3984375" style="91" customWidth="1"/>
    <col min="10257" max="10258" width="7.796875" style="91"/>
    <col min="10259" max="10259" width="0" style="91" hidden="1" customWidth="1"/>
    <col min="10260" max="10260" width="7.796875" style="91"/>
    <col min="10261" max="10288" width="7.59765625" style="91" customWidth="1"/>
    <col min="10289" max="10496" width="7.796875" style="91"/>
    <col min="10497" max="10497" width="4.3984375" style="91" customWidth="1"/>
    <col min="10498" max="10498" width="3.796875" style="91" customWidth="1"/>
    <col min="10499" max="10499" width="4.296875" style="91" customWidth="1"/>
    <col min="10500" max="10500" width="9.59765625" style="91" customWidth="1"/>
    <col min="10501" max="10501" width="7.796875" style="91" customWidth="1"/>
    <col min="10502" max="10502" width="33.09765625" style="91" customWidth="1"/>
    <col min="10503" max="10506" width="5.59765625" style="91" customWidth="1"/>
    <col min="10507" max="10507" width="0" style="91" hidden="1" customWidth="1"/>
    <col min="10508" max="10508" width="8.19921875" style="91" customWidth="1"/>
    <col min="10509" max="10509" width="0" style="91" hidden="1" customWidth="1"/>
    <col min="10510" max="10510" width="8.19921875" style="91" customWidth="1"/>
    <col min="10511" max="10511" width="7.796875" style="91"/>
    <col min="10512" max="10512" width="5.3984375" style="91" customWidth="1"/>
    <col min="10513" max="10514" width="7.796875" style="91"/>
    <col min="10515" max="10515" width="0" style="91" hidden="1" customWidth="1"/>
    <col min="10516" max="10516" width="7.796875" style="91"/>
    <col min="10517" max="10544" width="7.59765625" style="91" customWidth="1"/>
    <col min="10545" max="10752" width="7.796875" style="91"/>
    <col min="10753" max="10753" width="4.3984375" style="91" customWidth="1"/>
    <col min="10754" max="10754" width="3.796875" style="91" customWidth="1"/>
    <col min="10755" max="10755" width="4.296875" style="91" customWidth="1"/>
    <col min="10756" max="10756" width="9.59765625" style="91" customWidth="1"/>
    <col min="10757" max="10757" width="7.796875" style="91" customWidth="1"/>
    <col min="10758" max="10758" width="33.09765625" style="91" customWidth="1"/>
    <col min="10759" max="10762" width="5.59765625" style="91" customWidth="1"/>
    <col min="10763" max="10763" width="0" style="91" hidden="1" customWidth="1"/>
    <col min="10764" max="10764" width="8.19921875" style="91" customWidth="1"/>
    <col min="10765" max="10765" width="0" style="91" hidden="1" customWidth="1"/>
    <col min="10766" max="10766" width="8.19921875" style="91" customWidth="1"/>
    <col min="10767" max="10767" width="7.796875" style="91"/>
    <col min="10768" max="10768" width="5.3984375" style="91" customWidth="1"/>
    <col min="10769" max="10770" width="7.796875" style="91"/>
    <col min="10771" max="10771" width="0" style="91" hidden="1" customWidth="1"/>
    <col min="10772" max="10772" width="7.796875" style="91"/>
    <col min="10773" max="10800" width="7.59765625" style="91" customWidth="1"/>
    <col min="10801" max="11008" width="7.796875" style="91"/>
    <col min="11009" max="11009" width="4.3984375" style="91" customWidth="1"/>
    <col min="11010" max="11010" width="3.796875" style="91" customWidth="1"/>
    <col min="11011" max="11011" width="4.296875" style="91" customWidth="1"/>
    <col min="11012" max="11012" width="9.59765625" style="91" customWidth="1"/>
    <col min="11013" max="11013" width="7.796875" style="91" customWidth="1"/>
    <col min="11014" max="11014" width="33.09765625" style="91" customWidth="1"/>
    <col min="11015" max="11018" width="5.59765625" style="91" customWidth="1"/>
    <col min="11019" max="11019" width="0" style="91" hidden="1" customWidth="1"/>
    <col min="11020" max="11020" width="8.19921875" style="91" customWidth="1"/>
    <col min="11021" max="11021" width="0" style="91" hidden="1" customWidth="1"/>
    <col min="11022" max="11022" width="8.19921875" style="91" customWidth="1"/>
    <col min="11023" max="11023" width="7.796875" style="91"/>
    <col min="11024" max="11024" width="5.3984375" style="91" customWidth="1"/>
    <col min="11025" max="11026" width="7.796875" style="91"/>
    <col min="11027" max="11027" width="0" style="91" hidden="1" customWidth="1"/>
    <col min="11028" max="11028" width="7.796875" style="91"/>
    <col min="11029" max="11056" width="7.59765625" style="91" customWidth="1"/>
    <col min="11057" max="11264" width="7.796875" style="91"/>
    <col min="11265" max="11265" width="4.3984375" style="91" customWidth="1"/>
    <col min="11266" max="11266" width="3.796875" style="91" customWidth="1"/>
    <col min="11267" max="11267" width="4.296875" style="91" customWidth="1"/>
    <col min="11268" max="11268" width="9.59765625" style="91" customWidth="1"/>
    <col min="11269" max="11269" width="7.796875" style="91" customWidth="1"/>
    <col min="11270" max="11270" width="33.09765625" style="91" customWidth="1"/>
    <col min="11271" max="11274" width="5.59765625" style="91" customWidth="1"/>
    <col min="11275" max="11275" width="0" style="91" hidden="1" customWidth="1"/>
    <col min="11276" max="11276" width="8.19921875" style="91" customWidth="1"/>
    <col min="11277" max="11277" width="0" style="91" hidden="1" customWidth="1"/>
    <col min="11278" max="11278" width="8.19921875" style="91" customWidth="1"/>
    <col min="11279" max="11279" width="7.796875" style="91"/>
    <col min="11280" max="11280" width="5.3984375" style="91" customWidth="1"/>
    <col min="11281" max="11282" width="7.796875" style="91"/>
    <col min="11283" max="11283" width="0" style="91" hidden="1" customWidth="1"/>
    <col min="11284" max="11284" width="7.796875" style="91"/>
    <col min="11285" max="11312" width="7.59765625" style="91" customWidth="1"/>
    <col min="11313" max="11520" width="7.796875" style="91"/>
    <col min="11521" max="11521" width="4.3984375" style="91" customWidth="1"/>
    <col min="11522" max="11522" width="3.796875" style="91" customWidth="1"/>
    <col min="11523" max="11523" width="4.296875" style="91" customWidth="1"/>
    <col min="11524" max="11524" width="9.59765625" style="91" customWidth="1"/>
    <col min="11525" max="11525" width="7.796875" style="91" customWidth="1"/>
    <col min="11526" max="11526" width="33.09765625" style="91" customWidth="1"/>
    <col min="11527" max="11530" width="5.59765625" style="91" customWidth="1"/>
    <col min="11531" max="11531" width="0" style="91" hidden="1" customWidth="1"/>
    <col min="11532" max="11532" width="8.19921875" style="91" customWidth="1"/>
    <col min="11533" max="11533" width="0" style="91" hidden="1" customWidth="1"/>
    <col min="11534" max="11534" width="8.19921875" style="91" customWidth="1"/>
    <col min="11535" max="11535" width="7.796875" style="91"/>
    <col min="11536" max="11536" width="5.3984375" style="91" customWidth="1"/>
    <col min="11537" max="11538" width="7.796875" style="91"/>
    <col min="11539" max="11539" width="0" style="91" hidden="1" customWidth="1"/>
    <col min="11540" max="11540" width="7.796875" style="91"/>
    <col min="11541" max="11568" width="7.59765625" style="91" customWidth="1"/>
    <col min="11569" max="11776" width="7.796875" style="91"/>
    <col min="11777" max="11777" width="4.3984375" style="91" customWidth="1"/>
    <col min="11778" max="11778" width="3.796875" style="91" customWidth="1"/>
    <col min="11779" max="11779" width="4.296875" style="91" customWidth="1"/>
    <col min="11780" max="11780" width="9.59765625" style="91" customWidth="1"/>
    <col min="11781" max="11781" width="7.796875" style="91" customWidth="1"/>
    <col min="11782" max="11782" width="33.09765625" style="91" customWidth="1"/>
    <col min="11783" max="11786" width="5.59765625" style="91" customWidth="1"/>
    <col min="11787" max="11787" width="0" style="91" hidden="1" customWidth="1"/>
    <col min="11788" max="11788" width="8.19921875" style="91" customWidth="1"/>
    <col min="11789" max="11789" width="0" style="91" hidden="1" customWidth="1"/>
    <col min="11790" max="11790" width="8.19921875" style="91" customWidth="1"/>
    <col min="11791" max="11791" width="7.796875" style="91"/>
    <col min="11792" max="11792" width="5.3984375" style="91" customWidth="1"/>
    <col min="11793" max="11794" width="7.796875" style="91"/>
    <col min="11795" max="11795" width="0" style="91" hidden="1" customWidth="1"/>
    <col min="11796" max="11796" width="7.796875" style="91"/>
    <col min="11797" max="11824" width="7.59765625" style="91" customWidth="1"/>
    <col min="11825" max="12032" width="7.796875" style="91"/>
    <col min="12033" max="12033" width="4.3984375" style="91" customWidth="1"/>
    <col min="12034" max="12034" width="3.796875" style="91" customWidth="1"/>
    <col min="12035" max="12035" width="4.296875" style="91" customWidth="1"/>
    <col min="12036" max="12036" width="9.59765625" style="91" customWidth="1"/>
    <col min="12037" max="12037" width="7.796875" style="91" customWidth="1"/>
    <col min="12038" max="12038" width="33.09765625" style="91" customWidth="1"/>
    <col min="12039" max="12042" width="5.59765625" style="91" customWidth="1"/>
    <col min="12043" max="12043" width="0" style="91" hidden="1" customWidth="1"/>
    <col min="12044" max="12044" width="8.19921875" style="91" customWidth="1"/>
    <col min="12045" max="12045" width="0" style="91" hidden="1" customWidth="1"/>
    <col min="12046" max="12046" width="8.19921875" style="91" customWidth="1"/>
    <col min="12047" max="12047" width="7.796875" style="91"/>
    <col min="12048" max="12048" width="5.3984375" style="91" customWidth="1"/>
    <col min="12049" max="12050" width="7.796875" style="91"/>
    <col min="12051" max="12051" width="0" style="91" hidden="1" customWidth="1"/>
    <col min="12052" max="12052" width="7.796875" style="91"/>
    <col min="12053" max="12080" width="7.59765625" style="91" customWidth="1"/>
    <col min="12081" max="12288" width="7.796875" style="91"/>
    <col min="12289" max="12289" width="4.3984375" style="91" customWidth="1"/>
    <col min="12290" max="12290" width="3.796875" style="91" customWidth="1"/>
    <col min="12291" max="12291" width="4.296875" style="91" customWidth="1"/>
    <col min="12292" max="12292" width="9.59765625" style="91" customWidth="1"/>
    <col min="12293" max="12293" width="7.796875" style="91" customWidth="1"/>
    <col min="12294" max="12294" width="33.09765625" style="91" customWidth="1"/>
    <col min="12295" max="12298" width="5.59765625" style="91" customWidth="1"/>
    <col min="12299" max="12299" width="0" style="91" hidden="1" customWidth="1"/>
    <col min="12300" max="12300" width="8.19921875" style="91" customWidth="1"/>
    <col min="12301" max="12301" width="0" style="91" hidden="1" customWidth="1"/>
    <col min="12302" max="12302" width="8.19921875" style="91" customWidth="1"/>
    <col min="12303" max="12303" width="7.796875" style="91"/>
    <col min="12304" max="12304" width="5.3984375" style="91" customWidth="1"/>
    <col min="12305" max="12306" width="7.796875" style="91"/>
    <col min="12307" max="12307" width="0" style="91" hidden="1" customWidth="1"/>
    <col min="12308" max="12308" width="7.796875" style="91"/>
    <col min="12309" max="12336" width="7.59765625" style="91" customWidth="1"/>
    <col min="12337" max="12544" width="7.796875" style="91"/>
    <col min="12545" max="12545" width="4.3984375" style="91" customWidth="1"/>
    <col min="12546" max="12546" width="3.796875" style="91" customWidth="1"/>
    <col min="12547" max="12547" width="4.296875" style="91" customWidth="1"/>
    <col min="12548" max="12548" width="9.59765625" style="91" customWidth="1"/>
    <col min="12549" max="12549" width="7.796875" style="91" customWidth="1"/>
    <col min="12550" max="12550" width="33.09765625" style="91" customWidth="1"/>
    <col min="12551" max="12554" width="5.59765625" style="91" customWidth="1"/>
    <col min="12555" max="12555" width="0" style="91" hidden="1" customWidth="1"/>
    <col min="12556" max="12556" width="8.19921875" style="91" customWidth="1"/>
    <col min="12557" max="12557" width="0" style="91" hidden="1" customWidth="1"/>
    <col min="12558" max="12558" width="8.19921875" style="91" customWidth="1"/>
    <col min="12559" max="12559" width="7.796875" style="91"/>
    <col min="12560" max="12560" width="5.3984375" style="91" customWidth="1"/>
    <col min="12561" max="12562" width="7.796875" style="91"/>
    <col min="12563" max="12563" width="0" style="91" hidden="1" customWidth="1"/>
    <col min="12564" max="12564" width="7.796875" style="91"/>
    <col min="12565" max="12592" width="7.59765625" style="91" customWidth="1"/>
    <col min="12593" max="12800" width="7.796875" style="91"/>
    <col min="12801" max="12801" width="4.3984375" style="91" customWidth="1"/>
    <col min="12802" max="12802" width="3.796875" style="91" customWidth="1"/>
    <col min="12803" max="12803" width="4.296875" style="91" customWidth="1"/>
    <col min="12804" max="12804" width="9.59765625" style="91" customWidth="1"/>
    <col min="12805" max="12805" width="7.796875" style="91" customWidth="1"/>
    <col min="12806" max="12806" width="33.09765625" style="91" customWidth="1"/>
    <col min="12807" max="12810" width="5.59765625" style="91" customWidth="1"/>
    <col min="12811" max="12811" width="0" style="91" hidden="1" customWidth="1"/>
    <col min="12812" max="12812" width="8.19921875" style="91" customWidth="1"/>
    <col min="12813" max="12813" width="0" style="91" hidden="1" customWidth="1"/>
    <col min="12814" max="12814" width="8.19921875" style="91" customWidth="1"/>
    <col min="12815" max="12815" width="7.796875" style="91"/>
    <col min="12816" max="12816" width="5.3984375" style="91" customWidth="1"/>
    <col min="12817" max="12818" width="7.796875" style="91"/>
    <col min="12819" max="12819" width="0" style="91" hidden="1" customWidth="1"/>
    <col min="12820" max="12820" width="7.796875" style="91"/>
    <col min="12821" max="12848" width="7.59765625" style="91" customWidth="1"/>
    <col min="12849" max="13056" width="7.796875" style="91"/>
    <col min="13057" max="13057" width="4.3984375" style="91" customWidth="1"/>
    <col min="13058" max="13058" width="3.796875" style="91" customWidth="1"/>
    <col min="13059" max="13059" width="4.296875" style="91" customWidth="1"/>
    <col min="13060" max="13060" width="9.59765625" style="91" customWidth="1"/>
    <col min="13061" max="13061" width="7.796875" style="91" customWidth="1"/>
    <col min="13062" max="13062" width="33.09765625" style="91" customWidth="1"/>
    <col min="13063" max="13066" width="5.59765625" style="91" customWidth="1"/>
    <col min="13067" max="13067" width="0" style="91" hidden="1" customWidth="1"/>
    <col min="13068" max="13068" width="8.19921875" style="91" customWidth="1"/>
    <col min="13069" max="13069" width="0" style="91" hidden="1" customWidth="1"/>
    <col min="13070" max="13070" width="8.19921875" style="91" customWidth="1"/>
    <col min="13071" max="13071" width="7.796875" style="91"/>
    <col min="13072" max="13072" width="5.3984375" style="91" customWidth="1"/>
    <col min="13073" max="13074" width="7.796875" style="91"/>
    <col min="13075" max="13075" width="0" style="91" hidden="1" customWidth="1"/>
    <col min="13076" max="13076" width="7.796875" style="91"/>
    <col min="13077" max="13104" width="7.59765625" style="91" customWidth="1"/>
    <col min="13105" max="13312" width="7.796875" style="91"/>
    <col min="13313" max="13313" width="4.3984375" style="91" customWidth="1"/>
    <col min="13314" max="13314" width="3.796875" style="91" customWidth="1"/>
    <col min="13315" max="13315" width="4.296875" style="91" customWidth="1"/>
    <col min="13316" max="13316" width="9.59765625" style="91" customWidth="1"/>
    <col min="13317" max="13317" width="7.796875" style="91" customWidth="1"/>
    <col min="13318" max="13318" width="33.09765625" style="91" customWidth="1"/>
    <col min="13319" max="13322" width="5.59765625" style="91" customWidth="1"/>
    <col min="13323" max="13323" width="0" style="91" hidden="1" customWidth="1"/>
    <col min="13324" max="13324" width="8.19921875" style="91" customWidth="1"/>
    <col min="13325" max="13325" width="0" style="91" hidden="1" customWidth="1"/>
    <col min="13326" max="13326" width="8.19921875" style="91" customWidth="1"/>
    <col min="13327" max="13327" width="7.796875" style="91"/>
    <col min="13328" max="13328" width="5.3984375" style="91" customWidth="1"/>
    <col min="13329" max="13330" width="7.796875" style="91"/>
    <col min="13331" max="13331" width="0" style="91" hidden="1" customWidth="1"/>
    <col min="13332" max="13332" width="7.796875" style="91"/>
    <col min="13333" max="13360" width="7.59765625" style="91" customWidth="1"/>
    <col min="13361" max="13568" width="7.796875" style="91"/>
    <col min="13569" max="13569" width="4.3984375" style="91" customWidth="1"/>
    <col min="13570" max="13570" width="3.796875" style="91" customWidth="1"/>
    <col min="13571" max="13571" width="4.296875" style="91" customWidth="1"/>
    <col min="13572" max="13572" width="9.59765625" style="91" customWidth="1"/>
    <col min="13573" max="13573" width="7.796875" style="91" customWidth="1"/>
    <col min="13574" max="13574" width="33.09765625" style="91" customWidth="1"/>
    <col min="13575" max="13578" width="5.59765625" style="91" customWidth="1"/>
    <col min="13579" max="13579" width="0" style="91" hidden="1" customWidth="1"/>
    <col min="13580" max="13580" width="8.19921875" style="91" customWidth="1"/>
    <col min="13581" max="13581" width="0" style="91" hidden="1" customWidth="1"/>
    <col min="13582" max="13582" width="8.19921875" style="91" customWidth="1"/>
    <col min="13583" max="13583" width="7.796875" style="91"/>
    <col min="13584" max="13584" width="5.3984375" style="91" customWidth="1"/>
    <col min="13585" max="13586" width="7.796875" style="91"/>
    <col min="13587" max="13587" width="0" style="91" hidden="1" customWidth="1"/>
    <col min="13588" max="13588" width="7.796875" style="91"/>
    <col min="13589" max="13616" width="7.59765625" style="91" customWidth="1"/>
    <col min="13617" max="13824" width="7.796875" style="91"/>
    <col min="13825" max="13825" width="4.3984375" style="91" customWidth="1"/>
    <col min="13826" max="13826" width="3.796875" style="91" customWidth="1"/>
    <col min="13827" max="13827" width="4.296875" style="91" customWidth="1"/>
    <col min="13828" max="13828" width="9.59765625" style="91" customWidth="1"/>
    <col min="13829" max="13829" width="7.796875" style="91" customWidth="1"/>
    <col min="13830" max="13830" width="33.09765625" style="91" customWidth="1"/>
    <col min="13831" max="13834" width="5.59765625" style="91" customWidth="1"/>
    <col min="13835" max="13835" width="0" style="91" hidden="1" customWidth="1"/>
    <col min="13836" max="13836" width="8.19921875" style="91" customWidth="1"/>
    <col min="13837" max="13837" width="0" style="91" hidden="1" customWidth="1"/>
    <col min="13838" max="13838" width="8.19921875" style="91" customWidth="1"/>
    <col min="13839" max="13839" width="7.796875" style="91"/>
    <col min="13840" max="13840" width="5.3984375" style="91" customWidth="1"/>
    <col min="13841" max="13842" width="7.796875" style="91"/>
    <col min="13843" max="13843" width="0" style="91" hidden="1" customWidth="1"/>
    <col min="13844" max="13844" width="7.796875" style="91"/>
    <col min="13845" max="13872" width="7.59765625" style="91" customWidth="1"/>
    <col min="13873" max="14080" width="7.796875" style="91"/>
    <col min="14081" max="14081" width="4.3984375" style="91" customWidth="1"/>
    <col min="14082" max="14082" width="3.796875" style="91" customWidth="1"/>
    <col min="14083" max="14083" width="4.296875" style="91" customWidth="1"/>
    <col min="14084" max="14084" width="9.59765625" style="91" customWidth="1"/>
    <col min="14085" max="14085" width="7.796875" style="91" customWidth="1"/>
    <col min="14086" max="14086" width="33.09765625" style="91" customWidth="1"/>
    <col min="14087" max="14090" width="5.59765625" style="91" customWidth="1"/>
    <col min="14091" max="14091" width="0" style="91" hidden="1" customWidth="1"/>
    <col min="14092" max="14092" width="8.19921875" style="91" customWidth="1"/>
    <col min="14093" max="14093" width="0" style="91" hidden="1" customWidth="1"/>
    <col min="14094" max="14094" width="8.19921875" style="91" customWidth="1"/>
    <col min="14095" max="14095" width="7.796875" style="91"/>
    <col min="14096" max="14096" width="5.3984375" style="91" customWidth="1"/>
    <col min="14097" max="14098" width="7.796875" style="91"/>
    <col min="14099" max="14099" width="0" style="91" hidden="1" customWidth="1"/>
    <col min="14100" max="14100" width="7.796875" style="91"/>
    <col min="14101" max="14128" width="7.59765625" style="91" customWidth="1"/>
    <col min="14129" max="14336" width="7.796875" style="91"/>
    <col min="14337" max="14337" width="4.3984375" style="91" customWidth="1"/>
    <col min="14338" max="14338" width="3.796875" style="91" customWidth="1"/>
    <col min="14339" max="14339" width="4.296875" style="91" customWidth="1"/>
    <col min="14340" max="14340" width="9.59765625" style="91" customWidth="1"/>
    <col min="14341" max="14341" width="7.796875" style="91" customWidth="1"/>
    <col min="14342" max="14342" width="33.09765625" style="91" customWidth="1"/>
    <col min="14343" max="14346" width="5.59765625" style="91" customWidth="1"/>
    <col min="14347" max="14347" width="0" style="91" hidden="1" customWidth="1"/>
    <col min="14348" max="14348" width="8.19921875" style="91" customWidth="1"/>
    <col min="14349" max="14349" width="0" style="91" hidden="1" customWidth="1"/>
    <col min="14350" max="14350" width="8.19921875" style="91" customWidth="1"/>
    <col min="14351" max="14351" width="7.796875" style="91"/>
    <col min="14352" max="14352" width="5.3984375" style="91" customWidth="1"/>
    <col min="14353" max="14354" width="7.796875" style="91"/>
    <col min="14355" max="14355" width="0" style="91" hidden="1" customWidth="1"/>
    <col min="14356" max="14356" width="7.796875" style="91"/>
    <col min="14357" max="14384" width="7.59765625" style="91" customWidth="1"/>
    <col min="14385" max="14592" width="7.796875" style="91"/>
    <col min="14593" max="14593" width="4.3984375" style="91" customWidth="1"/>
    <col min="14594" max="14594" width="3.796875" style="91" customWidth="1"/>
    <col min="14595" max="14595" width="4.296875" style="91" customWidth="1"/>
    <col min="14596" max="14596" width="9.59765625" style="91" customWidth="1"/>
    <col min="14597" max="14597" width="7.796875" style="91" customWidth="1"/>
    <col min="14598" max="14598" width="33.09765625" style="91" customWidth="1"/>
    <col min="14599" max="14602" width="5.59765625" style="91" customWidth="1"/>
    <col min="14603" max="14603" width="0" style="91" hidden="1" customWidth="1"/>
    <col min="14604" max="14604" width="8.19921875" style="91" customWidth="1"/>
    <col min="14605" max="14605" width="0" style="91" hidden="1" customWidth="1"/>
    <col min="14606" max="14606" width="8.19921875" style="91" customWidth="1"/>
    <col min="14607" max="14607" width="7.796875" style="91"/>
    <col min="14608" max="14608" width="5.3984375" style="91" customWidth="1"/>
    <col min="14609" max="14610" width="7.796875" style="91"/>
    <col min="14611" max="14611" width="0" style="91" hidden="1" customWidth="1"/>
    <col min="14612" max="14612" width="7.796875" style="91"/>
    <col min="14613" max="14640" width="7.59765625" style="91" customWidth="1"/>
    <col min="14641" max="14848" width="7.796875" style="91"/>
    <col min="14849" max="14849" width="4.3984375" style="91" customWidth="1"/>
    <col min="14850" max="14850" width="3.796875" style="91" customWidth="1"/>
    <col min="14851" max="14851" width="4.296875" style="91" customWidth="1"/>
    <col min="14852" max="14852" width="9.59765625" style="91" customWidth="1"/>
    <col min="14853" max="14853" width="7.796875" style="91" customWidth="1"/>
    <col min="14854" max="14854" width="33.09765625" style="91" customWidth="1"/>
    <col min="14855" max="14858" width="5.59765625" style="91" customWidth="1"/>
    <col min="14859" max="14859" width="0" style="91" hidden="1" customWidth="1"/>
    <col min="14860" max="14860" width="8.19921875" style="91" customWidth="1"/>
    <col min="14861" max="14861" width="0" style="91" hidden="1" customWidth="1"/>
    <col min="14862" max="14862" width="8.19921875" style="91" customWidth="1"/>
    <col min="14863" max="14863" width="7.796875" style="91"/>
    <col min="14864" max="14864" width="5.3984375" style="91" customWidth="1"/>
    <col min="14865" max="14866" width="7.796875" style="91"/>
    <col min="14867" max="14867" width="0" style="91" hidden="1" customWidth="1"/>
    <col min="14868" max="14868" width="7.796875" style="91"/>
    <col min="14869" max="14896" width="7.59765625" style="91" customWidth="1"/>
    <col min="14897" max="15104" width="7.796875" style="91"/>
    <col min="15105" max="15105" width="4.3984375" style="91" customWidth="1"/>
    <col min="15106" max="15106" width="3.796875" style="91" customWidth="1"/>
    <col min="15107" max="15107" width="4.296875" style="91" customWidth="1"/>
    <col min="15108" max="15108" width="9.59765625" style="91" customWidth="1"/>
    <col min="15109" max="15109" width="7.796875" style="91" customWidth="1"/>
    <col min="15110" max="15110" width="33.09765625" style="91" customWidth="1"/>
    <col min="15111" max="15114" width="5.59765625" style="91" customWidth="1"/>
    <col min="15115" max="15115" width="0" style="91" hidden="1" customWidth="1"/>
    <col min="15116" max="15116" width="8.19921875" style="91" customWidth="1"/>
    <col min="15117" max="15117" width="0" style="91" hidden="1" customWidth="1"/>
    <col min="15118" max="15118" width="8.19921875" style="91" customWidth="1"/>
    <col min="15119" max="15119" width="7.796875" style="91"/>
    <col min="15120" max="15120" width="5.3984375" style="91" customWidth="1"/>
    <col min="15121" max="15122" width="7.796875" style="91"/>
    <col min="15123" max="15123" width="0" style="91" hidden="1" customWidth="1"/>
    <col min="15124" max="15124" width="7.796875" style="91"/>
    <col min="15125" max="15152" width="7.59765625" style="91" customWidth="1"/>
    <col min="15153" max="15360" width="7.796875" style="91"/>
    <col min="15361" max="15361" width="4.3984375" style="91" customWidth="1"/>
    <col min="15362" max="15362" width="3.796875" style="91" customWidth="1"/>
    <col min="15363" max="15363" width="4.296875" style="91" customWidth="1"/>
    <col min="15364" max="15364" width="9.59765625" style="91" customWidth="1"/>
    <col min="15365" max="15365" width="7.796875" style="91" customWidth="1"/>
    <col min="15366" max="15366" width="33.09765625" style="91" customWidth="1"/>
    <col min="15367" max="15370" width="5.59765625" style="91" customWidth="1"/>
    <col min="15371" max="15371" width="0" style="91" hidden="1" customWidth="1"/>
    <col min="15372" max="15372" width="8.19921875" style="91" customWidth="1"/>
    <col min="15373" max="15373" width="0" style="91" hidden="1" customWidth="1"/>
    <col min="15374" max="15374" width="8.19921875" style="91" customWidth="1"/>
    <col min="15375" max="15375" width="7.796875" style="91"/>
    <col min="15376" max="15376" width="5.3984375" style="91" customWidth="1"/>
    <col min="15377" max="15378" width="7.796875" style="91"/>
    <col min="15379" max="15379" width="0" style="91" hidden="1" customWidth="1"/>
    <col min="15380" max="15380" width="7.796875" style="91"/>
    <col min="15381" max="15408" width="7.59765625" style="91" customWidth="1"/>
    <col min="15409" max="15616" width="7.796875" style="91"/>
    <col min="15617" max="15617" width="4.3984375" style="91" customWidth="1"/>
    <col min="15618" max="15618" width="3.796875" style="91" customWidth="1"/>
    <col min="15619" max="15619" width="4.296875" style="91" customWidth="1"/>
    <col min="15620" max="15620" width="9.59765625" style="91" customWidth="1"/>
    <col min="15621" max="15621" width="7.796875" style="91" customWidth="1"/>
    <col min="15622" max="15622" width="33.09765625" style="91" customWidth="1"/>
    <col min="15623" max="15626" width="5.59765625" style="91" customWidth="1"/>
    <col min="15627" max="15627" width="0" style="91" hidden="1" customWidth="1"/>
    <col min="15628" max="15628" width="8.19921875" style="91" customWidth="1"/>
    <col min="15629" max="15629" width="0" style="91" hidden="1" customWidth="1"/>
    <col min="15630" max="15630" width="8.19921875" style="91" customWidth="1"/>
    <col min="15631" max="15631" width="7.796875" style="91"/>
    <col min="15632" max="15632" width="5.3984375" style="91" customWidth="1"/>
    <col min="15633" max="15634" width="7.796875" style="91"/>
    <col min="15635" max="15635" width="0" style="91" hidden="1" customWidth="1"/>
    <col min="15636" max="15636" width="7.796875" style="91"/>
    <col min="15637" max="15664" width="7.59765625" style="91" customWidth="1"/>
    <col min="15665" max="15872" width="7.796875" style="91"/>
    <col min="15873" max="15873" width="4.3984375" style="91" customWidth="1"/>
    <col min="15874" max="15874" width="3.796875" style="91" customWidth="1"/>
    <col min="15875" max="15875" width="4.296875" style="91" customWidth="1"/>
    <col min="15876" max="15876" width="9.59765625" style="91" customWidth="1"/>
    <col min="15877" max="15877" width="7.796875" style="91" customWidth="1"/>
    <col min="15878" max="15878" width="33.09765625" style="91" customWidth="1"/>
    <col min="15879" max="15882" width="5.59765625" style="91" customWidth="1"/>
    <col min="15883" max="15883" width="0" style="91" hidden="1" customWidth="1"/>
    <col min="15884" max="15884" width="8.19921875" style="91" customWidth="1"/>
    <col min="15885" max="15885" width="0" style="91" hidden="1" customWidth="1"/>
    <col min="15886" max="15886" width="8.19921875" style="91" customWidth="1"/>
    <col min="15887" max="15887" width="7.796875" style="91"/>
    <col min="15888" max="15888" width="5.3984375" style="91" customWidth="1"/>
    <col min="15889" max="15890" width="7.796875" style="91"/>
    <col min="15891" max="15891" width="0" style="91" hidden="1" customWidth="1"/>
    <col min="15892" max="15892" width="7.796875" style="91"/>
    <col min="15893" max="15920" width="7.59765625" style="91" customWidth="1"/>
    <col min="15921" max="16128" width="7.796875" style="91"/>
    <col min="16129" max="16129" width="4.3984375" style="91" customWidth="1"/>
    <col min="16130" max="16130" width="3.796875" style="91" customWidth="1"/>
    <col min="16131" max="16131" width="4.296875" style="91" customWidth="1"/>
    <col min="16132" max="16132" width="9.59765625" style="91" customWidth="1"/>
    <col min="16133" max="16133" width="7.796875" style="91" customWidth="1"/>
    <col min="16134" max="16134" width="33.09765625" style="91" customWidth="1"/>
    <col min="16135" max="16138" width="5.59765625" style="91" customWidth="1"/>
    <col min="16139" max="16139" width="0" style="91" hidden="1" customWidth="1"/>
    <col min="16140" max="16140" width="8.19921875" style="91" customWidth="1"/>
    <col min="16141" max="16141" width="0" style="91" hidden="1" customWidth="1"/>
    <col min="16142" max="16142" width="8.19921875" style="91" customWidth="1"/>
    <col min="16143" max="16143" width="7.796875" style="91"/>
    <col min="16144" max="16144" width="5.3984375" style="91" customWidth="1"/>
    <col min="16145" max="16146" width="7.796875" style="91"/>
    <col min="16147" max="16147" width="0" style="91" hidden="1" customWidth="1"/>
    <col min="16148" max="16148" width="7.796875" style="91"/>
    <col min="16149" max="16176" width="7.59765625" style="91" customWidth="1"/>
    <col min="16177" max="16384" width="7.796875" style="91"/>
  </cols>
  <sheetData>
    <row r="1" spans="1:22" ht="21" x14ac:dyDescent="0.25">
      <c r="C1" s="92" t="s">
        <v>105</v>
      </c>
      <c r="G1" s="93"/>
    </row>
    <row r="2" spans="1:22" ht="14.25" customHeight="1" x14ac:dyDescent="0.25">
      <c r="C2" s="92"/>
    </row>
    <row r="3" spans="1:22" ht="16.5" customHeight="1" x14ac:dyDescent="0.2">
      <c r="B3" s="271" t="s">
        <v>106</v>
      </c>
      <c r="C3" s="272"/>
      <c r="D3" s="94"/>
      <c r="E3" s="95" t="s">
        <v>107</v>
      </c>
      <c r="F3" s="96"/>
      <c r="G3" s="97"/>
      <c r="H3" s="97"/>
      <c r="I3" s="97"/>
      <c r="J3" s="97"/>
      <c r="K3" s="97"/>
      <c r="L3" s="98"/>
      <c r="M3" s="98"/>
    </row>
    <row r="4" spans="1:22" ht="16.5" customHeight="1" x14ac:dyDescent="0.2">
      <c r="B4" s="271" t="s">
        <v>108</v>
      </c>
      <c r="C4" s="273"/>
      <c r="D4" s="96"/>
      <c r="E4" s="99"/>
      <c r="F4" s="100"/>
      <c r="G4" s="95" t="s">
        <v>109</v>
      </c>
      <c r="H4" s="274"/>
      <c r="I4" s="275"/>
      <c r="J4" s="275"/>
      <c r="K4" s="275"/>
      <c r="L4" s="276"/>
      <c r="M4" s="101"/>
    </row>
    <row r="5" spans="1:22" ht="16.5" customHeight="1" x14ac:dyDescent="0.2">
      <c r="B5" s="271" t="s">
        <v>110</v>
      </c>
      <c r="C5" s="273"/>
      <c r="D5" s="96"/>
      <c r="E5" s="99"/>
      <c r="F5" s="100"/>
      <c r="G5" s="95" t="s">
        <v>111</v>
      </c>
      <c r="H5" s="277"/>
      <c r="I5" s="278"/>
      <c r="J5" s="278"/>
      <c r="K5" s="278"/>
      <c r="L5" s="279"/>
      <c r="M5" s="102"/>
    </row>
    <row r="7" spans="1:22" s="112" customFormat="1" ht="30" customHeight="1" thickBot="1" x14ac:dyDescent="0.25">
      <c r="A7" s="103" t="s">
        <v>112</v>
      </c>
      <c r="B7" s="104" t="s">
        <v>113</v>
      </c>
      <c r="C7" s="104" t="s">
        <v>114</v>
      </c>
      <c r="D7" s="105" t="s">
        <v>115</v>
      </c>
      <c r="E7" s="105" t="s">
        <v>116</v>
      </c>
      <c r="F7" s="105" t="s">
        <v>117</v>
      </c>
      <c r="G7" s="105" t="s">
        <v>118</v>
      </c>
      <c r="H7" s="105" t="s">
        <v>119</v>
      </c>
      <c r="I7" s="106" t="s">
        <v>120</v>
      </c>
      <c r="J7" s="106" t="s">
        <v>121</v>
      </c>
      <c r="K7" s="106" t="s">
        <v>122</v>
      </c>
      <c r="L7" s="106" t="s">
        <v>123</v>
      </c>
      <c r="M7" s="106" t="s">
        <v>124</v>
      </c>
      <c r="N7" s="107" t="s">
        <v>125</v>
      </c>
      <c r="O7" s="108" t="s">
        <v>126</v>
      </c>
      <c r="P7" s="109" t="s">
        <v>127</v>
      </c>
      <c r="Q7" s="109" t="s">
        <v>128</v>
      </c>
      <c r="R7" s="109" t="s">
        <v>129</v>
      </c>
      <c r="S7" s="109" t="s">
        <v>130</v>
      </c>
      <c r="T7" s="109" t="s">
        <v>131</v>
      </c>
      <c r="U7" s="110"/>
      <c r="V7" s="111"/>
    </row>
    <row r="8" spans="1:22" s="112" customFormat="1" ht="16.5" customHeight="1" thickTop="1" x14ac:dyDescent="0.2">
      <c r="A8" s="113"/>
      <c r="B8" s="114"/>
      <c r="C8" s="114"/>
      <c r="D8" s="115"/>
      <c r="E8" s="115"/>
      <c r="F8" s="116"/>
      <c r="G8" s="117"/>
      <c r="H8" s="118"/>
      <c r="I8" s="119"/>
      <c r="J8" s="120"/>
      <c r="K8" s="119"/>
      <c r="L8" s="121"/>
      <c r="M8" s="119"/>
      <c r="N8" s="122"/>
      <c r="O8" s="123">
        <f>IF(ISERROR(T8-Q8-R8+S8),"",T8-Q8-R8+S8)</f>
        <v>0</v>
      </c>
      <c r="P8" s="124"/>
      <c r="Q8" s="124"/>
      <c r="R8" s="124"/>
      <c r="S8" s="124"/>
      <c r="T8" s="125">
        <f>IF(SUM(U8:V8)=0,0,SUM(U8:V8))</f>
        <v>0</v>
      </c>
      <c r="U8" s="124"/>
      <c r="V8" s="124"/>
    </row>
  </sheetData>
  <mergeCells count="5">
    <mergeCell ref="B3:C3"/>
    <mergeCell ref="B4:C4"/>
    <mergeCell ref="H4:L4"/>
    <mergeCell ref="B5:C5"/>
    <mergeCell ref="H5:L5"/>
  </mergeCells>
  <phoneticPr fontId="2"/>
  <conditionalFormatting sqref="A8:N8">
    <cfRule type="expression" dxfId="3" priority="1" stopIfTrue="1">
      <formula>$K8="3150"</formula>
    </cfRule>
    <cfRule type="expression" dxfId="2" priority="2" stopIfTrue="1">
      <formula>$M8="03"</formula>
    </cfRule>
  </conditionalFormatting>
  <pageMargins left="0.25" right="0.25" top="0.25" bottom="0.5" header="0" footer="0"/>
  <pageSetup paperSize="8" pageOrder="overThenDown" orientation="landscape" horizontalDpi="4294967292" r:id="rId1"/>
  <headerFooter alignWithMargins="0">
    <oddHeader>&amp;R&amp;P 頁</oddHeader>
    <oddFooter>&amp;C&amp;10株式会社 &amp;11三 和 商 研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view="pageBreakPreview" zoomScale="60" zoomScaleNormal="75" workbookViewId="0"/>
  </sheetViews>
  <sheetFormatPr defaultColWidth="7.796875" defaultRowHeight="13.2" x14ac:dyDescent="0.2"/>
  <cols>
    <col min="1" max="1" width="4.3984375" style="91" customWidth="1"/>
    <col min="2" max="2" width="9.59765625" style="91" customWidth="1"/>
    <col min="3" max="3" width="7.796875" style="91" customWidth="1"/>
    <col min="4" max="4" width="8.59765625" style="91" customWidth="1"/>
    <col min="5" max="5" width="33.09765625" style="91" customWidth="1"/>
    <col min="6" max="8" width="5.59765625" style="91" customWidth="1"/>
    <col min="9" max="9" width="13.8984375" style="91" customWidth="1"/>
    <col min="10" max="10" width="5.59765625" style="91" hidden="1" customWidth="1"/>
    <col min="11" max="11" width="8.19921875" style="91" customWidth="1"/>
    <col min="12" max="12" width="7.5" style="91" hidden="1" customWidth="1"/>
    <col min="13" max="13" width="8.19921875" style="91" customWidth="1"/>
    <col min="14" max="14" width="7.796875" style="91"/>
    <col min="15" max="15" width="5.3984375" style="91" customWidth="1"/>
    <col min="16" max="18" width="7.796875" style="91"/>
    <col min="19" max="46" width="7.59765625" style="91" customWidth="1"/>
    <col min="47" max="254" width="7.796875" style="91"/>
    <col min="255" max="255" width="4.3984375" style="91" customWidth="1"/>
    <col min="256" max="256" width="3.796875" style="91" customWidth="1"/>
    <col min="257" max="257" width="4.296875" style="91" customWidth="1"/>
    <col min="258" max="258" width="9.59765625" style="91" customWidth="1"/>
    <col min="259" max="259" width="7.796875" style="91" customWidth="1"/>
    <col min="260" max="260" width="33.09765625" style="91" customWidth="1"/>
    <col min="261" max="264" width="5.59765625" style="91" customWidth="1"/>
    <col min="265" max="265" width="0" style="91" hidden="1" customWidth="1"/>
    <col min="266" max="266" width="8.19921875" style="91" customWidth="1"/>
    <col min="267" max="267" width="0" style="91" hidden="1" customWidth="1"/>
    <col min="268" max="268" width="8.19921875" style="91" customWidth="1"/>
    <col min="269" max="269" width="7.796875" style="91"/>
    <col min="270" max="270" width="5.3984375" style="91" customWidth="1"/>
    <col min="271" max="272" width="7.796875" style="91"/>
    <col min="273" max="273" width="0" style="91" hidden="1" customWidth="1"/>
    <col min="274" max="274" width="7.796875" style="91"/>
    <col min="275" max="302" width="7.59765625" style="91" customWidth="1"/>
    <col min="303" max="510" width="7.796875" style="91"/>
    <col min="511" max="511" width="4.3984375" style="91" customWidth="1"/>
    <col min="512" max="512" width="3.796875" style="91" customWidth="1"/>
    <col min="513" max="513" width="4.296875" style="91" customWidth="1"/>
    <col min="514" max="514" width="9.59765625" style="91" customWidth="1"/>
    <col min="515" max="515" width="7.796875" style="91" customWidth="1"/>
    <col min="516" max="516" width="33.09765625" style="91" customWidth="1"/>
    <col min="517" max="520" width="5.59765625" style="91" customWidth="1"/>
    <col min="521" max="521" width="0" style="91" hidden="1" customWidth="1"/>
    <col min="522" max="522" width="8.19921875" style="91" customWidth="1"/>
    <col min="523" max="523" width="0" style="91" hidden="1" customWidth="1"/>
    <col min="524" max="524" width="8.19921875" style="91" customWidth="1"/>
    <col min="525" max="525" width="7.796875" style="91"/>
    <col min="526" max="526" width="5.3984375" style="91" customWidth="1"/>
    <col min="527" max="528" width="7.796875" style="91"/>
    <col min="529" max="529" width="0" style="91" hidden="1" customWidth="1"/>
    <col min="530" max="530" width="7.796875" style="91"/>
    <col min="531" max="558" width="7.59765625" style="91" customWidth="1"/>
    <col min="559" max="766" width="7.796875" style="91"/>
    <col min="767" max="767" width="4.3984375" style="91" customWidth="1"/>
    <col min="768" max="768" width="3.796875" style="91" customWidth="1"/>
    <col min="769" max="769" width="4.296875" style="91" customWidth="1"/>
    <col min="770" max="770" width="9.59765625" style="91" customWidth="1"/>
    <col min="771" max="771" width="7.796875" style="91" customWidth="1"/>
    <col min="772" max="772" width="33.09765625" style="91" customWidth="1"/>
    <col min="773" max="776" width="5.59765625" style="91" customWidth="1"/>
    <col min="777" max="777" width="0" style="91" hidden="1" customWidth="1"/>
    <col min="778" max="778" width="8.19921875" style="91" customWidth="1"/>
    <col min="779" max="779" width="0" style="91" hidden="1" customWidth="1"/>
    <col min="780" max="780" width="8.19921875" style="91" customWidth="1"/>
    <col min="781" max="781" width="7.796875" style="91"/>
    <col min="782" max="782" width="5.3984375" style="91" customWidth="1"/>
    <col min="783" max="784" width="7.796875" style="91"/>
    <col min="785" max="785" width="0" style="91" hidden="1" customWidth="1"/>
    <col min="786" max="786" width="7.796875" style="91"/>
    <col min="787" max="814" width="7.59765625" style="91" customWidth="1"/>
    <col min="815" max="1022" width="7.796875" style="91"/>
    <col min="1023" max="1023" width="4.3984375" style="91" customWidth="1"/>
    <col min="1024" max="1024" width="3.796875" style="91" customWidth="1"/>
    <col min="1025" max="1025" width="4.296875" style="91" customWidth="1"/>
    <col min="1026" max="1026" width="9.59765625" style="91" customWidth="1"/>
    <col min="1027" max="1027" width="7.796875" style="91" customWidth="1"/>
    <col min="1028" max="1028" width="33.09765625" style="91" customWidth="1"/>
    <col min="1029" max="1032" width="5.59765625" style="91" customWidth="1"/>
    <col min="1033" max="1033" width="0" style="91" hidden="1" customWidth="1"/>
    <col min="1034" max="1034" width="8.19921875" style="91" customWidth="1"/>
    <col min="1035" max="1035" width="0" style="91" hidden="1" customWidth="1"/>
    <col min="1036" max="1036" width="8.19921875" style="91" customWidth="1"/>
    <col min="1037" max="1037" width="7.796875" style="91"/>
    <col min="1038" max="1038" width="5.3984375" style="91" customWidth="1"/>
    <col min="1039" max="1040" width="7.796875" style="91"/>
    <col min="1041" max="1041" width="0" style="91" hidden="1" customWidth="1"/>
    <col min="1042" max="1042" width="7.796875" style="91"/>
    <col min="1043" max="1070" width="7.59765625" style="91" customWidth="1"/>
    <col min="1071" max="1278" width="7.796875" style="91"/>
    <col min="1279" max="1279" width="4.3984375" style="91" customWidth="1"/>
    <col min="1280" max="1280" width="3.796875" style="91" customWidth="1"/>
    <col min="1281" max="1281" width="4.296875" style="91" customWidth="1"/>
    <col min="1282" max="1282" width="9.59765625" style="91" customWidth="1"/>
    <col min="1283" max="1283" width="7.796875" style="91" customWidth="1"/>
    <col min="1284" max="1284" width="33.09765625" style="91" customWidth="1"/>
    <col min="1285" max="1288" width="5.59765625" style="91" customWidth="1"/>
    <col min="1289" max="1289" width="0" style="91" hidden="1" customWidth="1"/>
    <col min="1290" max="1290" width="8.19921875" style="91" customWidth="1"/>
    <col min="1291" max="1291" width="0" style="91" hidden="1" customWidth="1"/>
    <col min="1292" max="1292" width="8.19921875" style="91" customWidth="1"/>
    <col min="1293" max="1293" width="7.796875" style="91"/>
    <col min="1294" max="1294" width="5.3984375" style="91" customWidth="1"/>
    <col min="1295" max="1296" width="7.796875" style="91"/>
    <col min="1297" max="1297" width="0" style="91" hidden="1" customWidth="1"/>
    <col min="1298" max="1298" width="7.796875" style="91"/>
    <col min="1299" max="1326" width="7.59765625" style="91" customWidth="1"/>
    <col min="1327" max="1534" width="7.796875" style="91"/>
    <col min="1535" max="1535" width="4.3984375" style="91" customWidth="1"/>
    <col min="1536" max="1536" width="3.796875" style="91" customWidth="1"/>
    <col min="1537" max="1537" width="4.296875" style="91" customWidth="1"/>
    <col min="1538" max="1538" width="9.59765625" style="91" customWidth="1"/>
    <col min="1539" max="1539" width="7.796875" style="91" customWidth="1"/>
    <col min="1540" max="1540" width="33.09765625" style="91" customWidth="1"/>
    <col min="1541" max="1544" width="5.59765625" style="91" customWidth="1"/>
    <col min="1545" max="1545" width="0" style="91" hidden="1" customWidth="1"/>
    <col min="1546" max="1546" width="8.19921875" style="91" customWidth="1"/>
    <col min="1547" max="1547" width="0" style="91" hidden="1" customWidth="1"/>
    <col min="1548" max="1548" width="8.19921875" style="91" customWidth="1"/>
    <col min="1549" max="1549" width="7.796875" style="91"/>
    <col min="1550" max="1550" width="5.3984375" style="91" customWidth="1"/>
    <col min="1551" max="1552" width="7.796875" style="91"/>
    <col min="1553" max="1553" width="0" style="91" hidden="1" customWidth="1"/>
    <col min="1554" max="1554" width="7.796875" style="91"/>
    <col min="1555" max="1582" width="7.59765625" style="91" customWidth="1"/>
    <col min="1583" max="1790" width="7.796875" style="91"/>
    <col min="1791" max="1791" width="4.3984375" style="91" customWidth="1"/>
    <col min="1792" max="1792" width="3.796875" style="91" customWidth="1"/>
    <col min="1793" max="1793" width="4.296875" style="91" customWidth="1"/>
    <col min="1794" max="1794" width="9.59765625" style="91" customWidth="1"/>
    <col min="1795" max="1795" width="7.796875" style="91" customWidth="1"/>
    <col min="1796" max="1796" width="33.09765625" style="91" customWidth="1"/>
    <col min="1797" max="1800" width="5.59765625" style="91" customWidth="1"/>
    <col min="1801" max="1801" width="0" style="91" hidden="1" customWidth="1"/>
    <col min="1802" max="1802" width="8.19921875" style="91" customWidth="1"/>
    <col min="1803" max="1803" width="0" style="91" hidden="1" customWidth="1"/>
    <col min="1804" max="1804" width="8.19921875" style="91" customWidth="1"/>
    <col min="1805" max="1805" width="7.796875" style="91"/>
    <col min="1806" max="1806" width="5.3984375" style="91" customWidth="1"/>
    <col min="1807" max="1808" width="7.796875" style="91"/>
    <col min="1809" max="1809" width="0" style="91" hidden="1" customWidth="1"/>
    <col min="1810" max="1810" width="7.796875" style="91"/>
    <col min="1811" max="1838" width="7.59765625" style="91" customWidth="1"/>
    <col min="1839" max="2046" width="7.796875" style="91"/>
    <col min="2047" max="2047" width="4.3984375" style="91" customWidth="1"/>
    <col min="2048" max="2048" width="3.796875" style="91" customWidth="1"/>
    <col min="2049" max="2049" width="4.296875" style="91" customWidth="1"/>
    <col min="2050" max="2050" width="9.59765625" style="91" customWidth="1"/>
    <col min="2051" max="2051" width="7.796875" style="91" customWidth="1"/>
    <col min="2052" max="2052" width="33.09765625" style="91" customWidth="1"/>
    <col min="2053" max="2056" width="5.59765625" style="91" customWidth="1"/>
    <col min="2057" max="2057" width="0" style="91" hidden="1" customWidth="1"/>
    <col min="2058" max="2058" width="8.19921875" style="91" customWidth="1"/>
    <col min="2059" max="2059" width="0" style="91" hidden="1" customWidth="1"/>
    <col min="2060" max="2060" width="8.19921875" style="91" customWidth="1"/>
    <col min="2061" max="2061" width="7.796875" style="91"/>
    <col min="2062" max="2062" width="5.3984375" style="91" customWidth="1"/>
    <col min="2063" max="2064" width="7.796875" style="91"/>
    <col min="2065" max="2065" width="0" style="91" hidden="1" customWidth="1"/>
    <col min="2066" max="2066" width="7.796875" style="91"/>
    <col min="2067" max="2094" width="7.59765625" style="91" customWidth="1"/>
    <col min="2095" max="2302" width="7.796875" style="91"/>
    <col min="2303" max="2303" width="4.3984375" style="91" customWidth="1"/>
    <col min="2304" max="2304" width="3.796875" style="91" customWidth="1"/>
    <col min="2305" max="2305" width="4.296875" style="91" customWidth="1"/>
    <col min="2306" max="2306" width="9.59765625" style="91" customWidth="1"/>
    <col min="2307" max="2307" width="7.796875" style="91" customWidth="1"/>
    <col min="2308" max="2308" width="33.09765625" style="91" customWidth="1"/>
    <col min="2309" max="2312" width="5.59765625" style="91" customWidth="1"/>
    <col min="2313" max="2313" width="0" style="91" hidden="1" customWidth="1"/>
    <col min="2314" max="2314" width="8.19921875" style="91" customWidth="1"/>
    <col min="2315" max="2315" width="0" style="91" hidden="1" customWidth="1"/>
    <col min="2316" max="2316" width="8.19921875" style="91" customWidth="1"/>
    <col min="2317" max="2317" width="7.796875" style="91"/>
    <col min="2318" max="2318" width="5.3984375" style="91" customWidth="1"/>
    <col min="2319" max="2320" width="7.796875" style="91"/>
    <col min="2321" max="2321" width="0" style="91" hidden="1" customWidth="1"/>
    <col min="2322" max="2322" width="7.796875" style="91"/>
    <col min="2323" max="2350" width="7.59765625" style="91" customWidth="1"/>
    <col min="2351" max="2558" width="7.796875" style="91"/>
    <col min="2559" max="2559" width="4.3984375" style="91" customWidth="1"/>
    <col min="2560" max="2560" width="3.796875" style="91" customWidth="1"/>
    <col min="2561" max="2561" width="4.296875" style="91" customWidth="1"/>
    <col min="2562" max="2562" width="9.59765625" style="91" customWidth="1"/>
    <col min="2563" max="2563" width="7.796875" style="91" customWidth="1"/>
    <col min="2564" max="2564" width="33.09765625" style="91" customWidth="1"/>
    <col min="2565" max="2568" width="5.59765625" style="91" customWidth="1"/>
    <col min="2569" max="2569" width="0" style="91" hidden="1" customWidth="1"/>
    <col min="2570" max="2570" width="8.19921875" style="91" customWidth="1"/>
    <col min="2571" max="2571" width="0" style="91" hidden="1" customWidth="1"/>
    <col min="2572" max="2572" width="8.19921875" style="91" customWidth="1"/>
    <col min="2573" max="2573" width="7.796875" style="91"/>
    <col min="2574" max="2574" width="5.3984375" style="91" customWidth="1"/>
    <col min="2575" max="2576" width="7.796875" style="91"/>
    <col min="2577" max="2577" width="0" style="91" hidden="1" customWidth="1"/>
    <col min="2578" max="2578" width="7.796875" style="91"/>
    <col min="2579" max="2606" width="7.59765625" style="91" customWidth="1"/>
    <col min="2607" max="2814" width="7.796875" style="91"/>
    <col min="2815" max="2815" width="4.3984375" style="91" customWidth="1"/>
    <col min="2816" max="2816" width="3.796875" style="91" customWidth="1"/>
    <col min="2817" max="2817" width="4.296875" style="91" customWidth="1"/>
    <col min="2818" max="2818" width="9.59765625" style="91" customWidth="1"/>
    <col min="2819" max="2819" width="7.796875" style="91" customWidth="1"/>
    <col min="2820" max="2820" width="33.09765625" style="91" customWidth="1"/>
    <col min="2821" max="2824" width="5.59765625" style="91" customWidth="1"/>
    <col min="2825" max="2825" width="0" style="91" hidden="1" customWidth="1"/>
    <col min="2826" max="2826" width="8.19921875" style="91" customWidth="1"/>
    <col min="2827" max="2827" width="0" style="91" hidden="1" customWidth="1"/>
    <col min="2828" max="2828" width="8.19921875" style="91" customWidth="1"/>
    <col min="2829" max="2829" width="7.796875" style="91"/>
    <col min="2830" max="2830" width="5.3984375" style="91" customWidth="1"/>
    <col min="2831" max="2832" width="7.796875" style="91"/>
    <col min="2833" max="2833" width="0" style="91" hidden="1" customWidth="1"/>
    <col min="2834" max="2834" width="7.796875" style="91"/>
    <col min="2835" max="2862" width="7.59765625" style="91" customWidth="1"/>
    <col min="2863" max="3070" width="7.796875" style="91"/>
    <col min="3071" max="3071" width="4.3984375" style="91" customWidth="1"/>
    <col min="3072" max="3072" width="3.796875" style="91" customWidth="1"/>
    <col min="3073" max="3073" width="4.296875" style="91" customWidth="1"/>
    <col min="3074" max="3074" width="9.59765625" style="91" customWidth="1"/>
    <col min="3075" max="3075" width="7.796875" style="91" customWidth="1"/>
    <col min="3076" max="3076" width="33.09765625" style="91" customWidth="1"/>
    <col min="3077" max="3080" width="5.59765625" style="91" customWidth="1"/>
    <col min="3081" max="3081" width="0" style="91" hidden="1" customWidth="1"/>
    <col min="3082" max="3082" width="8.19921875" style="91" customWidth="1"/>
    <col min="3083" max="3083" width="0" style="91" hidden="1" customWidth="1"/>
    <col min="3084" max="3084" width="8.19921875" style="91" customWidth="1"/>
    <col min="3085" max="3085" width="7.796875" style="91"/>
    <col min="3086" max="3086" width="5.3984375" style="91" customWidth="1"/>
    <col min="3087" max="3088" width="7.796875" style="91"/>
    <col min="3089" max="3089" width="0" style="91" hidden="1" customWidth="1"/>
    <col min="3090" max="3090" width="7.796875" style="91"/>
    <col min="3091" max="3118" width="7.59765625" style="91" customWidth="1"/>
    <col min="3119" max="3326" width="7.796875" style="91"/>
    <col min="3327" max="3327" width="4.3984375" style="91" customWidth="1"/>
    <col min="3328" max="3328" width="3.796875" style="91" customWidth="1"/>
    <col min="3329" max="3329" width="4.296875" style="91" customWidth="1"/>
    <col min="3330" max="3330" width="9.59765625" style="91" customWidth="1"/>
    <col min="3331" max="3331" width="7.796875" style="91" customWidth="1"/>
    <col min="3332" max="3332" width="33.09765625" style="91" customWidth="1"/>
    <col min="3333" max="3336" width="5.59765625" style="91" customWidth="1"/>
    <col min="3337" max="3337" width="0" style="91" hidden="1" customWidth="1"/>
    <col min="3338" max="3338" width="8.19921875" style="91" customWidth="1"/>
    <col min="3339" max="3339" width="0" style="91" hidden="1" customWidth="1"/>
    <col min="3340" max="3340" width="8.19921875" style="91" customWidth="1"/>
    <col min="3341" max="3341" width="7.796875" style="91"/>
    <col min="3342" max="3342" width="5.3984375" style="91" customWidth="1"/>
    <col min="3343" max="3344" width="7.796875" style="91"/>
    <col min="3345" max="3345" width="0" style="91" hidden="1" customWidth="1"/>
    <col min="3346" max="3346" width="7.796875" style="91"/>
    <col min="3347" max="3374" width="7.59765625" style="91" customWidth="1"/>
    <col min="3375" max="3582" width="7.796875" style="91"/>
    <col min="3583" max="3583" width="4.3984375" style="91" customWidth="1"/>
    <col min="3584" max="3584" width="3.796875" style="91" customWidth="1"/>
    <col min="3585" max="3585" width="4.296875" style="91" customWidth="1"/>
    <col min="3586" max="3586" width="9.59765625" style="91" customWidth="1"/>
    <col min="3587" max="3587" width="7.796875" style="91" customWidth="1"/>
    <col min="3588" max="3588" width="33.09765625" style="91" customWidth="1"/>
    <col min="3589" max="3592" width="5.59765625" style="91" customWidth="1"/>
    <col min="3593" max="3593" width="0" style="91" hidden="1" customWidth="1"/>
    <col min="3594" max="3594" width="8.19921875" style="91" customWidth="1"/>
    <col min="3595" max="3595" width="0" style="91" hidden="1" customWidth="1"/>
    <col min="3596" max="3596" width="8.19921875" style="91" customWidth="1"/>
    <col min="3597" max="3597" width="7.796875" style="91"/>
    <col min="3598" max="3598" width="5.3984375" style="91" customWidth="1"/>
    <col min="3599" max="3600" width="7.796875" style="91"/>
    <col min="3601" max="3601" width="0" style="91" hidden="1" customWidth="1"/>
    <col min="3602" max="3602" width="7.796875" style="91"/>
    <col min="3603" max="3630" width="7.59765625" style="91" customWidth="1"/>
    <col min="3631" max="3838" width="7.796875" style="91"/>
    <col min="3839" max="3839" width="4.3984375" style="91" customWidth="1"/>
    <col min="3840" max="3840" width="3.796875" style="91" customWidth="1"/>
    <col min="3841" max="3841" width="4.296875" style="91" customWidth="1"/>
    <col min="3842" max="3842" width="9.59765625" style="91" customWidth="1"/>
    <col min="3843" max="3843" width="7.796875" style="91" customWidth="1"/>
    <col min="3844" max="3844" width="33.09765625" style="91" customWidth="1"/>
    <col min="3845" max="3848" width="5.59765625" style="91" customWidth="1"/>
    <col min="3849" max="3849" width="0" style="91" hidden="1" customWidth="1"/>
    <col min="3850" max="3850" width="8.19921875" style="91" customWidth="1"/>
    <col min="3851" max="3851" width="0" style="91" hidden="1" customWidth="1"/>
    <col min="3852" max="3852" width="8.19921875" style="91" customWidth="1"/>
    <col min="3853" max="3853" width="7.796875" style="91"/>
    <col min="3854" max="3854" width="5.3984375" style="91" customWidth="1"/>
    <col min="3855" max="3856" width="7.796875" style="91"/>
    <col min="3857" max="3857" width="0" style="91" hidden="1" customWidth="1"/>
    <col min="3858" max="3858" width="7.796875" style="91"/>
    <col min="3859" max="3886" width="7.59765625" style="91" customWidth="1"/>
    <col min="3887" max="4094" width="7.796875" style="91"/>
    <col min="4095" max="4095" width="4.3984375" style="91" customWidth="1"/>
    <col min="4096" max="4096" width="3.796875" style="91" customWidth="1"/>
    <col min="4097" max="4097" width="4.296875" style="91" customWidth="1"/>
    <col min="4098" max="4098" width="9.59765625" style="91" customWidth="1"/>
    <col min="4099" max="4099" width="7.796875" style="91" customWidth="1"/>
    <col min="4100" max="4100" width="33.09765625" style="91" customWidth="1"/>
    <col min="4101" max="4104" width="5.59765625" style="91" customWidth="1"/>
    <col min="4105" max="4105" width="0" style="91" hidden="1" customWidth="1"/>
    <col min="4106" max="4106" width="8.19921875" style="91" customWidth="1"/>
    <col min="4107" max="4107" width="0" style="91" hidden="1" customWidth="1"/>
    <col min="4108" max="4108" width="8.19921875" style="91" customWidth="1"/>
    <col min="4109" max="4109" width="7.796875" style="91"/>
    <col min="4110" max="4110" width="5.3984375" style="91" customWidth="1"/>
    <col min="4111" max="4112" width="7.796875" style="91"/>
    <col min="4113" max="4113" width="0" style="91" hidden="1" customWidth="1"/>
    <col min="4114" max="4114" width="7.796875" style="91"/>
    <col min="4115" max="4142" width="7.59765625" style="91" customWidth="1"/>
    <col min="4143" max="4350" width="7.796875" style="91"/>
    <col min="4351" max="4351" width="4.3984375" style="91" customWidth="1"/>
    <col min="4352" max="4352" width="3.796875" style="91" customWidth="1"/>
    <col min="4353" max="4353" width="4.296875" style="91" customWidth="1"/>
    <col min="4354" max="4354" width="9.59765625" style="91" customWidth="1"/>
    <col min="4355" max="4355" width="7.796875" style="91" customWidth="1"/>
    <col min="4356" max="4356" width="33.09765625" style="91" customWidth="1"/>
    <col min="4357" max="4360" width="5.59765625" style="91" customWidth="1"/>
    <col min="4361" max="4361" width="0" style="91" hidden="1" customWidth="1"/>
    <col min="4362" max="4362" width="8.19921875" style="91" customWidth="1"/>
    <col min="4363" max="4363" width="0" style="91" hidden="1" customWidth="1"/>
    <col min="4364" max="4364" width="8.19921875" style="91" customWidth="1"/>
    <col min="4365" max="4365" width="7.796875" style="91"/>
    <col min="4366" max="4366" width="5.3984375" style="91" customWidth="1"/>
    <col min="4367" max="4368" width="7.796875" style="91"/>
    <col min="4369" max="4369" width="0" style="91" hidden="1" customWidth="1"/>
    <col min="4370" max="4370" width="7.796875" style="91"/>
    <col min="4371" max="4398" width="7.59765625" style="91" customWidth="1"/>
    <col min="4399" max="4606" width="7.796875" style="91"/>
    <col min="4607" max="4607" width="4.3984375" style="91" customWidth="1"/>
    <col min="4608" max="4608" width="3.796875" style="91" customWidth="1"/>
    <col min="4609" max="4609" width="4.296875" style="91" customWidth="1"/>
    <col min="4610" max="4610" width="9.59765625" style="91" customWidth="1"/>
    <col min="4611" max="4611" width="7.796875" style="91" customWidth="1"/>
    <col min="4612" max="4612" width="33.09765625" style="91" customWidth="1"/>
    <col min="4613" max="4616" width="5.59765625" style="91" customWidth="1"/>
    <col min="4617" max="4617" width="0" style="91" hidden="1" customWidth="1"/>
    <col min="4618" max="4618" width="8.19921875" style="91" customWidth="1"/>
    <col min="4619" max="4619" width="0" style="91" hidden="1" customWidth="1"/>
    <col min="4620" max="4620" width="8.19921875" style="91" customWidth="1"/>
    <col min="4621" max="4621" width="7.796875" style="91"/>
    <col min="4622" max="4622" width="5.3984375" style="91" customWidth="1"/>
    <col min="4623" max="4624" width="7.796875" style="91"/>
    <col min="4625" max="4625" width="0" style="91" hidden="1" customWidth="1"/>
    <col min="4626" max="4626" width="7.796875" style="91"/>
    <col min="4627" max="4654" width="7.59765625" style="91" customWidth="1"/>
    <col min="4655" max="4862" width="7.796875" style="91"/>
    <col min="4863" max="4863" width="4.3984375" style="91" customWidth="1"/>
    <col min="4864" max="4864" width="3.796875" style="91" customWidth="1"/>
    <col min="4865" max="4865" width="4.296875" style="91" customWidth="1"/>
    <col min="4866" max="4866" width="9.59765625" style="91" customWidth="1"/>
    <col min="4867" max="4867" width="7.796875" style="91" customWidth="1"/>
    <col min="4868" max="4868" width="33.09765625" style="91" customWidth="1"/>
    <col min="4869" max="4872" width="5.59765625" style="91" customWidth="1"/>
    <col min="4873" max="4873" width="0" style="91" hidden="1" customWidth="1"/>
    <col min="4874" max="4874" width="8.19921875" style="91" customWidth="1"/>
    <col min="4875" max="4875" width="0" style="91" hidden="1" customWidth="1"/>
    <col min="4876" max="4876" width="8.19921875" style="91" customWidth="1"/>
    <col min="4877" max="4877" width="7.796875" style="91"/>
    <col min="4878" max="4878" width="5.3984375" style="91" customWidth="1"/>
    <col min="4879" max="4880" width="7.796875" style="91"/>
    <col min="4881" max="4881" width="0" style="91" hidden="1" customWidth="1"/>
    <col min="4882" max="4882" width="7.796875" style="91"/>
    <col min="4883" max="4910" width="7.59765625" style="91" customWidth="1"/>
    <col min="4911" max="5118" width="7.796875" style="91"/>
    <col min="5119" max="5119" width="4.3984375" style="91" customWidth="1"/>
    <col min="5120" max="5120" width="3.796875" style="91" customWidth="1"/>
    <col min="5121" max="5121" width="4.296875" style="91" customWidth="1"/>
    <col min="5122" max="5122" width="9.59765625" style="91" customWidth="1"/>
    <col min="5123" max="5123" width="7.796875" style="91" customWidth="1"/>
    <col min="5124" max="5124" width="33.09765625" style="91" customWidth="1"/>
    <col min="5125" max="5128" width="5.59765625" style="91" customWidth="1"/>
    <col min="5129" max="5129" width="0" style="91" hidden="1" customWidth="1"/>
    <col min="5130" max="5130" width="8.19921875" style="91" customWidth="1"/>
    <col min="5131" max="5131" width="0" style="91" hidden="1" customWidth="1"/>
    <col min="5132" max="5132" width="8.19921875" style="91" customWidth="1"/>
    <col min="5133" max="5133" width="7.796875" style="91"/>
    <col min="5134" max="5134" width="5.3984375" style="91" customWidth="1"/>
    <col min="5135" max="5136" width="7.796875" style="91"/>
    <col min="5137" max="5137" width="0" style="91" hidden="1" customWidth="1"/>
    <col min="5138" max="5138" width="7.796875" style="91"/>
    <col min="5139" max="5166" width="7.59765625" style="91" customWidth="1"/>
    <col min="5167" max="5374" width="7.796875" style="91"/>
    <col min="5375" max="5375" width="4.3984375" style="91" customWidth="1"/>
    <col min="5376" max="5376" width="3.796875" style="91" customWidth="1"/>
    <col min="5377" max="5377" width="4.296875" style="91" customWidth="1"/>
    <col min="5378" max="5378" width="9.59765625" style="91" customWidth="1"/>
    <col min="5379" max="5379" width="7.796875" style="91" customWidth="1"/>
    <col min="5380" max="5380" width="33.09765625" style="91" customWidth="1"/>
    <col min="5381" max="5384" width="5.59765625" style="91" customWidth="1"/>
    <col min="5385" max="5385" width="0" style="91" hidden="1" customWidth="1"/>
    <col min="5386" max="5386" width="8.19921875" style="91" customWidth="1"/>
    <col min="5387" max="5387" width="0" style="91" hidden="1" customWidth="1"/>
    <col min="5388" max="5388" width="8.19921875" style="91" customWidth="1"/>
    <col min="5389" max="5389" width="7.796875" style="91"/>
    <col min="5390" max="5390" width="5.3984375" style="91" customWidth="1"/>
    <col min="5391" max="5392" width="7.796875" style="91"/>
    <col min="5393" max="5393" width="0" style="91" hidden="1" customWidth="1"/>
    <col min="5394" max="5394" width="7.796875" style="91"/>
    <col min="5395" max="5422" width="7.59765625" style="91" customWidth="1"/>
    <col min="5423" max="5630" width="7.796875" style="91"/>
    <col min="5631" max="5631" width="4.3984375" style="91" customWidth="1"/>
    <col min="5632" max="5632" width="3.796875" style="91" customWidth="1"/>
    <col min="5633" max="5633" width="4.296875" style="91" customWidth="1"/>
    <col min="5634" max="5634" width="9.59765625" style="91" customWidth="1"/>
    <col min="5635" max="5635" width="7.796875" style="91" customWidth="1"/>
    <col min="5636" max="5636" width="33.09765625" style="91" customWidth="1"/>
    <col min="5637" max="5640" width="5.59765625" style="91" customWidth="1"/>
    <col min="5641" max="5641" width="0" style="91" hidden="1" customWidth="1"/>
    <col min="5642" max="5642" width="8.19921875" style="91" customWidth="1"/>
    <col min="5643" max="5643" width="0" style="91" hidden="1" customWidth="1"/>
    <col min="5644" max="5644" width="8.19921875" style="91" customWidth="1"/>
    <col min="5645" max="5645" width="7.796875" style="91"/>
    <col min="5646" max="5646" width="5.3984375" style="91" customWidth="1"/>
    <col min="5647" max="5648" width="7.796875" style="91"/>
    <col min="5649" max="5649" width="0" style="91" hidden="1" customWidth="1"/>
    <col min="5650" max="5650" width="7.796875" style="91"/>
    <col min="5651" max="5678" width="7.59765625" style="91" customWidth="1"/>
    <col min="5679" max="5886" width="7.796875" style="91"/>
    <col min="5887" max="5887" width="4.3984375" style="91" customWidth="1"/>
    <col min="5888" max="5888" width="3.796875" style="91" customWidth="1"/>
    <col min="5889" max="5889" width="4.296875" style="91" customWidth="1"/>
    <col min="5890" max="5890" width="9.59765625" style="91" customWidth="1"/>
    <col min="5891" max="5891" width="7.796875" style="91" customWidth="1"/>
    <col min="5892" max="5892" width="33.09765625" style="91" customWidth="1"/>
    <col min="5893" max="5896" width="5.59765625" style="91" customWidth="1"/>
    <col min="5897" max="5897" width="0" style="91" hidden="1" customWidth="1"/>
    <col min="5898" max="5898" width="8.19921875" style="91" customWidth="1"/>
    <col min="5899" max="5899" width="0" style="91" hidden="1" customWidth="1"/>
    <col min="5900" max="5900" width="8.19921875" style="91" customWidth="1"/>
    <col min="5901" max="5901" width="7.796875" style="91"/>
    <col min="5902" max="5902" width="5.3984375" style="91" customWidth="1"/>
    <col min="5903" max="5904" width="7.796875" style="91"/>
    <col min="5905" max="5905" width="0" style="91" hidden="1" customWidth="1"/>
    <col min="5906" max="5906" width="7.796875" style="91"/>
    <col min="5907" max="5934" width="7.59765625" style="91" customWidth="1"/>
    <col min="5935" max="6142" width="7.796875" style="91"/>
    <col min="6143" max="6143" width="4.3984375" style="91" customWidth="1"/>
    <col min="6144" max="6144" width="3.796875" style="91" customWidth="1"/>
    <col min="6145" max="6145" width="4.296875" style="91" customWidth="1"/>
    <col min="6146" max="6146" width="9.59765625" style="91" customWidth="1"/>
    <col min="6147" max="6147" width="7.796875" style="91" customWidth="1"/>
    <col min="6148" max="6148" width="33.09765625" style="91" customWidth="1"/>
    <col min="6149" max="6152" width="5.59765625" style="91" customWidth="1"/>
    <col min="6153" max="6153" width="0" style="91" hidden="1" customWidth="1"/>
    <col min="6154" max="6154" width="8.19921875" style="91" customWidth="1"/>
    <col min="6155" max="6155" width="0" style="91" hidden="1" customWidth="1"/>
    <col min="6156" max="6156" width="8.19921875" style="91" customWidth="1"/>
    <col min="6157" max="6157" width="7.796875" style="91"/>
    <col min="6158" max="6158" width="5.3984375" style="91" customWidth="1"/>
    <col min="6159" max="6160" width="7.796875" style="91"/>
    <col min="6161" max="6161" width="0" style="91" hidden="1" customWidth="1"/>
    <col min="6162" max="6162" width="7.796875" style="91"/>
    <col min="6163" max="6190" width="7.59765625" style="91" customWidth="1"/>
    <col min="6191" max="6398" width="7.796875" style="91"/>
    <col min="6399" max="6399" width="4.3984375" style="91" customWidth="1"/>
    <col min="6400" max="6400" width="3.796875" style="91" customWidth="1"/>
    <col min="6401" max="6401" width="4.296875" style="91" customWidth="1"/>
    <col min="6402" max="6402" width="9.59765625" style="91" customWidth="1"/>
    <col min="6403" max="6403" width="7.796875" style="91" customWidth="1"/>
    <col min="6404" max="6404" width="33.09765625" style="91" customWidth="1"/>
    <col min="6405" max="6408" width="5.59765625" style="91" customWidth="1"/>
    <col min="6409" max="6409" width="0" style="91" hidden="1" customWidth="1"/>
    <col min="6410" max="6410" width="8.19921875" style="91" customWidth="1"/>
    <col min="6411" max="6411" width="0" style="91" hidden="1" customWidth="1"/>
    <col min="6412" max="6412" width="8.19921875" style="91" customWidth="1"/>
    <col min="6413" max="6413" width="7.796875" style="91"/>
    <col min="6414" max="6414" width="5.3984375" style="91" customWidth="1"/>
    <col min="6415" max="6416" width="7.796875" style="91"/>
    <col min="6417" max="6417" width="0" style="91" hidden="1" customWidth="1"/>
    <col min="6418" max="6418" width="7.796875" style="91"/>
    <col min="6419" max="6446" width="7.59765625" style="91" customWidth="1"/>
    <col min="6447" max="6654" width="7.796875" style="91"/>
    <col min="6655" max="6655" width="4.3984375" style="91" customWidth="1"/>
    <col min="6656" max="6656" width="3.796875" style="91" customWidth="1"/>
    <col min="6657" max="6657" width="4.296875" style="91" customWidth="1"/>
    <col min="6658" max="6658" width="9.59765625" style="91" customWidth="1"/>
    <col min="6659" max="6659" width="7.796875" style="91" customWidth="1"/>
    <col min="6660" max="6660" width="33.09765625" style="91" customWidth="1"/>
    <col min="6661" max="6664" width="5.59765625" style="91" customWidth="1"/>
    <col min="6665" max="6665" width="0" style="91" hidden="1" customWidth="1"/>
    <col min="6666" max="6666" width="8.19921875" style="91" customWidth="1"/>
    <col min="6667" max="6667" width="0" style="91" hidden="1" customWidth="1"/>
    <col min="6668" max="6668" width="8.19921875" style="91" customWidth="1"/>
    <col min="6669" max="6669" width="7.796875" style="91"/>
    <col min="6670" max="6670" width="5.3984375" style="91" customWidth="1"/>
    <col min="6671" max="6672" width="7.796875" style="91"/>
    <col min="6673" max="6673" width="0" style="91" hidden="1" customWidth="1"/>
    <col min="6674" max="6674" width="7.796875" style="91"/>
    <col min="6675" max="6702" width="7.59765625" style="91" customWidth="1"/>
    <col min="6703" max="6910" width="7.796875" style="91"/>
    <col min="6911" max="6911" width="4.3984375" style="91" customWidth="1"/>
    <col min="6912" max="6912" width="3.796875" style="91" customWidth="1"/>
    <col min="6913" max="6913" width="4.296875" style="91" customWidth="1"/>
    <col min="6914" max="6914" width="9.59765625" style="91" customWidth="1"/>
    <col min="6915" max="6915" width="7.796875" style="91" customWidth="1"/>
    <col min="6916" max="6916" width="33.09765625" style="91" customWidth="1"/>
    <col min="6917" max="6920" width="5.59765625" style="91" customWidth="1"/>
    <col min="6921" max="6921" width="0" style="91" hidden="1" customWidth="1"/>
    <col min="6922" max="6922" width="8.19921875" style="91" customWidth="1"/>
    <col min="6923" max="6923" width="0" style="91" hidden="1" customWidth="1"/>
    <col min="6924" max="6924" width="8.19921875" style="91" customWidth="1"/>
    <col min="6925" max="6925" width="7.796875" style="91"/>
    <col min="6926" max="6926" width="5.3984375" style="91" customWidth="1"/>
    <col min="6927" max="6928" width="7.796875" style="91"/>
    <col min="6929" max="6929" width="0" style="91" hidden="1" customWidth="1"/>
    <col min="6930" max="6930" width="7.796875" style="91"/>
    <col min="6931" max="6958" width="7.59765625" style="91" customWidth="1"/>
    <col min="6959" max="7166" width="7.796875" style="91"/>
    <col min="7167" max="7167" width="4.3984375" style="91" customWidth="1"/>
    <col min="7168" max="7168" width="3.796875" style="91" customWidth="1"/>
    <col min="7169" max="7169" width="4.296875" style="91" customWidth="1"/>
    <col min="7170" max="7170" width="9.59765625" style="91" customWidth="1"/>
    <col min="7171" max="7171" width="7.796875" style="91" customWidth="1"/>
    <col min="7172" max="7172" width="33.09765625" style="91" customWidth="1"/>
    <col min="7173" max="7176" width="5.59765625" style="91" customWidth="1"/>
    <col min="7177" max="7177" width="0" style="91" hidden="1" customWidth="1"/>
    <col min="7178" max="7178" width="8.19921875" style="91" customWidth="1"/>
    <col min="7179" max="7179" width="0" style="91" hidden="1" customWidth="1"/>
    <col min="7180" max="7180" width="8.19921875" style="91" customWidth="1"/>
    <col min="7181" max="7181" width="7.796875" style="91"/>
    <col min="7182" max="7182" width="5.3984375" style="91" customWidth="1"/>
    <col min="7183" max="7184" width="7.796875" style="91"/>
    <col min="7185" max="7185" width="0" style="91" hidden="1" customWidth="1"/>
    <col min="7186" max="7186" width="7.796875" style="91"/>
    <col min="7187" max="7214" width="7.59765625" style="91" customWidth="1"/>
    <col min="7215" max="7422" width="7.796875" style="91"/>
    <col min="7423" max="7423" width="4.3984375" style="91" customWidth="1"/>
    <col min="7424" max="7424" width="3.796875" style="91" customWidth="1"/>
    <col min="7425" max="7425" width="4.296875" style="91" customWidth="1"/>
    <col min="7426" max="7426" width="9.59765625" style="91" customWidth="1"/>
    <col min="7427" max="7427" width="7.796875" style="91" customWidth="1"/>
    <col min="7428" max="7428" width="33.09765625" style="91" customWidth="1"/>
    <col min="7429" max="7432" width="5.59765625" style="91" customWidth="1"/>
    <col min="7433" max="7433" width="0" style="91" hidden="1" customWidth="1"/>
    <col min="7434" max="7434" width="8.19921875" style="91" customWidth="1"/>
    <col min="7435" max="7435" width="0" style="91" hidden="1" customWidth="1"/>
    <col min="7436" max="7436" width="8.19921875" style="91" customWidth="1"/>
    <col min="7437" max="7437" width="7.796875" style="91"/>
    <col min="7438" max="7438" width="5.3984375" style="91" customWidth="1"/>
    <col min="7439" max="7440" width="7.796875" style="91"/>
    <col min="7441" max="7441" width="0" style="91" hidden="1" customWidth="1"/>
    <col min="7442" max="7442" width="7.796875" style="91"/>
    <col min="7443" max="7470" width="7.59765625" style="91" customWidth="1"/>
    <col min="7471" max="7678" width="7.796875" style="91"/>
    <col min="7679" max="7679" width="4.3984375" style="91" customWidth="1"/>
    <col min="7680" max="7680" width="3.796875" style="91" customWidth="1"/>
    <col min="7681" max="7681" width="4.296875" style="91" customWidth="1"/>
    <col min="7682" max="7682" width="9.59765625" style="91" customWidth="1"/>
    <col min="7683" max="7683" width="7.796875" style="91" customWidth="1"/>
    <col min="7684" max="7684" width="33.09765625" style="91" customWidth="1"/>
    <col min="7685" max="7688" width="5.59765625" style="91" customWidth="1"/>
    <col min="7689" max="7689" width="0" style="91" hidden="1" customWidth="1"/>
    <col min="7690" max="7690" width="8.19921875" style="91" customWidth="1"/>
    <col min="7691" max="7691" width="0" style="91" hidden="1" customWidth="1"/>
    <col min="7692" max="7692" width="8.19921875" style="91" customWidth="1"/>
    <col min="7693" max="7693" width="7.796875" style="91"/>
    <col min="7694" max="7694" width="5.3984375" style="91" customWidth="1"/>
    <col min="7695" max="7696" width="7.796875" style="91"/>
    <col min="7697" max="7697" width="0" style="91" hidden="1" customWidth="1"/>
    <col min="7698" max="7698" width="7.796875" style="91"/>
    <col min="7699" max="7726" width="7.59765625" style="91" customWidth="1"/>
    <col min="7727" max="7934" width="7.796875" style="91"/>
    <col min="7935" max="7935" width="4.3984375" style="91" customWidth="1"/>
    <col min="7936" max="7936" width="3.796875" style="91" customWidth="1"/>
    <col min="7937" max="7937" width="4.296875" style="91" customWidth="1"/>
    <col min="7938" max="7938" width="9.59765625" style="91" customWidth="1"/>
    <col min="7939" max="7939" width="7.796875" style="91" customWidth="1"/>
    <col min="7940" max="7940" width="33.09765625" style="91" customWidth="1"/>
    <col min="7941" max="7944" width="5.59765625" style="91" customWidth="1"/>
    <col min="7945" max="7945" width="0" style="91" hidden="1" customWidth="1"/>
    <col min="7946" max="7946" width="8.19921875" style="91" customWidth="1"/>
    <col min="7947" max="7947" width="0" style="91" hidden="1" customWidth="1"/>
    <col min="7948" max="7948" width="8.19921875" style="91" customWidth="1"/>
    <col min="7949" max="7949" width="7.796875" style="91"/>
    <col min="7950" max="7950" width="5.3984375" style="91" customWidth="1"/>
    <col min="7951" max="7952" width="7.796875" style="91"/>
    <col min="7953" max="7953" width="0" style="91" hidden="1" customWidth="1"/>
    <col min="7954" max="7954" width="7.796875" style="91"/>
    <col min="7955" max="7982" width="7.59765625" style="91" customWidth="1"/>
    <col min="7983" max="8190" width="7.796875" style="91"/>
    <col min="8191" max="8191" width="4.3984375" style="91" customWidth="1"/>
    <col min="8192" max="8192" width="3.796875" style="91" customWidth="1"/>
    <col min="8193" max="8193" width="4.296875" style="91" customWidth="1"/>
    <col min="8194" max="8194" width="9.59765625" style="91" customWidth="1"/>
    <col min="8195" max="8195" width="7.796875" style="91" customWidth="1"/>
    <col min="8196" max="8196" width="33.09765625" style="91" customWidth="1"/>
    <col min="8197" max="8200" width="5.59765625" style="91" customWidth="1"/>
    <col min="8201" max="8201" width="0" style="91" hidden="1" customWidth="1"/>
    <col min="8202" max="8202" width="8.19921875" style="91" customWidth="1"/>
    <col min="8203" max="8203" width="0" style="91" hidden="1" customWidth="1"/>
    <col min="8204" max="8204" width="8.19921875" style="91" customWidth="1"/>
    <col min="8205" max="8205" width="7.796875" style="91"/>
    <col min="8206" max="8206" width="5.3984375" style="91" customWidth="1"/>
    <col min="8207" max="8208" width="7.796875" style="91"/>
    <col min="8209" max="8209" width="0" style="91" hidden="1" customWidth="1"/>
    <col min="8210" max="8210" width="7.796875" style="91"/>
    <col min="8211" max="8238" width="7.59765625" style="91" customWidth="1"/>
    <col min="8239" max="8446" width="7.796875" style="91"/>
    <col min="8447" max="8447" width="4.3984375" style="91" customWidth="1"/>
    <col min="8448" max="8448" width="3.796875" style="91" customWidth="1"/>
    <col min="8449" max="8449" width="4.296875" style="91" customWidth="1"/>
    <col min="8450" max="8450" width="9.59765625" style="91" customWidth="1"/>
    <col min="8451" max="8451" width="7.796875" style="91" customWidth="1"/>
    <col min="8452" max="8452" width="33.09765625" style="91" customWidth="1"/>
    <col min="8453" max="8456" width="5.59765625" style="91" customWidth="1"/>
    <col min="8457" max="8457" width="0" style="91" hidden="1" customWidth="1"/>
    <col min="8458" max="8458" width="8.19921875" style="91" customWidth="1"/>
    <col min="8459" max="8459" width="0" style="91" hidden="1" customWidth="1"/>
    <col min="8460" max="8460" width="8.19921875" style="91" customWidth="1"/>
    <col min="8461" max="8461" width="7.796875" style="91"/>
    <col min="8462" max="8462" width="5.3984375" style="91" customWidth="1"/>
    <col min="8463" max="8464" width="7.796875" style="91"/>
    <col min="8465" max="8465" width="0" style="91" hidden="1" customWidth="1"/>
    <col min="8466" max="8466" width="7.796875" style="91"/>
    <col min="8467" max="8494" width="7.59765625" style="91" customWidth="1"/>
    <col min="8495" max="8702" width="7.796875" style="91"/>
    <col min="8703" max="8703" width="4.3984375" style="91" customWidth="1"/>
    <col min="8704" max="8704" width="3.796875" style="91" customWidth="1"/>
    <col min="8705" max="8705" width="4.296875" style="91" customWidth="1"/>
    <col min="8706" max="8706" width="9.59765625" style="91" customWidth="1"/>
    <col min="8707" max="8707" width="7.796875" style="91" customWidth="1"/>
    <col min="8708" max="8708" width="33.09765625" style="91" customWidth="1"/>
    <col min="8709" max="8712" width="5.59765625" style="91" customWidth="1"/>
    <col min="8713" max="8713" width="0" style="91" hidden="1" customWidth="1"/>
    <col min="8714" max="8714" width="8.19921875" style="91" customWidth="1"/>
    <col min="8715" max="8715" width="0" style="91" hidden="1" customWidth="1"/>
    <col min="8716" max="8716" width="8.19921875" style="91" customWidth="1"/>
    <col min="8717" max="8717" width="7.796875" style="91"/>
    <col min="8718" max="8718" width="5.3984375" style="91" customWidth="1"/>
    <col min="8719" max="8720" width="7.796875" style="91"/>
    <col min="8721" max="8721" width="0" style="91" hidden="1" customWidth="1"/>
    <col min="8722" max="8722" width="7.796875" style="91"/>
    <col min="8723" max="8750" width="7.59765625" style="91" customWidth="1"/>
    <col min="8751" max="8958" width="7.796875" style="91"/>
    <col min="8959" max="8959" width="4.3984375" style="91" customWidth="1"/>
    <col min="8960" max="8960" width="3.796875" style="91" customWidth="1"/>
    <col min="8961" max="8961" width="4.296875" style="91" customWidth="1"/>
    <col min="8962" max="8962" width="9.59765625" style="91" customWidth="1"/>
    <col min="8963" max="8963" width="7.796875" style="91" customWidth="1"/>
    <col min="8964" max="8964" width="33.09765625" style="91" customWidth="1"/>
    <col min="8965" max="8968" width="5.59765625" style="91" customWidth="1"/>
    <col min="8969" max="8969" width="0" style="91" hidden="1" customWidth="1"/>
    <col min="8970" max="8970" width="8.19921875" style="91" customWidth="1"/>
    <col min="8971" max="8971" width="0" style="91" hidden="1" customWidth="1"/>
    <col min="8972" max="8972" width="8.19921875" style="91" customWidth="1"/>
    <col min="8973" max="8973" width="7.796875" style="91"/>
    <col min="8974" max="8974" width="5.3984375" style="91" customWidth="1"/>
    <col min="8975" max="8976" width="7.796875" style="91"/>
    <col min="8977" max="8977" width="0" style="91" hidden="1" customWidth="1"/>
    <col min="8978" max="8978" width="7.796875" style="91"/>
    <col min="8979" max="9006" width="7.59765625" style="91" customWidth="1"/>
    <col min="9007" max="9214" width="7.796875" style="91"/>
    <col min="9215" max="9215" width="4.3984375" style="91" customWidth="1"/>
    <col min="9216" max="9216" width="3.796875" style="91" customWidth="1"/>
    <col min="9217" max="9217" width="4.296875" style="91" customWidth="1"/>
    <col min="9218" max="9218" width="9.59765625" style="91" customWidth="1"/>
    <col min="9219" max="9219" width="7.796875" style="91" customWidth="1"/>
    <col min="9220" max="9220" width="33.09765625" style="91" customWidth="1"/>
    <col min="9221" max="9224" width="5.59765625" style="91" customWidth="1"/>
    <col min="9225" max="9225" width="0" style="91" hidden="1" customWidth="1"/>
    <col min="9226" max="9226" width="8.19921875" style="91" customWidth="1"/>
    <col min="9227" max="9227" width="0" style="91" hidden="1" customWidth="1"/>
    <col min="9228" max="9228" width="8.19921875" style="91" customWidth="1"/>
    <col min="9229" max="9229" width="7.796875" style="91"/>
    <col min="9230" max="9230" width="5.3984375" style="91" customWidth="1"/>
    <col min="9231" max="9232" width="7.796875" style="91"/>
    <col min="9233" max="9233" width="0" style="91" hidden="1" customWidth="1"/>
    <col min="9234" max="9234" width="7.796875" style="91"/>
    <col min="9235" max="9262" width="7.59765625" style="91" customWidth="1"/>
    <col min="9263" max="9470" width="7.796875" style="91"/>
    <col min="9471" max="9471" width="4.3984375" style="91" customWidth="1"/>
    <col min="9472" max="9472" width="3.796875" style="91" customWidth="1"/>
    <col min="9473" max="9473" width="4.296875" style="91" customWidth="1"/>
    <col min="9474" max="9474" width="9.59765625" style="91" customWidth="1"/>
    <col min="9475" max="9475" width="7.796875" style="91" customWidth="1"/>
    <col min="9476" max="9476" width="33.09765625" style="91" customWidth="1"/>
    <col min="9477" max="9480" width="5.59765625" style="91" customWidth="1"/>
    <col min="9481" max="9481" width="0" style="91" hidden="1" customWidth="1"/>
    <col min="9482" max="9482" width="8.19921875" style="91" customWidth="1"/>
    <col min="9483" max="9483" width="0" style="91" hidden="1" customWidth="1"/>
    <col min="9484" max="9484" width="8.19921875" style="91" customWidth="1"/>
    <col min="9485" max="9485" width="7.796875" style="91"/>
    <col min="9486" max="9486" width="5.3984375" style="91" customWidth="1"/>
    <col min="9487" max="9488" width="7.796875" style="91"/>
    <col min="9489" max="9489" width="0" style="91" hidden="1" customWidth="1"/>
    <col min="9490" max="9490" width="7.796875" style="91"/>
    <col min="9491" max="9518" width="7.59765625" style="91" customWidth="1"/>
    <col min="9519" max="9726" width="7.796875" style="91"/>
    <col min="9727" max="9727" width="4.3984375" style="91" customWidth="1"/>
    <col min="9728" max="9728" width="3.796875" style="91" customWidth="1"/>
    <col min="9729" max="9729" width="4.296875" style="91" customWidth="1"/>
    <col min="9730" max="9730" width="9.59765625" style="91" customWidth="1"/>
    <col min="9731" max="9731" width="7.796875" style="91" customWidth="1"/>
    <col min="9732" max="9732" width="33.09765625" style="91" customWidth="1"/>
    <col min="9733" max="9736" width="5.59765625" style="91" customWidth="1"/>
    <col min="9737" max="9737" width="0" style="91" hidden="1" customWidth="1"/>
    <col min="9738" max="9738" width="8.19921875" style="91" customWidth="1"/>
    <col min="9739" max="9739" width="0" style="91" hidden="1" customWidth="1"/>
    <col min="9740" max="9740" width="8.19921875" style="91" customWidth="1"/>
    <col min="9741" max="9741" width="7.796875" style="91"/>
    <col min="9742" max="9742" width="5.3984375" style="91" customWidth="1"/>
    <col min="9743" max="9744" width="7.796875" style="91"/>
    <col min="9745" max="9745" width="0" style="91" hidden="1" customWidth="1"/>
    <col min="9746" max="9746" width="7.796875" style="91"/>
    <col min="9747" max="9774" width="7.59765625" style="91" customWidth="1"/>
    <col min="9775" max="9982" width="7.796875" style="91"/>
    <col min="9983" max="9983" width="4.3984375" style="91" customWidth="1"/>
    <col min="9984" max="9984" width="3.796875" style="91" customWidth="1"/>
    <col min="9985" max="9985" width="4.296875" style="91" customWidth="1"/>
    <col min="9986" max="9986" width="9.59765625" style="91" customWidth="1"/>
    <col min="9987" max="9987" width="7.796875" style="91" customWidth="1"/>
    <col min="9988" max="9988" width="33.09765625" style="91" customWidth="1"/>
    <col min="9989" max="9992" width="5.59765625" style="91" customWidth="1"/>
    <col min="9993" max="9993" width="0" style="91" hidden="1" customWidth="1"/>
    <col min="9994" max="9994" width="8.19921875" style="91" customWidth="1"/>
    <col min="9995" max="9995" width="0" style="91" hidden="1" customWidth="1"/>
    <col min="9996" max="9996" width="8.19921875" style="91" customWidth="1"/>
    <col min="9997" max="9997" width="7.796875" style="91"/>
    <col min="9998" max="9998" width="5.3984375" style="91" customWidth="1"/>
    <col min="9999" max="10000" width="7.796875" style="91"/>
    <col min="10001" max="10001" width="0" style="91" hidden="1" customWidth="1"/>
    <col min="10002" max="10002" width="7.796875" style="91"/>
    <col min="10003" max="10030" width="7.59765625" style="91" customWidth="1"/>
    <col min="10031" max="10238" width="7.796875" style="91"/>
    <col min="10239" max="10239" width="4.3984375" style="91" customWidth="1"/>
    <col min="10240" max="10240" width="3.796875" style="91" customWidth="1"/>
    <col min="10241" max="10241" width="4.296875" style="91" customWidth="1"/>
    <col min="10242" max="10242" width="9.59765625" style="91" customWidth="1"/>
    <col min="10243" max="10243" width="7.796875" style="91" customWidth="1"/>
    <col min="10244" max="10244" width="33.09765625" style="91" customWidth="1"/>
    <col min="10245" max="10248" width="5.59765625" style="91" customWidth="1"/>
    <col min="10249" max="10249" width="0" style="91" hidden="1" customWidth="1"/>
    <col min="10250" max="10250" width="8.19921875" style="91" customWidth="1"/>
    <col min="10251" max="10251" width="0" style="91" hidden="1" customWidth="1"/>
    <col min="10252" max="10252" width="8.19921875" style="91" customWidth="1"/>
    <col min="10253" max="10253" width="7.796875" style="91"/>
    <col min="10254" max="10254" width="5.3984375" style="91" customWidth="1"/>
    <col min="10255" max="10256" width="7.796875" style="91"/>
    <col min="10257" max="10257" width="0" style="91" hidden="1" customWidth="1"/>
    <col min="10258" max="10258" width="7.796875" style="91"/>
    <col min="10259" max="10286" width="7.59765625" style="91" customWidth="1"/>
    <col min="10287" max="10494" width="7.796875" style="91"/>
    <col min="10495" max="10495" width="4.3984375" style="91" customWidth="1"/>
    <col min="10496" max="10496" width="3.796875" style="91" customWidth="1"/>
    <col min="10497" max="10497" width="4.296875" style="91" customWidth="1"/>
    <col min="10498" max="10498" width="9.59765625" style="91" customWidth="1"/>
    <col min="10499" max="10499" width="7.796875" style="91" customWidth="1"/>
    <col min="10500" max="10500" width="33.09765625" style="91" customWidth="1"/>
    <col min="10501" max="10504" width="5.59765625" style="91" customWidth="1"/>
    <col min="10505" max="10505" width="0" style="91" hidden="1" customWidth="1"/>
    <col min="10506" max="10506" width="8.19921875" style="91" customWidth="1"/>
    <col min="10507" max="10507" width="0" style="91" hidden="1" customWidth="1"/>
    <col min="10508" max="10508" width="8.19921875" style="91" customWidth="1"/>
    <col min="10509" max="10509" width="7.796875" style="91"/>
    <col min="10510" max="10510" width="5.3984375" style="91" customWidth="1"/>
    <col min="10511" max="10512" width="7.796875" style="91"/>
    <col min="10513" max="10513" width="0" style="91" hidden="1" customWidth="1"/>
    <col min="10514" max="10514" width="7.796875" style="91"/>
    <col min="10515" max="10542" width="7.59765625" style="91" customWidth="1"/>
    <col min="10543" max="10750" width="7.796875" style="91"/>
    <col min="10751" max="10751" width="4.3984375" style="91" customWidth="1"/>
    <col min="10752" max="10752" width="3.796875" style="91" customWidth="1"/>
    <col min="10753" max="10753" width="4.296875" style="91" customWidth="1"/>
    <col min="10754" max="10754" width="9.59765625" style="91" customWidth="1"/>
    <col min="10755" max="10755" width="7.796875" style="91" customWidth="1"/>
    <col min="10756" max="10756" width="33.09765625" style="91" customWidth="1"/>
    <col min="10757" max="10760" width="5.59765625" style="91" customWidth="1"/>
    <col min="10761" max="10761" width="0" style="91" hidden="1" customWidth="1"/>
    <col min="10762" max="10762" width="8.19921875" style="91" customWidth="1"/>
    <col min="10763" max="10763" width="0" style="91" hidden="1" customWidth="1"/>
    <col min="10764" max="10764" width="8.19921875" style="91" customWidth="1"/>
    <col min="10765" max="10765" width="7.796875" style="91"/>
    <col min="10766" max="10766" width="5.3984375" style="91" customWidth="1"/>
    <col min="10767" max="10768" width="7.796875" style="91"/>
    <col min="10769" max="10769" width="0" style="91" hidden="1" customWidth="1"/>
    <col min="10770" max="10770" width="7.796875" style="91"/>
    <col min="10771" max="10798" width="7.59765625" style="91" customWidth="1"/>
    <col min="10799" max="11006" width="7.796875" style="91"/>
    <col min="11007" max="11007" width="4.3984375" style="91" customWidth="1"/>
    <col min="11008" max="11008" width="3.796875" style="91" customWidth="1"/>
    <col min="11009" max="11009" width="4.296875" style="91" customWidth="1"/>
    <col min="11010" max="11010" width="9.59765625" style="91" customWidth="1"/>
    <col min="11011" max="11011" width="7.796875" style="91" customWidth="1"/>
    <col min="11012" max="11012" width="33.09765625" style="91" customWidth="1"/>
    <col min="11013" max="11016" width="5.59765625" style="91" customWidth="1"/>
    <col min="11017" max="11017" width="0" style="91" hidden="1" customWidth="1"/>
    <col min="11018" max="11018" width="8.19921875" style="91" customWidth="1"/>
    <col min="11019" max="11019" width="0" style="91" hidden="1" customWidth="1"/>
    <col min="11020" max="11020" width="8.19921875" style="91" customWidth="1"/>
    <col min="11021" max="11021" width="7.796875" style="91"/>
    <col min="11022" max="11022" width="5.3984375" style="91" customWidth="1"/>
    <col min="11023" max="11024" width="7.796875" style="91"/>
    <col min="11025" max="11025" width="0" style="91" hidden="1" customWidth="1"/>
    <col min="11026" max="11026" width="7.796875" style="91"/>
    <col min="11027" max="11054" width="7.59765625" style="91" customWidth="1"/>
    <col min="11055" max="11262" width="7.796875" style="91"/>
    <col min="11263" max="11263" width="4.3984375" style="91" customWidth="1"/>
    <col min="11264" max="11264" width="3.796875" style="91" customWidth="1"/>
    <col min="11265" max="11265" width="4.296875" style="91" customWidth="1"/>
    <col min="11266" max="11266" width="9.59765625" style="91" customWidth="1"/>
    <col min="11267" max="11267" width="7.796875" style="91" customWidth="1"/>
    <col min="11268" max="11268" width="33.09765625" style="91" customWidth="1"/>
    <col min="11269" max="11272" width="5.59765625" style="91" customWidth="1"/>
    <col min="11273" max="11273" width="0" style="91" hidden="1" customWidth="1"/>
    <col min="11274" max="11274" width="8.19921875" style="91" customWidth="1"/>
    <col min="11275" max="11275" width="0" style="91" hidden="1" customWidth="1"/>
    <col min="11276" max="11276" width="8.19921875" style="91" customWidth="1"/>
    <col min="11277" max="11277" width="7.796875" style="91"/>
    <col min="11278" max="11278" width="5.3984375" style="91" customWidth="1"/>
    <col min="11279" max="11280" width="7.796875" style="91"/>
    <col min="11281" max="11281" width="0" style="91" hidden="1" customWidth="1"/>
    <col min="11282" max="11282" width="7.796875" style="91"/>
    <col min="11283" max="11310" width="7.59765625" style="91" customWidth="1"/>
    <col min="11311" max="11518" width="7.796875" style="91"/>
    <col min="11519" max="11519" width="4.3984375" style="91" customWidth="1"/>
    <col min="11520" max="11520" width="3.796875" style="91" customWidth="1"/>
    <col min="11521" max="11521" width="4.296875" style="91" customWidth="1"/>
    <col min="11522" max="11522" width="9.59765625" style="91" customWidth="1"/>
    <col min="11523" max="11523" width="7.796875" style="91" customWidth="1"/>
    <col min="11524" max="11524" width="33.09765625" style="91" customWidth="1"/>
    <col min="11525" max="11528" width="5.59765625" style="91" customWidth="1"/>
    <col min="11529" max="11529" width="0" style="91" hidden="1" customWidth="1"/>
    <col min="11530" max="11530" width="8.19921875" style="91" customWidth="1"/>
    <col min="11531" max="11531" width="0" style="91" hidden="1" customWidth="1"/>
    <col min="11532" max="11532" width="8.19921875" style="91" customWidth="1"/>
    <col min="11533" max="11533" width="7.796875" style="91"/>
    <col min="11534" max="11534" width="5.3984375" style="91" customWidth="1"/>
    <col min="11535" max="11536" width="7.796875" style="91"/>
    <col min="11537" max="11537" width="0" style="91" hidden="1" customWidth="1"/>
    <col min="11538" max="11538" width="7.796875" style="91"/>
    <col min="11539" max="11566" width="7.59765625" style="91" customWidth="1"/>
    <col min="11567" max="11774" width="7.796875" style="91"/>
    <col min="11775" max="11775" width="4.3984375" style="91" customWidth="1"/>
    <col min="11776" max="11776" width="3.796875" style="91" customWidth="1"/>
    <col min="11777" max="11777" width="4.296875" style="91" customWidth="1"/>
    <col min="11778" max="11778" width="9.59765625" style="91" customWidth="1"/>
    <col min="11779" max="11779" width="7.796875" style="91" customWidth="1"/>
    <col min="11780" max="11780" width="33.09765625" style="91" customWidth="1"/>
    <col min="11781" max="11784" width="5.59765625" style="91" customWidth="1"/>
    <col min="11785" max="11785" width="0" style="91" hidden="1" customWidth="1"/>
    <col min="11786" max="11786" width="8.19921875" style="91" customWidth="1"/>
    <col min="11787" max="11787" width="0" style="91" hidden="1" customWidth="1"/>
    <col min="11788" max="11788" width="8.19921875" style="91" customWidth="1"/>
    <col min="11789" max="11789" width="7.796875" style="91"/>
    <col min="11790" max="11790" width="5.3984375" style="91" customWidth="1"/>
    <col min="11791" max="11792" width="7.796875" style="91"/>
    <col min="11793" max="11793" width="0" style="91" hidden="1" customWidth="1"/>
    <col min="11794" max="11794" width="7.796875" style="91"/>
    <col min="11795" max="11822" width="7.59765625" style="91" customWidth="1"/>
    <col min="11823" max="12030" width="7.796875" style="91"/>
    <col min="12031" max="12031" width="4.3984375" style="91" customWidth="1"/>
    <col min="12032" max="12032" width="3.796875" style="91" customWidth="1"/>
    <col min="12033" max="12033" width="4.296875" style="91" customWidth="1"/>
    <col min="12034" max="12034" width="9.59765625" style="91" customWidth="1"/>
    <col min="12035" max="12035" width="7.796875" style="91" customWidth="1"/>
    <col min="12036" max="12036" width="33.09765625" style="91" customWidth="1"/>
    <col min="12037" max="12040" width="5.59765625" style="91" customWidth="1"/>
    <col min="12041" max="12041" width="0" style="91" hidden="1" customWidth="1"/>
    <col min="12042" max="12042" width="8.19921875" style="91" customWidth="1"/>
    <col min="12043" max="12043" width="0" style="91" hidden="1" customWidth="1"/>
    <col min="12044" max="12044" width="8.19921875" style="91" customWidth="1"/>
    <col min="12045" max="12045" width="7.796875" style="91"/>
    <col min="12046" max="12046" width="5.3984375" style="91" customWidth="1"/>
    <col min="12047" max="12048" width="7.796875" style="91"/>
    <col min="12049" max="12049" width="0" style="91" hidden="1" customWidth="1"/>
    <col min="12050" max="12050" width="7.796875" style="91"/>
    <col min="12051" max="12078" width="7.59765625" style="91" customWidth="1"/>
    <col min="12079" max="12286" width="7.796875" style="91"/>
    <col min="12287" max="12287" width="4.3984375" style="91" customWidth="1"/>
    <col min="12288" max="12288" width="3.796875" style="91" customWidth="1"/>
    <col min="12289" max="12289" width="4.296875" style="91" customWidth="1"/>
    <col min="12290" max="12290" width="9.59765625" style="91" customWidth="1"/>
    <col min="12291" max="12291" width="7.796875" style="91" customWidth="1"/>
    <col min="12292" max="12292" width="33.09765625" style="91" customWidth="1"/>
    <col min="12293" max="12296" width="5.59765625" style="91" customWidth="1"/>
    <col min="12297" max="12297" width="0" style="91" hidden="1" customWidth="1"/>
    <col min="12298" max="12298" width="8.19921875" style="91" customWidth="1"/>
    <col min="12299" max="12299" width="0" style="91" hidden="1" customWidth="1"/>
    <col min="12300" max="12300" width="8.19921875" style="91" customWidth="1"/>
    <col min="12301" max="12301" width="7.796875" style="91"/>
    <col min="12302" max="12302" width="5.3984375" style="91" customWidth="1"/>
    <col min="12303" max="12304" width="7.796875" style="91"/>
    <col min="12305" max="12305" width="0" style="91" hidden="1" customWidth="1"/>
    <col min="12306" max="12306" width="7.796875" style="91"/>
    <col min="12307" max="12334" width="7.59765625" style="91" customWidth="1"/>
    <col min="12335" max="12542" width="7.796875" style="91"/>
    <col min="12543" max="12543" width="4.3984375" style="91" customWidth="1"/>
    <col min="12544" max="12544" width="3.796875" style="91" customWidth="1"/>
    <col min="12545" max="12545" width="4.296875" style="91" customWidth="1"/>
    <col min="12546" max="12546" width="9.59765625" style="91" customWidth="1"/>
    <col min="12547" max="12547" width="7.796875" style="91" customWidth="1"/>
    <col min="12548" max="12548" width="33.09765625" style="91" customWidth="1"/>
    <col min="12549" max="12552" width="5.59765625" style="91" customWidth="1"/>
    <col min="12553" max="12553" width="0" style="91" hidden="1" customWidth="1"/>
    <col min="12554" max="12554" width="8.19921875" style="91" customWidth="1"/>
    <col min="12555" max="12555" width="0" style="91" hidden="1" customWidth="1"/>
    <col min="12556" max="12556" width="8.19921875" style="91" customWidth="1"/>
    <col min="12557" max="12557" width="7.796875" style="91"/>
    <col min="12558" max="12558" width="5.3984375" style="91" customWidth="1"/>
    <col min="12559" max="12560" width="7.796875" style="91"/>
    <col min="12561" max="12561" width="0" style="91" hidden="1" customWidth="1"/>
    <col min="12562" max="12562" width="7.796875" style="91"/>
    <col min="12563" max="12590" width="7.59765625" style="91" customWidth="1"/>
    <col min="12591" max="12798" width="7.796875" style="91"/>
    <col min="12799" max="12799" width="4.3984375" style="91" customWidth="1"/>
    <col min="12800" max="12800" width="3.796875" style="91" customWidth="1"/>
    <col min="12801" max="12801" width="4.296875" style="91" customWidth="1"/>
    <col min="12802" max="12802" width="9.59765625" style="91" customWidth="1"/>
    <col min="12803" max="12803" width="7.796875" style="91" customWidth="1"/>
    <col min="12804" max="12804" width="33.09765625" style="91" customWidth="1"/>
    <col min="12805" max="12808" width="5.59765625" style="91" customWidth="1"/>
    <col min="12809" max="12809" width="0" style="91" hidden="1" customWidth="1"/>
    <col min="12810" max="12810" width="8.19921875" style="91" customWidth="1"/>
    <col min="12811" max="12811" width="0" style="91" hidden="1" customWidth="1"/>
    <col min="12812" max="12812" width="8.19921875" style="91" customWidth="1"/>
    <col min="12813" max="12813" width="7.796875" style="91"/>
    <col min="12814" max="12814" width="5.3984375" style="91" customWidth="1"/>
    <col min="12815" max="12816" width="7.796875" style="91"/>
    <col min="12817" max="12817" width="0" style="91" hidden="1" customWidth="1"/>
    <col min="12818" max="12818" width="7.796875" style="91"/>
    <col min="12819" max="12846" width="7.59765625" style="91" customWidth="1"/>
    <col min="12847" max="13054" width="7.796875" style="91"/>
    <col min="13055" max="13055" width="4.3984375" style="91" customWidth="1"/>
    <col min="13056" max="13056" width="3.796875" style="91" customWidth="1"/>
    <col min="13057" max="13057" width="4.296875" style="91" customWidth="1"/>
    <col min="13058" max="13058" width="9.59765625" style="91" customWidth="1"/>
    <col min="13059" max="13059" width="7.796875" style="91" customWidth="1"/>
    <col min="13060" max="13060" width="33.09765625" style="91" customWidth="1"/>
    <col min="13061" max="13064" width="5.59765625" style="91" customWidth="1"/>
    <col min="13065" max="13065" width="0" style="91" hidden="1" customWidth="1"/>
    <col min="13066" max="13066" width="8.19921875" style="91" customWidth="1"/>
    <col min="13067" max="13067" width="0" style="91" hidden="1" customWidth="1"/>
    <col min="13068" max="13068" width="8.19921875" style="91" customWidth="1"/>
    <col min="13069" max="13069" width="7.796875" style="91"/>
    <col min="13070" max="13070" width="5.3984375" style="91" customWidth="1"/>
    <col min="13071" max="13072" width="7.796875" style="91"/>
    <col min="13073" max="13073" width="0" style="91" hidden="1" customWidth="1"/>
    <col min="13074" max="13074" width="7.796875" style="91"/>
    <col min="13075" max="13102" width="7.59765625" style="91" customWidth="1"/>
    <col min="13103" max="13310" width="7.796875" style="91"/>
    <col min="13311" max="13311" width="4.3984375" style="91" customWidth="1"/>
    <col min="13312" max="13312" width="3.796875" style="91" customWidth="1"/>
    <col min="13313" max="13313" width="4.296875" style="91" customWidth="1"/>
    <col min="13314" max="13314" width="9.59765625" style="91" customWidth="1"/>
    <col min="13315" max="13315" width="7.796875" style="91" customWidth="1"/>
    <col min="13316" max="13316" width="33.09765625" style="91" customWidth="1"/>
    <col min="13317" max="13320" width="5.59765625" style="91" customWidth="1"/>
    <col min="13321" max="13321" width="0" style="91" hidden="1" customWidth="1"/>
    <col min="13322" max="13322" width="8.19921875" style="91" customWidth="1"/>
    <col min="13323" max="13323" width="0" style="91" hidden="1" customWidth="1"/>
    <col min="13324" max="13324" width="8.19921875" style="91" customWidth="1"/>
    <col min="13325" max="13325" width="7.796875" style="91"/>
    <col min="13326" max="13326" width="5.3984375" style="91" customWidth="1"/>
    <col min="13327" max="13328" width="7.796875" style="91"/>
    <col min="13329" max="13329" width="0" style="91" hidden="1" customWidth="1"/>
    <col min="13330" max="13330" width="7.796875" style="91"/>
    <col min="13331" max="13358" width="7.59765625" style="91" customWidth="1"/>
    <col min="13359" max="13566" width="7.796875" style="91"/>
    <col min="13567" max="13567" width="4.3984375" style="91" customWidth="1"/>
    <col min="13568" max="13568" width="3.796875" style="91" customWidth="1"/>
    <col min="13569" max="13569" width="4.296875" style="91" customWidth="1"/>
    <col min="13570" max="13570" width="9.59765625" style="91" customWidth="1"/>
    <col min="13571" max="13571" width="7.796875" style="91" customWidth="1"/>
    <col min="13572" max="13572" width="33.09765625" style="91" customWidth="1"/>
    <col min="13573" max="13576" width="5.59765625" style="91" customWidth="1"/>
    <col min="13577" max="13577" width="0" style="91" hidden="1" customWidth="1"/>
    <col min="13578" max="13578" width="8.19921875" style="91" customWidth="1"/>
    <col min="13579" max="13579" width="0" style="91" hidden="1" customWidth="1"/>
    <col min="13580" max="13580" width="8.19921875" style="91" customWidth="1"/>
    <col min="13581" max="13581" width="7.796875" style="91"/>
    <col min="13582" max="13582" width="5.3984375" style="91" customWidth="1"/>
    <col min="13583" max="13584" width="7.796875" style="91"/>
    <col min="13585" max="13585" width="0" style="91" hidden="1" customWidth="1"/>
    <col min="13586" max="13586" width="7.796875" style="91"/>
    <col min="13587" max="13614" width="7.59765625" style="91" customWidth="1"/>
    <col min="13615" max="13822" width="7.796875" style="91"/>
    <col min="13823" max="13823" width="4.3984375" style="91" customWidth="1"/>
    <col min="13824" max="13824" width="3.796875" style="91" customWidth="1"/>
    <col min="13825" max="13825" width="4.296875" style="91" customWidth="1"/>
    <col min="13826" max="13826" width="9.59765625" style="91" customWidth="1"/>
    <col min="13827" max="13827" width="7.796875" style="91" customWidth="1"/>
    <col min="13828" max="13828" width="33.09765625" style="91" customWidth="1"/>
    <col min="13829" max="13832" width="5.59765625" style="91" customWidth="1"/>
    <col min="13833" max="13833" width="0" style="91" hidden="1" customWidth="1"/>
    <col min="13834" max="13834" width="8.19921875" style="91" customWidth="1"/>
    <col min="13835" max="13835" width="0" style="91" hidden="1" customWidth="1"/>
    <col min="13836" max="13836" width="8.19921875" style="91" customWidth="1"/>
    <col min="13837" max="13837" width="7.796875" style="91"/>
    <col min="13838" max="13838" width="5.3984375" style="91" customWidth="1"/>
    <col min="13839" max="13840" width="7.796875" style="91"/>
    <col min="13841" max="13841" width="0" style="91" hidden="1" customWidth="1"/>
    <col min="13842" max="13842" width="7.796875" style="91"/>
    <col min="13843" max="13870" width="7.59765625" style="91" customWidth="1"/>
    <col min="13871" max="14078" width="7.796875" style="91"/>
    <col min="14079" max="14079" width="4.3984375" style="91" customWidth="1"/>
    <col min="14080" max="14080" width="3.796875" style="91" customWidth="1"/>
    <col min="14081" max="14081" width="4.296875" style="91" customWidth="1"/>
    <col min="14082" max="14082" width="9.59765625" style="91" customWidth="1"/>
    <col min="14083" max="14083" width="7.796875" style="91" customWidth="1"/>
    <col min="14084" max="14084" width="33.09765625" style="91" customWidth="1"/>
    <col min="14085" max="14088" width="5.59765625" style="91" customWidth="1"/>
    <col min="14089" max="14089" width="0" style="91" hidden="1" customWidth="1"/>
    <col min="14090" max="14090" width="8.19921875" style="91" customWidth="1"/>
    <col min="14091" max="14091" width="0" style="91" hidden="1" customWidth="1"/>
    <col min="14092" max="14092" width="8.19921875" style="91" customWidth="1"/>
    <col min="14093" max="14093" width="7.796875" style="91"/>
    <col min="14094" max="14094" width="5.3984375" style="91" customWidth="1"/>
    <col min="14095" max="14096" width="7.796875" style="91"/>
    <col min="14097" max="14097" width="0" style="91" hidden="1" customWidth="1"/>
    <col min="14098" max="14098" width="7.796875" style="91"/>
    <col min="14099" max="14126" width="7.59765625" style="91" customWidth="1"/>
    <col min="14127" max="14334" width="7.796875" style="91"/>
    <col min="14335" max="14335" width="4.3984375" style="91" customWidth="1"/>
    <col min="14336" max="14336" width="3.796875" style="91" customWidth="1"/>
    <col min="14337" max="14337" width="4.296875" style="91" customWidth="1"/>
    <col min="14338" max="14338" width="9.59765625" style="91" customWidth="1"/>
    <col min="14339" max="14339" width="7.796875" style="91" customWidth="1"/>
    <col min="14340" max="14340" width="33.09765625" style="91" customWidth="1"/>
    <col min="14341" max="14344" width="5.59765625" style="91" customWidth="1"/>
    <col min="14345" max="14345" width="0" style="91" hidden="1" customWidth="1"/>
    <col min="14346" max="14346" width="8.19921875" style="91" customWidth="1"/>
    <col min="14347" max="14347" width="0" style="91" hidden="1" customWidth="1"/>
    <col min="14348" max="14348" width="8.19921875" style="91" customWidth="1"/>
    <col min="14349" max="14349" width="7.796875" style="91"/>
    <col min="14350" max="14350" width="5.3984375" style="91" customWidth="1"/>
    <col min="14351" max="14352" width="7.796875" style="91"/>
    <col min="14353" max="14353" width="0" style="91" hidden="1" customWidth="1"/>
    <col min="14354" max="14354" width="7.796875" style="91"/>
    <col min="14355" max="14382" width="7.59765625" style="91" customWidth="1"/>
    <col min="14383" max="14590" width="7.796875" style="91"/>
    <col min="14591" max="14591" width="4.3984375" style="91" customWidth="1"/>
    <col min="14592" max="14592" width="3.796875" style="91" customWidth="1"/>
    <col min="14593" max="14593" width="4.296875" style="91" customWidth="1"/>
    <col min="14594" max="14594" width="9.59765625" style="91" customWidth="1"/>
    <col min="14595" max="14595" width="7.796875" style="91" customWidth="1"/>
    <col min="14596" max="14596" width="33.09765625" style="91" customWidth="1"/>
    <col min="14597" max="14600" width="5.59765625" style="91" customWidth="1"/>
    <col min="14601" max="14601" width="0" style="91" hidden="1" customWidth="1"/>
    <col min="14602" max="14602" width="8.19921875" style="91" customWidth="1"/>
    <col min="14603" max="14603" width="0" style="91" hidden="1" customWidth="1"/>
    <col min="14604" max="14604" width="8.19921875" style="91" customWidth="1"/>
    <col min="14605" max="14605" width="7.796875" style="91"/>
    <col min="14606" max="14606" width="5.3984375" style="91" customWidth="1"/>
    <col min="14607" max="14608" width="7.796875" style="91"/>
    <col min="14609" max="14609" width="0" style="91" hidden="1" customWidth="1"/>
    <col min="14610" max="14610" width="7.796875" style="91"/>
    <col min="14611" max="14638" width="7.59765625" style="91" customWidth="1"/>
    <col min="14639" max="14846" width="7.796875" style="91"/>
    <col min="14847" max="14847" width="4.3984375" style="91" customWidth="1"/>
    <col min="14848" max="14848" width="3.796875" style="91" customWidth="1"/>
    <col min="14849" max="14849" width="4.296875" style="91" customWidth="1"/>
    <col min="14850" max="14850" width="9.59765625" style="91" customWidth="1"/>
    <col min="14851" max="14851" width="7.796875" style="91" customWidth="1"/>
    <col min="14852" max="14852" width="33.09765625" style="91" customWidth="1"/>
    <col min="14853" max="14856" width="5.59765625" style="91" customWidth="1"/>
    <col min="14857" max="14857" width="0" style="91" hidden="1" customWidth="1"/>
    <col min="14858" max="14858" width="8.19921875" style="91" customWidth="1"/>
    <col min="14859" max="14859" width="0" style="91" hidden="1" customWidth="1"/>
    <col min="14860" max="14860" width="8.19921875" style="91" customWidth="1"/>
    <col min="14861" max="14861" width="7.796875" style="91"/>
    <col min="14862" max="14862" width="5.3984375" style="91" customWidth="1"/>
    <col min="14863" max="14864" width="7.796875" style="91"/>
    <col min="14865" max="14865" width="0" style="91" hidden="1" customWidth="1"/>
    <col min="14866" max="14866" width="7.796875" style="91"/>
    <col min="14867" max="14894" width="7.59765625" style="91" customWidth="1"/>
    <col min="14895" max="15102" width="7.796875" style="91"/>
    <col min="15103" max="15103" width="4.3984375" style="91" customWidth="1"/>
    <col min="15104" max="15104" width="3.796875" style="91" customWidth="1"/>
    <col min="15105" max="15105" width="4.296875" style="91" customWidth="1"/>
    <col min="15106" max="15106" width="9.59765625" style="91" customWidth="1"/>
    <col min="15107" max="15107" width="7.796875" style="91" customWidth="1"/>
    <col min="15108" max="15108" width="33.09765625" style="91" customWidth="1"/>
    <col min="15109" max="15112" width="5.59765625" style="91" customWidth="1"/>
    <col min="15113" max="15113" width="0" style="91" hidden="1" customWidth="1"/>
    <col min="15114" max="15114" width="8.19921875" style="91" customWidth="1"/>
    <col min="15115" max="15115" width="0" style="91" hidden="1" customWidth="1"/>
    <col min="15116" max="15116" width="8.19921875" style="91" customWidth="1"/>
    <col min="15117" max="15117" width="7.796875" style="91"/>
    <col min="15118" max="15118" width="5.3984375" style="91" customWidth="1"/>
    <col min="15119" max="15120" width="7.796875" style="91"/>
    <col min="15121" max="15121" width="0" style="91" hidden="1" customWidth="1"/>
    <col min="15122" max="15122" width="7.796875" style="91"/>
    <col min="15123" max="15150" width="7.59765625" style="91" customWidth="1"/>
    <col min="15151" max="15358" width="7.796875" style="91"/>
    <col min="15359" max="15359" width="4.3984375" style="91" customWidth="1"/>
    <col min="15360" max="15360" width="3.796875" style="91" customWidth="1"/>
    <col min="15361" max="15361" width="4.296875" style="91" customWidth="1"/>
    <col min="15362" max="15362" width="9.59765625" style="91" customWidth="1"/>
    <col min="15363" max="15363" width="7.796875" style="91" customWidth="1"/>
    <col min="15364" max="15364" width="33.09765625" style="91" customWidth="1"/>
    <col min="15365" max="15368" width="5.59765625" style="91" customWidth="1"/>
    <col min="15369" max="15369" width="0" style="91" hidden="1" customWidth="1"/>
    <col min="15370" max="15370" width="8.19921875" style="91" customWidth="1"/>
    <col min="15371" max="15371" width="0" style="91" hidden="1" customWidth="1"/>
    <col min="15372" max="15372" width="8.19921875" style="91" customWidth="1"/>
    <col min="15373" max="15373" width="7.796875" style="91"/>
    <col min="15374" max="15374" width="5.3984375" style="91" customWidth="1"/>
    <col min="15375" max="15376" width="7.796875" style="91"/>
    <col min="15377" max="15377" width="0" style="91" hidden="1" customWidth="1"/>
    <col min="15378" max="15378" width="7.796875" style="91"/>
    <col min="15379" max="15406" width="7.59765625" style="91" customWidth="1"/>
    <col min="15407" max="15614" width="7.796875" style="91"/>
    <col min="15615" max="15615" width="4.3984375" style="91" customWidth="1"/>
    <col min="15616" max="15616" width="3.796875" style="91" customWidth="1"/>
    <col min="15617" max="15617" width="4.296875" style="91" customWidth="1"/>
    <col min="15618" max="15618" width="9.59765625" style="91" customWidth="1"/>
    <col min="15619" max="15619" width="7.796875" style="91" customWidth="1"/>
    <col min="15620" max="15620" width="33.09765625" style="91" customWidth="1"/>
    <col min="15621" max="15624" width="5.59765625" style="91" customWidth="1"/>
    <col min="15625" max="15625" width="0" style="91" hidden="1" customWidth="1"/>
    <col min="15626" max="15626" width="8.19921875" style="91" customWidth="1"/>
    <col min="15627" max="15627" width="0" style="91" hidden="1" customWidth="1"/>
    <col min="15628" max="15628" width="8.19921875" style="91" customWidth="1"/>
    <col min="15629" max="15629" width="7.796875" style="91"/>
    <col min="15630" max="15630" width="5.3984375" style="91" customWidth="1"/>
    <col min="15631" max="15632" width="7.796875" style="91"/>
    <col min="15633" max="15633" width="0" style="91" hidden="1" customWidth="1"/>
    <col min="15634" max="15634" width="7.796875" style="91"/>
    <col min="15635" max="15662" width="7.59765625" style="91" customWidth="1"/>
    <col min="15663" max="15870" width="7.796875" style="91"/>
    <col min="15871" max="15871" width="4.3984375" style="91" customWidth="1"/>
    <col min="15872" max="15872" width="3.796875" style="91" customWidth="1"/>
    <col min="15873" max="15873" width="4.296875" style="91" customWidth="1"/>
    <col min="15874" max="15874" width="9.59765625" style="91" customWidth="1"/>
    <col min="15875" max="15875" width="7.796875" style="91" customWidth="1"/>
    <col min="15876" max="15876" width="33.09765625" style="91" customWidth="1"/>
    <col min="15877" max="15880" width="5.59765625" style="91" customWidth="1"/>
    <col min="15881" max="15881" width="0" style="91" hidden="1" customWidth="1"/>
    <col min="15882" max="15882" width="8.19921875" style="91" customWidth="1"/>
    <col min="15883" max="15883" width="0" style="91" hidden="1" customWidth="1"/>
    <col min="15884" max="15884" width="8.19921875" style="91" customWidth="1"/>
    <col min="15885" max="15885" width="7.796875" style="91"/>
    <col min="15886" max="15886" width="5.3984375" style="91" customWidth="1"/>
    <col min="15887" max="15888" width="7.796875" style="91"/>
    <col min="15889" max="15889" width="0" style="91" hidden="1" customWidth="1"/>
    <col min="15890" max="15890" width="7.796875" style="91"/>
    <col min="15891" max="15918" width="7.59765625" style="91" customWidth="1"/>
    <col min="15919" max="16126" width="7.796875" style="91"/>
    <col min="16127" max="16127" width="4.3984375" style="91" customWidth="1"/>
    <col min="16128" max="16128" width="3.796875" style="91" customWidth="1"/>
    <col min="16129" max="16129" width="4.296875" style="91" customWidth="1"/>
    <col min="16130" max="16130" width="9.59765625" style="91" customWidth="1"/>
    <col min="16131" max="16131" width="7.796875" style="91" customWidth="1"/>
    <col min="16132" max="16132" width="33.09765625" style="91" customWidth="1"/>
    <col min="16133" max="16136" width="5.59765625" style="91" customWidth="1"/>
    <col min="16137" max="16137" width="0" style="91" hidden="1" customWidth="1"/>
    <col min="16138" max="16138" width="8.19921875" style="91" customWidth="1"/>
    <col min="16139" max="16139" width="0" style="91" hidden="1" customWidth="1"/>
    <col min="16140" max="16140" width="8.19921875" style="91" customWidth="1"/>
    <col min="16141" max="16141" width="7.796875" style="91"/>
    <col min="16142" max="16142" width="5.3984375" style="91" customWidth="1"/>
    <col min="16143" max="16144" width="7.796875" style="91"/>
    <col min="16145" max="16145" width="0" style="91" hidden="1" customWidth="1"/>
    <col min="16146" max="16146" width="7.796875" style="91"/>
    <col min="16147" max="16174" width="7.59765625" style="91" customWidth="1"/>
    <col min="16175" max="16384" width="7.796875" style="91"/>
  </cols>
  <sheetData>
    <row r="1" spans="1:20" ht="21" x14ac:dyDescent="0.25">
      <c r="C1" s="92" t="s">
        <v>105</v>
      </c>
      <c r="H1" s="93"/>
    </row>
    <row r="2" spans="1:20" ht="14.25" customHeight="1" x14ac:dyDescent="0.25">
      <c r="C2" s="92"/>
    </row>
    <row r="3" spans="1:20" ht="16.5" customHeight="1" x14ac:dyDescent="0.2">
      <c r="B3" s="167" t="s">
        <v>106</v>
      </c>
      <c r="C3" s="170"/>
      <c r="D3" s="167" t="s">
        <v>184</v>
      </c>
      <c r="E3" s="282"/>
      <c r="F3" s="283"/>
      <c r="G3" s="283"/>
      <c r="H3" s="283"/>
      <c r="I3" s="283"/>
      <c r="J3" s="283"/>
      <c r="K3" s="272"/>
      <c r="L3" s="166"/>
    </row>
    <row r="4" spans="1:20" ht="16.5" customHeight="1" x14ac:dyDescent="0.2">
      <c r="B4" s="167" t="s">
        <v>108</v>
      </c>
      <c r="C4" s="168"/>
      <c r="D4" s="169"/>
      <c r="E4" s="169"/>
      <c r="F4" s="99"/>
      <c r="G4" s="100"/>
      <c r="H4" s="167" t="s">
        <v>109</v>
      </c>
      <c r="I4" s="274"/>
      <c r="J4" s="275"/>
      <c r="K4" s="276"/>
      <c r="L4" s="165"/>
    </row>
    <row r="5" spans="1:20" ht="16.5" customHeight="1" x14ac:dyDescent="0.2">
      <c r="B5" s="167" t="s">
        <v>110</v>
      </c>
      <c r="C5" s="168"/>
      <c r="D5" s="169"/>
      <c r="E5" s="169"/>
      <c r="F5" s="99"/>
      <c r="G5" s="100"/>
      <c r="H5" s="167" t="s">
        <v>111</v>
      </c>
      <c r="I5" s="277"/>
      <c r="J5" s="278"/>
      <c r="K5" s="279"/>
      <c r="L5" s="102"/>
    </row>
    <row r="7" spans="1:20" s="112" customFormat="1" ht="30" customHeight="1" thickBot="1" x14ac:dyDescent="0.25">
      <c r="A7" s="103" t="s">
        <v>112</v>
      </c>
      <c r="B7" s="105" t="s">
        <v>115</v>
      </c>
      <c r="C7" s="105" t="s">
        <v>116</v>
      </c>
      <c r="D7" s="280" t="s">
        <v>117</v>
      </c>
      <c r="E7" s="281"/>
      <c r="F7" s="105" t="s">
        <v>118</v>
      </c>
      <c r="G7" s="105" t="s">
        <v>119</v>
      </c>
      <c r="H7" s="106" t="s">
        <v>120</v>
      </c>
      <c r="I7" s="106" t="s">
        <v>121</v>
      </c>
      <c r="J7" s="106" t="s">
        <v>122</v>
      </c>
      <c r="K7" s="106" t="s">
        <v>123</v>
      </c>
      <c r="L7" s="106" t="s">
        <v>124</v>
      </c>
      <c r="M7" s="107" t="s">
        <v>125</v>
      </c>
      <c r="N7" s="108" t="s">
        <v>126</v>
      </c>
      <c r="O7" s="109" t="s">
        <v>127</v>
      </c>
      <c r="P7" s="109" t="s">
        <v>128</v>
      </c>
      <c r="Q7" s="109" t="s">
        <v>129</v>
      </c>
      <c r="R7" s="109" t="s">
        <v>131</v>
      </c>
      <c r="S7" s="110"/>
      <c r="T7" s="111"/>
    </row>
    <row r="8" spans="1:20" s="112" customFormat="1" ht="16.5" customHeight="1" thickTop="1" x14ac:dyDescent="0.2">
      <c r="A8" s="113"/>
      <c r="B8" s="115"/>
      <c r="C8" s="115"/>
      <c r="D8" s="175"/>
      <c r="E8" s="176"/>
      <c r="F8" s="117"/>
      <c r="G8" s="118"/>
      <c r="H8" s="119"/>
      <c r="I8" s="120"/>
      <c r="J8" s="119"/>
      <c r="K8" s="121"/>
      <c r="L8" s="119"/>
      <c r="M8" s="122"/>
      <c r="N8" s="123" t="str">
        <f>IF(ISERROR(R8-P8-Q8+#REF!),"",R8-P8-Q8+#REF!)</f>
        <v/>
      </c>
      <c r="O8" s="124"/>
      <c r="P8" s="124"/>
      <c r="Q8" s="124"/>
      <c r="R8" s="125">
        <f>IF(SUM(S8:T8)=0,0,SUM(S8:T8))</f>
        <v>0</v>
      </c>
      <c r="S8" s="124"/>
      <c r="T8" s="124"/>
    </row>
  </sheetData>
  <mergeCells count="4">
    <mergeCell ref="D7:E7"/>
    <mergeCell ref="E3:K3"/>
    <mergeCell ref="I4:K4"/>
    <mergeCell ref="I5:K5"/>
  </mergeCells>
  <phoneticPr fontId="2"/>
  <conditionalFormatting sqref="A8:M8">
    <cfRule type="expression" dxfId="1" priority="1" stopIfTrue="1">
      <formula>$J8="3150"</formula>
    </cfRule>
    <cfRule type="expression" dxfId="0" priority="2" stopIfTrue="1">
      <formula>$L8="03"</formula>
    </cfRule>
  </conditionalFormatting>
  <pageMargins left="0.25" right="0.25" top="0.25" bottom="0.5" header="0" footer="0"/>
  <pageSetup paperSize="8" pageOrder="overThenDown" orientation="landscape" horizontalDpi="4294967292" r:id="rId1"/>
  <headerFooter alignWithMargins="0">
    <oddHeader>&amp;R&amp;P 頁</oddHeader>
    <oddFooter>&amp;C&amp;10株式会社 &amp;11三 和 商 研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/>
  </sheetViews>
  <sheetFormatPr defaultRowHeight="18" x14ac:dyDescent="0.45"/>
  <sheetData/>
  <phoneticPr fontId="2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30</vt:i4>
      </vt:variant>
    </vt:vector>
  </HeadingPairs>
  <TitlesOfParts>
    <vt:vector size="41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別紙_テンプレート_現行</vt:lpstr>
      <vt:lpstr>別紙_テンプレート_新システム</vt:lpstr>
      <vt:lpstr>別紙_印刷レイアウト</vt:lpstr>
      <vt:lpstr>参照</vt:lpstr>
      <vt:lpstr>別紙_テンプレート_新システム!CoreCells</vt:lpstr>
      <vt:lpstr>CoreCells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別紙_テンプレート_現行!Print_Titles</vt:lpstr>
      <vt:lpstr>別紙_テンプレート_新システム!Print_Titles</vt:lpstr>
      <vt:lpstr>変更履歴!Print_Titles</vt:lpstr>
      <vt:lpstr>別紙_テンプレート_新システム!SiwaCoreCells</vt:lpstr>
      <vt:lpstr>SiwaCoreCells</vt:lpstr>
      <vt:lpstr>別紙_テンプレート_新システム!見積番号</vt:lpstr>
      <vt:lpstr>見積番号</vt:lpstr>
      <vt:lpstr>別紙_テンプレート_新システム!見積名称</vt:lpstr>
      <vt:lpstr>見積名称</vt:lpstr>
      <vt:lpstr>別紙_テンプレート_新システム!現場名</vt:lpstr>
      <vt:lpstr>現場名</vt:lpstr>
      <vt:lpstr>別紙_テンプレート_新システム!作成日</vt:lpstr>
      <vt:lpstr>作成日</vt:lpstr>
      <vt:lpstr>別紙_テンプレート_新システム!受注先</vt:lpstr>
      <vt:lpstr>受注先</vt:lpstr>
      <vt:lpstr>別紙_テンプレート_新システム!担当者名</vt:lpstr>
      <vt:lpstr>担当者名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NT-240014</cp:lastModifiedBy>
  <cp:lastPrinted>2024-10-16T04:26:00Z</cp:lastPrinted>
  <dcterms:created xsi:type="dcterms:W3CDTF">2021-04-12T04:47:05Z</dcterms:created>
  <dcterms:modified xsi:type="dcterms:W3CDTF">2025-06-25T07:28:02Z</dcterms:modified>
</cp:coreProperties>
</file>