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T-240014\SVN\YJY_三和商研受発注システム\trunk\doc\01_基本設計書\02_帳票設計\"/>
    </mc:Choice>
  </mc:AlternateContent>
  <bookViews>
    <workbookView xWindow="0" yWindow="0" windowWidth="23016" windowHeight="8088" activeTab="1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8" r:id="rId5"/>
    <sheet name="処理詳細_書き方" sheetId="19" state="hidden" r:id="rId6"/>
    <sheet name="確認事項" sheetId="15" r:id="rId7"/>
    <sheet name="現行レイアウト" sheetId="20" r:id="rId8"/>
    <sheet name="別紙_印刷レイアウト" sheetId="21" r:id="rId9"/>
    <sheet name="参照" sheetId="12" state="hidden" r:id="rId10"/>
  </sheets>
  <definedNames>
    <definedName name="_xlnm.Print_Area" localSheetId="1">概要!$A$1:$BN$31</definedName>
    <definedName name="_xlnm.Print_Area" localSheetId="3">項目一覧!$A$1:$BX$60</definedName>
    <definedName name="_xlnm.Print_Area" localSheetId="4">処理詳細!$A$1:$BR$105</definedName>
    <definedName name="_xlnm.Print_Area" localSheetId="5">処理詳細_書き方!$A$1:$BR$33</definedName>
    <definedName name="_xlnm.Print_Area" localSheetId="2">帳票レイアウト!$A$1:$BN$48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19" l="1"/>
  <c r="BF3" i="19"/>
  <c r="BB3" i="19"/>
  <c r="AX3" i="19"/>
  <c r="L3" i="19"/>
  <c r="B3" i="19"/>
  <c r="BJ3" i="18"/>
  <c r="BF3" i="18"/>
  <c r="BB3" i="18"/>
  <c r="AX3" i="18"/>
  <c r="L3" i="18"/>
  <c r="B3" i="18"/>
  <c r="BJ3" i="14" l="1"/>
  <c r="BF3" i="14"/>
  <c r="BB3" i="14"/>
  <c r="AX3" i="14"/>
  <c r="L3" i="14"/>
  <c r="B3" i="14"/>
  <c r="X3" i="1" l="1"/>
  <c r="X3" i="18" l="1"/>
  <c r="X3" i="19"/>
  <c r="X3" i="14"/>
  <c r="H3" i="1"/>
  <c r="R3" i="1"/>
  <c r="AK3" i="1"/>
  <c r="AK3" i="18" l="1"/>
  <c r="AK3" i="19"/>
  <c r="R3" i="18"/>
  <c r="R3" i="19"/>
  <c r="H3" i="18"/>
  <c r="H3" i="19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<sst xmlns="http://schemas.openxmlformats.org/spreadsheetml/2006/main" count="539" uniqueCount="305">
  <si>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</si>
  <si>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</si>
  <si>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</si>
  <si>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</si>
  <si>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</si>
  <si>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</si>
  <si>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</si>
  <si>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</si>
  <si>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</si>
  <si>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</si>
  <si>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</si>
  <si>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</si>
  <si>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</si>
  <si>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</si>
  <si>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</si>
  <si>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</si>
  <si>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</si>
  <si>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</si>
  <si>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</si>
  <si>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</si>
  <si>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</si>
  <si>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</si>
  <si>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</si>
  <si>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</si>
  <si>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</si>
  <si>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</si>
  <si>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</si>
  <si>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</si>
  <si>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</si>
  <si>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</si>
  <si>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</si>
  <si>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</si>
  <si>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</si>
  <si>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</si>
  <si>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</si>
  <si>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</si>
  <si>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</si>
  <si>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</si>
  <si>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</si>
  <si>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</si>
  <si>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</si>
  <si>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</si>
  <si>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</si>
  <si>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</si>
  <si>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</si>
  <si>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</si>
  <si>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</si>
  <si>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</si>
  <si>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</si>
  <si>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</si>
  <si>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</si>
  <si>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</si>
  <si>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</si>
  <si>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</si>
  <si>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</si>
  <si>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</si>
  <si>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</si>
  <si>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</si>
  <si>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</si>
  <si>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</si>
  <si>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</si>
  <si>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</si>
  <si>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</si>
  <si>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</si>
  <si>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</si>
  <si>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</si>
  <si>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</si>
  <si>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</si>
  <si>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</si>
  <si>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</si>
  <si>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</si>
  <si>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</si>
  <si>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</si>
  <si>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</si>
  <si>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</si>
  <si>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</si>
  <si>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</si>
  <si>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</si>
  <si>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</si>
  <si>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</si>
  <si>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</si>
  <si>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</si>
  <si>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</si>
  <si>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</si>
  <si>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</si>
  <si>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</si>
  <si>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</si>
  <si>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</si>
  <si>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</si>
  <si>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</si>
  <si>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-</t>
    <phoneticPr fontId="2"/>
  </si>
  <si>
    <t>PDF</t>
    <phoneticPr fontId="2"/>
  </si>
  <si>
    <t>pdf</t>
    <phoneticPr fontId="2"/>
  </si>
  <si>
    <t>作成日</t>
    <rPh sb="0" eb="3">
      <t>サクセイビ</t>
    </rPh>
    <phoneticPr fontId="1"/>
  </si>
  <si>
    <t>現在日付</t>
    <rPh sb="0" eb="4">
      <t>ゲンザイヒヅケ</t>
    </rPh>
    <phoneticPr fontId="1"/>
  </si>
  <si>
    <t>yyyy年mm月dd日</t>
    <rPh sb="4" eb="5">
      <t>ネン</t>
    </rPh>
    <rPh sb="7" eb="8">
      <t>ツキ</t>
    </rPh>
    <rPh sb="10" eb="11">
      <t>ニチ</t>
    </rPh>
    <phoneticPr fontId="1"/>
  </si>
  <si>
    <t>半角</t>
    <rPh sb="0" eb="2">
      <t>ハンカク</t>
    </rPh>
    <phoneticPr fontId="1"/>
  </si>
  <si>
    <t>全角</t>
    <rPh sb="0" eb="2">
      <t>ゼンカク</t>
    </rPh>
    <phoneticPr fontId="1"/>
  </si>
  <si>
    <t>開始日付</t>
    <rPh sb="0" eb="4">
      <t>カイシヒヅケ</t>
    </rPh>
    <phoneticPr fontId="1"/>
  </si>
  <si>
    <t>終了日付</t>
    <rPh sb="0" eb="4">
      <t>シュウリョウヒヅケ</t>
    </rPh>
    <phoneticPr fontId="1"/>
  </si>
  <si>
    <t>仕入先名1</t>
    <rPh sb="0" eb="4">
      <t>シイレサキメイ</t>
    </rPh>
    <phoneticPr fontId="1"/>
  </si>
  <si>
    <t>仕入先名2</t>
    <rPh sb="0" eb="4">
      <t>シイレサキメイ</t>
    </rPh>
    <phoneticPr fontId="1"/>
  </si>
  <si>
    <t>仕入日付</t>
    <rPh sb="0" eb="2">
      <t>シイレ</t>
    </rPh>
    <rPh sb="2" eb="4">
      <t>ヒヅケ</t>
    </rPh>
    <phoneticPr fontId="1"/>
  </si>
  <si>
    <t>支払日付</t>
    <rPh sb="0" eb="4">
      <t>シハライヒヅケ</t>
    </rPh>
    <phoneticPr fontId="1"/>
  </si>
  <si>
    <t>伝票番号</t>
    <rPh sb="0" eb="4">
      <t>デンピョウバンゴウ</t>
    </rPh>
    <phoneticPr fontId="1"/>
  </si>
  <si>
    <t>製品NO</t>
    <rPh sb="0" eb="2">
      <t>セイヒン</t>
    </rPh>
    <phoneticPr fontId="1"/>
  </si>
  <si>
    <t>仕様NO</t>
    <rPh sb="0" eb="2">
      <t>シヨウ</t>
    </rPh>
    <phoneticPr fontId="1"/>
  </si>
  <si>
    <t>製品名</t>
    <rPh sb="0" eb="3">
      <t>セイヒンメイ</t>
    </rPh>
    <phoneticPr fontId="1"/>
  </si>
  <si>
    <t>W</t>
    <phoneticPr fontId="1"/>
  </si>
  <si>
    <t>D</t>
    <phoneticPr fontId="1"/>
  </si>
  <si>
    <t>H</t>
    <phoneticPr fontId="1"/>
  </si>
  <si>
    <t>仕入数量</t>
    <rPh sb="0" eb="4">
      <t>シイレスウリョウ</t>
    </rPh>
    <phoneticPr fontId="1"/>
  </si>
  <si>
    <t>単位名</t>
    <rPh sb="0" eb="3">
      <t>タンイメイ</t>
    </rPh>
    <phoneticPr fontId="1"/>
  </si>
  <si>
    <t>仕入単価</t>
    <rPh sb="0" eb="4">
      <t>シイレタンカ</t>
    </rPh>
    <phoneticPr fontId="1"/>
  </si>
  <si>
    <t>仕入金額</t>
    <rPh sb="0" eb="4">
      <t>シイレキンガク</t>
    </rPh>
    <phoneticPr fontId="1"/>
  </si>
  <si>
    <t>伝票区分</t>
    <rPh sb="0" eb="4">
      <t>デンピョウクブン</t>
    </rPh>
    <phoneticPr fontId="1"/>
  </si>
  <si>
    <t>仕分名称</t>
    <rPh sb="0" eb="4">
      <t>シワケメイショウ</t>
    </rPh>
    <phoneticPr fontId="1"/>
  </si>
  <si>
    <t>締日</t>
    <rPh sb="0" eb="2">
      <t>シメビ</t>
    </rPh>
    <phoneticPr fontId="1"/>
  </si>
  <si>
    <t>半角</t>
    <rPh sb="0" eb="2">
      <t>ハンカク</t>
    </rPh>
    <phoneticPr fontId="1"/>
  </si>
  <si>
    <t>全角</t>
    <rPh sb="0" eb="2">
      <t>ゼンカク</t>
    </rPh>
    <phoneticPr fontId="1"/>
  </si>
  <si>
    <t>消費税</t>
    <rPh sb="0" eb="3">
      <t>ショウヒゼイ</t>
    </rPh>
    <phoneticPr fontId="1"/>
  </si>
  <si>
    <t>見積件名</t>
    <rPh sb="0" eb="4">
      <t>ミツモリケンメイ</t>
    </rPh>
    <phoneticPr fontId="1"/>
  </si>
  <si>
    <t>合計金額</t>
    <rPh sb="0" eb="2">
      <t>ゴウケイ</t>
    </rPh>
    <rPh sb="2" eb="4">
      <t>キンガク</t>
    </rPh>
    <phoneticPr fontId="1"/>
  </si>
  <si>
    <t>全角/半角</t>
    <rPh sb="0" eb="2">
      <t>ゼンカク</t>
    </rPh>
    <rPh sb="3" eb="5">
      <t>ハンカク</t>
    </rPh>
    <phoneticPr fontId="1"/>
  </si>
  <si>
    <t>文字列</t>
    <rPh sb="0" eb="3">
      <t>モジレツ</t>
    </rPh>
    <phoneticPr fontId="1"/>
  </si>
  <si>
    <t>数値</t>
    <rPh sb="0" eb="2">
      <t>スウチ</t>
    </rPh>
    <phoneticPr fontId="1"/>
  </si>
  <si>
    <t>仕入先計</t>
    <rPh sb="0" eb="4">
      <t>シイレサキケイ</t>
    </rPh>
    <phoneticPr fontId="1"/>
  </si>
  <si>
    <t>SQL1</t>
    <phoneticPr fontId="2"/>
  </si>
  <si>
    <t>order by</t>
    <phoneticPr fontId="2"/>
  </si>
  <si>
    <t>区分</t>
    <rPh sb="0" eb="2">
      <t>クブン</t>
    </rPh>
    <phoneticPr fontId="2"/>
  </si>
  <si>
    <t>仕入先CD</t>
    <rPh sb="0" eb="3">
      <t>シイレサキ</t>
    </rPh>
    <phoneticPr fontId="2"/>
  </si>
  <si>
    <t>仕入先名1</t>
    <rPh sb="0" eb="4">
      <t>シイレサキメイ</t>
    </rPh>
    <phoneticPr fontId="2"/>
  </si>
  <si>
    <t>仕入先名2</t>
    <rPh sb="0" eb="4">
      <t>シイレサキメイ</t>
    </rPh>
    <phoneticPr fontId="2"/>
  </si>
  <si>
    <t>仕入日付</t>
    <rPh sb="0" eb="4">
      <t>シイレヒヅケ</t>
    </rPh>
    <phoneticPr fontId="2"/>
  </si>
  <si>
    <t>支払日付</t>
    <rPh sb="0" eb="4">
      <t>シハライヒヅケ</t>
    </rPh>
    <phoneticPr fontId="2"/>
  </si>
  <si>
    <t>見積番号</t>
    <rPh sb="0" eb="4">
      <t>ミツモリバンゴウ</t>
    </rPh>
    <phoneticPr fontId="2"/>
  </si>
  <si>
    <t>仕入番号</t>
    <rPh sb="0" eb="4">
      <t>シイレバンゴウ</t>
    </rPh>
    <phoneticPr fontId="2"/>
  </si>
  <si>
    <t>仕入明細行番号</t>
    <rPh sb="0" eb="7">
      <t>シイレメイサイギョウバンゴウ</t>
    </rPh>
    <phoneticPr fontId="2"/>
  </si>
  <si>
    <t>製品NO</t>
    <rPh sb="0" eb="2">
      <t>セイヒン</t>
    </rPh>
    <phoneticPr fontId="2"/>
  </si>
  <si>
    <t>仕様NO</t>
    <rPh sb="0" eb="2">
      <t>シヨウ</t>
    </rPh>
    <phoneticPr fontId="2"/>
  </si>
  <si>
    <t>漢字名称</t>
    <rPh sb="0" eb="4">
      <t>カンジメイショウ</t>
    </rPh>
    <phoneticPr fontId="2"/>
  </si>
  <si>
    <t>W</t>
    <phoneticPr fontId="2"/>
  </si>
  <si>
    <t>D</t>
    <phoneticPr fontId="2"/>
  </si>
  <si>
    <t>D1</t>
    <phoneticPr fontId="2"/>
  </si>
  <si>
    <t>D2</t>
    <phoneticPr fontId="2"/>
  </si>
  <si>
    <t>H</t>
    <phoneticPr fontId="2"/>
  </si>
  <si>
    <t>H1</t>
    <phoneticPr fontId="2"/>
  </si>
  <si>
    <t>H2</t>
    <phoneticPr fontId="2"/>
  </si>
  <si>
    <t>仕入数量</t>
    <rPh sb="0" eb="4">
      <t>シイレスウリョウ</t>
    </rPh>
    <phoneticPr fontId="2"/>
  </si>
  <si>
    <t>単位名</t>
    <rPh sb="0" eb="3">
      <t>タンイメイ</t>
    </rPh>
    <phoneticPr fontId="2"/>
  </si>
  <si>
    <t>仕入単価</t>
    <rPh sb="0" eb="4">
      <t>シイレタンカ</t>
    </rPh>
    <phoneticPr fontId="2"/>
  </si>
  <si>
    <t>仕入金額</t>
    <rPh sb="0" eb="4">
      <t>シイレキンガク</t>
    </rPh>
    <phoneticPr fontId="2"/>
  </si>
  <si>
    <t>伝票区分</t>
    <rPh sb="0" eb="2">
      <t>デンピョウ</t>
    </rPh>
    <rPh sb="2" eb="4">
      <t>クブン</t>
    </rPh>
    <phoneticPr fontId="2"/>
  </si>
  <si>
    <t>支払締日</t>
    <rPh sb="0" eb="4">
      <t>シハライシメビ</t>
    </rPh>
    <phoneticPr fontId="2"/>
  </si>
  <si>
    <t>SQL2</t>
    <phoneticPr fontId="2"/>
  </si>
  <si>
    <t>1 AS 区分</t>
    <phoneticPr fontId="2"/>
  </si>
  <si>
    <t>見積件名</t>
    <rPh sb="0" eb="2">
      <t>ミツモリ</t>
    </rPh>
    <rPh sb="2" eb="4">
      <t>ケンメイ</t>
    </rPh>
    <phoneticPr fontId="2"/>
  </si>
  <si>
    <t>FROM TD仕入明細 AS SD</t>
    <phoneticPr fontId="2"/>
  </si>
  <si>
    <t>LEFT JOIN TD仕入 AS SR</t>
    <phoneticPr fontId="2"/>
  </si>
  <si>
    <t>ON SD.仕入番号=SR.仕入番号</t>
    <phoneticPr fontId="2"/>
  </si>
  <si>
    <t>LEFT JOIN TD仕入明細内訳 AS SM</t>
    <phoneticPr fontId="2"/>
  </si>
  <si>
    <t>ON SD.仕入番号=SM.仕入番号</t>
    <phoneticPr fontId="2"/>
  </si>
  <si>
    <t>SQL3</t>
    <phoneticPr fontId="2"/>
  </si>
  <si>
    <t>2 AS 区分</t>
    <phoneticPr fontId="2"/>
  </si>
  <si>
    <t>'' AS 仕入明細行番号</t>
    <phoneticPr fontId="2"/>
  </si>
  <si>
    <t>'' AS 製品NO</t>
    <phoneticPr fontId="2"/>
  </si>
  <si>
    <t>'' AS 仕様NO</t>
    <phoneticPr fontId="2"/>
  </si>
  <si>
    <t>'' AS 漢字名称</t>
    <phoneticPr fontId="2"/>
  </si>
  <si>
    <t>'' AS W</t>
    <phoneticPr fontId="2"/>
  </si>
  <si>
    <t>'' AS D</t>
    <phoneticPr fontId="2"/>
  </si>
  <si>
    <t>'' AS D1</t>
    <phoneticPr fontId="2"/>
  </si>
  <si>
    <t>'' AS D2</t>
    <phoneticPr fontId="2"/>
  </si>
  <si>
    <t>'' AS H</t>
    <phoneticPr fontId="2"/>
  </si>
  <si>
    <t>'' AS H1</t>
    <phoneticPr fontId="2"/>
  </si>
  <si>
    <t>'' AS H2</t>
    <phoneticPr fontId="2"/>
  </si>
  <si>
    <t>0 AS 仕入数量</t>
    <phoneticPr fontId="2"/>
  </si>
  <si>
    <t>'' AS 単位名</t>
    <phoneticPr fontId="2"/>
  </si>
  <si>
    <t>0 AS 仕入単価</t>
    <phoneticPr fontId="2"/>
  </si>
  <si>
    <t>'' AS 伝票区分</t>
    <phoneticPr fontId="2"/>
  </si>
  <si>
    <t>NULL AS 支払締日</t>
    <phoneticPr fontId="2"/>
  </si>
  <si>
    <t>1 or 2</t>
    <phoneticPr fontId="2"/>
  </si>
  <si>
    <t>TD仕入明細.仕入先CD</t>
    <phoneticPr fontId="2"/>
  </si>
  <si>
    <t>TD仕入明細.仕入先名1</t>
    <phoneticPr fontId="2"/>
  </si>
  <si>
    <t>TD仕入明細.仕入先名2</t>
    <phoneticPr fontId="2"/>
  </si>
  <si>
    <t>TD仕入明細.仕入日付</t>
    <phoneticPr fontId="2"/>
  </si>
  <si>
    <t>TD仕入明細.支払日付</t>
    <phoneticPr fontId="2"/>
  </si>
  <si>
    <t>TD仕入.見積件名</t>
    <phoneticPr fontId="2"/>
  </si>
  <si>
    <t>TD仕入明細.見積番号</t>
    <phoneticPr fontId="2"/>
  </si>
  <si>
    <t>TD仕入明細.仕入番号</t>
    <phoneticPr fontId="2"/>
  </si>
  <si>
    <t>TD仕入明細内訳.仕入明細行番号</t>
    <phoneticPr fontId="2"/>
  </si>
  <si>
    <t>項目一覧</t>
    <rPh sb="0" eb="4">
      <t>コウモクイチラン</t>
    </rPh>
    <phoneticPr fontId="2"/>
  </si>
  <si>
    <t>フォームから取得している認識で間違いないか確認</t>
    <rPh sb="6" eb="8">
      <t>シュトク</t>
    </rPh>
    <rPh sb="12" eb="14">
      <t>ニンシキ</t>
    </rPh>
    <rPh sb="15" eb="17">
      <t>マチガ</t>
    </rPh>
    <rPh sb="21" eb="23">
      <t>カクニン</t>
    </rPh>
    <phoneticPr fontId="2"/>
  </si>
  <si>
    <t>TD仕入明細内訳.製品NO</t>
    <phoneticPr fontId="2"/>
  </si>
  <si>
    <t>TD仕入明細内訳.仕様NO</t>
    <phoneticPr fontId="2"/>
  </si>
  <si>
    <t>TD仕入明細内訳.漢字名称</t>
    <phoneticPr fontId="2"/>
  </si>
  <si>
    <t>TD仕入明細内訳.W</t>
    <phoneticPr fontId="2"/>
  </si>
  <si>
    <t>TD仕入明細内訳.D</t>
    <phoneticPr fontId="2"/>
  </si>
  <si>
    <t>TD仕入明細内訳.D1</t>
    <phoneticPr fontId="2"/>
  </si>
  <si>
    <t>TD仕入明細内訳.D2</t>
    <phoneticPr fontId="2"/>
  </si>
  <si>
    <t>TD仕入明細内訳.H</t>
    <phoneticPr fontId="2"/>
  </si>
  <si>
    <t>TD仕入明細内訳.H1</t>
    <phoneticPr fontId="2"/>
  </si>
  <si>
    <t>TD仕入明細内訳.H2</t>
    <phoneticPr fontId="2"/>
  </si>
  <si>
    <t>TD仕入明細内訳.仕入数量</t>
    <phoneticPr fontId="2"/>
  </si>
  <si>
    <t>TD仕入明細内訳.単位名</t>
    <phoneticPr fontId="2"/>
  </si>
  <si>
    <t>TD仕入明細内訳.仕入単価</t>
    <phoneticPr fontId="2"/>
  </si>
  <si>
    <t>TD仕入明細内訳.仕入金額</t>
    <phoneticPr fontId="2"/>
  </si>
  <si>
    <t>TD仕入明細内訳.伝票区分</t>
    <phoneticPr fontId="2"/>
  </si>
  <si>
    <t>外税額 AS 仕入金額</t>
    <phoneticPr fontId="2"/>
  </si>
  <si>
    <t>TD仕入明細内訳.仕入明細行番号 or '' AS 仕入明細行番号</t>
    <phoneticPr fontId="2"/>
  </si>
  <si>
    <t>TD仕入明細内訳.製品NO or '' AS 製品NO</t>
    <phoneticPr fontId="2"/>
  </si>
  <si>
    <t>TD仕入明細内訳.仕様NO or '' AS 仕様NO</t>
    <phoneticPr fontId="2"/>
  </si>
  <si>
    <t>TD仕入明細内訳.漢字名称 or '' AS 漢字名称</t>
    <phoneticPr fontId="2"/>
  </si>
  <si>
    <t>TD仕入明細内訳.W or '' AS W</t>
    <phoneticPr fontId="2"/>
  </si>
  <si>
    <t>TD仕入明細内訳.D or '' AS D</t>
    <phoneticPr fontId="2"/>
  </si>
  <si>
    <t>TD仕入明細内訳.D1 or '' AS D1</t>
    <phoneticPr fontId="2"/>
  </si>
  <si>
    <t>TD仕入明細内訳.D2 or '' AS D2</t>
    <phoneticPr fontId="2"/>
  </si>
  <si>
    <t>TD仕入明細内訳.H or '' AS H</t>
    <phoneticPr fontId="2"/>
  </si>
  <si>
    <t>TD仕入明細内訳.H1 or '' AS H1</t>
    <phoneticPr fontId="2"/>
  </si>
  <si>
    <t>TD仕入明細内訳.H2 or '' AS H2</t>
    <phoneticPr fontId="2"/>
  </si>
  <si>
    <t>TD仕入明細内訳.仕入数量 or 0 AS 仕入数量</t>
    <phoneticPr fontId="2"/>
  </si>
  <si>
    <t>TD仕入明細内訳.単位名 or '' AS 単位名</t>
    <phoneticPr fontId="2"/>
  </si>
  <si>
    <t>TD仕入明細内訳.仕入単価 or 0 AS 仕入単価</t>
    <phoneticPr fontId="2"/>
  </si>
  <si>
    <t>TD仕入明細内訳.仕入金額 or 外税額 AS 仕入金額</t>
    <phoneticPr fontId="2"/>
  </si>
  <si>
    <t>TD仕入明細内訳.伝票区分 or '' AS 伝票区分</t>
    <phoneticPr fontId="2"/>
  </si>
  <si>
    <t>画面.開始日付</t>
    <rPh sb="0" eb="2">
      <t>ガメン</t>
    </rPh>
    <rPh sb="3" eb="7">
      <t>カイシヒヅケ</t>
    </rPh>
    <phoneticPr fontId="1"/>
  </si>
  <si>
    <t>画面.終了日付</t>
    <rPh sb="0" eb="2">
      <t>ガメン</t>
    </rPh>
    <rPh sb="3" eb="7">
      <t>シュウリョウヒヅケ</t>
    </rPh>
    <phoneticPr fontId="1"/>
  </si>
  <si>
    <t>SQL1.仕入先名1</t>
    <rPh sb="5" eb="7">
      <t>シイレ</t>
    </rPh>
    <rPh sb="7" eb="8">
      <t>サキ</t>
    </rPh>
    <rPh sb="8" eb="9">
      <t>メイ</t>
    </rPh>
    <phoneticPr fontId="1"/>
  </si>
  <si>
    <t>SQL1.仕入先名2</t>
    <rPh sb="5" eb="9">
      <t>シイレサキメイ</t>
    </rPh>
    <phoneticPr fontId="1"/>
  </si>
  <si>
    <t>SQL1.仕入日付</t>
    <rPh sb="5" eb="7">
      <t>シイレ</t>
    </rPh>
    <rPh sb="7" eb="9">
      <t>ヒヅケ</t>
    </rPh>
    <phoneticPr fontId="1"/>
  </si>
  <si>
    <t>SQL1.支払日付</t>
    <phoneticPr fontId="1"/>
  </si>
  <si>
    <t>SQL1.製品NO</t>
    <phoneticPr fontId="1"/>
  </si>
  <si>
    <t>SQL1.仕様NO</t>
    <phoneticPr fontId="1"/>
  </si>
  <si>
    <t>SQL1.W</t>
    <phoneticPr fontId="1"/>
  </si>
  <si>
    <t>SQL1.D</t>
    <phoneticPr fontId="1"/>
  </si>
  <si>
    <t>SQL1.H</t>
    <phoneticPr fontId="1"/>
  </si>
  <si>
    <t>SQL1.仕入数量</t>
    <rPh sb="5" eb="7">
      <t>シイレ</t>
    </rPh>
    <rPh sb="7" eb="9">
      <t>スウリョウ</t>
    </rPh>
    <phoneticPr fontId="1"/>
  </si>
  <si>
    <t>SQL1.単位名</t>
    <rPh sb="5" eb="8">
      <t>タンイメイ</t>
    </rPh>
    <phoneticPr fontId="1"/>
  </si>
  <si>
    <t>SQL1.仕入単価</t>
    <rPh sb="5" eb="7">
      <t>シイレ</t>
    </rPh>
    <rPh sb="7" eb="9">
      <t>タンカ</t>
    </rPh>
    <phoneticPr fontId="1"/>
  </si>
  <si>
    <t>SQL1.仕入金額</t>
    <rPh sb="5" eb="7">
      <t>シイレ</t>
    </rPh>
    <rPh sb="7" eb="9">
      <t>キンガク</t>
    </rPh>
    <phoneticPr fontId="1"/>
  </si>
  <si>
    <t>SQL1.伝票区分</t>
    <rPh sb="5" eb="9">
      <t>デンピョウクブン</t>
    </rPh>
    <phoneticPr fontId="1"/>
  </si>
  <si>
    <t>SQL1.支払締日</t>
    <rPh sb="5" eb="9">
      <t>シハライシメビ</t>
    </rPh>
    <phoneticPr fontId="1"/>
  </si>
  <si>
    <t>SQL1.見積番号,SQL1.仕入明細行番号</t>
    <phoneticPr fontId="1"/>
  </si>
  <si>
    <t>SQL1.見積番号-SQL1.仕入明細行番号の3桁0パディング</t>
    <rPh sb="24" eb="25">
      <t>ケタ</t>
    </rPh>
    <phoneticPr fontId="1"/>
  </si>
  <si>
    <t>仕入先CD</t>
    <rPh sb="0" eb="2">
      <t>シイレ</t>
    </rPh>
    <rPh sb="2" eb="3">
      <t>サキ</t>
    </rPh>
    <phoneticPr fontId="1"/>
  </si>
  <si>
    <t>SQL1.仕入先CD</t>
    <rPh sb="5" eb="8">
      <t>シイレサキ</t>
    </rPh>
    <phoneticPr fontId="1"/>
  </si>
  <si>
    <t>仕入先ごとの先頭行でのみ表示</t>
    <rPh sb="0" eb="3">
      <t>シイレサキ</t>
    </rPh>
    <rPh sb="6" eb="9">
      <t>セントウギョウ</t>
    </rPh>
    <rPh sb="12" eb="14">
      <t>ヒョウジ</t>
    </rPh>
    <phoneticPr fontId="1"/>
  </si>
  <si>
    <t>仕入先と仕入日付ごとの先頭行でのみ表示</t>
    <rPh sb="4" eb="8">
      <t>シイレヒヅケ</t>
    </rPh>
    <phoneticPr fontId="1"/>
  </si>
  <si>
    <t>仕入先と支払日付ごとの先頭行でのみ表示</t>
    <rPh sb="4" eb="6">
      <t>シハライ</t>
    </rPh>
    <rPh sb="6" eb="8">
      <t>ヒヅケ</t>
    </rPh>
    <phoneticPr fontId="1"/>
  </si>
  <si>
    <t>9,999 or 9,999.00</t>
    <phoneticPr fontId="1"/>
  </si>
  <si>
    <t>切り捨て前と切り捨て後の値が異なる場合、小数点第2位まで表示</t>
    <rPh sb="0" eb="1">
      <t>キ</t>
    </rPh>
    <rPh sb="2" eb="3">
      <t>ス</t>
    </rPh>
    <rPh sb="4" eb="5">
      <t>マエ</t>
    </rPh>
    <rPh sb="6" eb="7">
      <t>キ</t>
    </rPh>
    <rPh sb="8" eb="9">
      <t>ス</t>
    </rPh>
    <rPh sb="10" eb="11">
      <t>ゴ</t>
    </rPh>
    <rPh sb="12" eb="13">
      <t>アタイ</t>
    </rPh>
    <rPh sb="14" eb="15">
      <t>コト</t>
    </rPh>
    <rPh sb="17" eb="19">
      <t>バアイ</t>
    </rPh>
    <rPh sb="20" eb="23">
      <t>ショウスウテン</t>
    </rPh>
    <rPh sb="23" eb="24">
      <t>ダイ</t>
    </rPh>
    <rPh sb="25" eb="26">
      <t>イ</t>
    </rPh>
    <rPh sb="28" eb="30">
      <t>ヒョウジ</t>
    </rPh>
    <phoneticPr fontId="1"/>
  </si>
  <si>
    <t>1の場合"仕入"、2の場合"返品"、3の場合"単価訂正"　それ以外は空</t>
    <rPh sb="2" eb="4">
      <t>バアイ</t>
    </rPh>
    <rPh sb="5" eb="7">
      <t>シイレ</t>
    </rPh>
    <rPh sb="11" eb="13">
      <t>バアイ</t>
    </rPh>
    <rPh sb="20" eb="22">
      <t>バアイ</t>
    </rPh>
    <rPh sb="23" eb="27">
      <t>タンカテイセイ</t>
    </rPh>
    <rPh sb="31" eb="33">
      <t>イガイ</t>
    </rPh>
    <rPh sb="34" eb="35">
      <t>カラ</t>
    </rPh>
    <phoneticPr fontId="1"/>
  </si>
  <si>
    <t>TD仕入明細.支払締日が99の場合'月末'、 0の場合'都度' 、それ以外の場合,TD仕入明細.支払締日 + '日' or NULL AS 支払締日</t>
    <rPh sb="15" eb="17">
      <t>バアイ</t>
    </rPh>
    <rPh sb="25" eb="27">
      <t>バアイ</t>
    </rPh>
    <rPh sb="35" eb="37">
      <t>イガイ</t>
    </rPh>
    <rPh sb="38" eb="40">
      <t>バアイ</t>
    </rPh>
    <phoneticPr fontId="2"/>
  </si>
  <si>
    <t>DT.仕入先CD,DT.仕入日付,DT.見積番号,DT.仕入番号,DT.区分,DT.仕入明細行番号　を昇順でソート</t>
    <rPh sb="51" eb="53">
      <t>ショウジュン</t>
    </rPh>
    <phoneticPr fontId="2"/>
  </si>
  <si>
    <t>TD仕入明細.支払締日が99の場合'月末'、 0の場合'都度' 、それ以外の場合,TD仕入明細.支払締日 + '日'</t>
    <phoneticPr fontId="2"/>
  </si>
  <si>
    <t>FROM</t>
    <phoneticPr fontId="2"/>
  </si>
  <si>
    <t>TD仕入明細</t>
    <phoneticPr fontId="2"/>
  </si>
  <si>
    <t>AS SD</t>
    <phoneticPr fontId="2"/>
  </si>
  <si>
    <t>UNIION ALL</t>
    <phoneticPr fontId="2"/>
  </si>
  <si>
    <t>SQL3</t>
    <phoneticPr fontId="2"/>
  </si>
  <si>
    <t>AS DT</t>
    <phoneticPr fontId="2"/>
  </si>
  <si>
    <t>SQL2</t>
    <phoneticPr fontId="2"/>
  </si>
  <si>
    <t>日付選択での仕入日付、支払日付で分岐</t>
    <rPh sb="0" eb="1">
      <t>ヒヅケ</t>
    </rPh>
    <rPh sb="1" eb="3">
      <t>センタク</t>
    </rPh>
    <rPh sb="5" eb="9">
      <t>シイレヒヅケ</t>
    </rPh>
    <rPh sb="10" eb="14">
      <t>シハライヒヅケ</t>
    </rPh>
    <rPh sb="15" eb="17">
      <t>ブンキ</t>
    </rPh>
    <phoneticPr fontId="2"/>
  </si>
  <si>
    <t>日付選択での仕入日付、支払日付で分岐</t>
    <rPh sb="0" eb="2">
      <t>センタク</t>
    </rPh>
    <rPh sb="4" eb="8">
      <t>シイレヒヅケ</t>
    </rPh>
    <rPh sb="9" eb="13">
      <t>シハライヒヅケ</t>
    </rPh>
    <rPh sb="14" eb="16">
      <t>ブンキ</t>
    </rPh>
    <phoneticPr fontId="2"/>
  </si>
  <si>
    <t>SQL1.漢字名称</t>
    <rPh sb="5" eb="9">
      <t>カンジメイショウ</t>
    </rPh>
    <phoneticPr fontId="1"/>
  </si>
  <si>
    <t>SQL1.見積件名</t>
    <rPh sb="5" eb="9">
      <t>ミツモリケンメイ</t>
    </rPh>
    <phoneticPr fontId="1"/>
  </si>
  <si>
    <t>開始仕入先がNullの場合は[最初]を表示　nullでない場合は[開始CD]を表示</t>
    <rPh sb="0" eb="5">
      <t>カイシシイレサキ</t>
    </rPh>
    <rPh sb="11" eb="13">
      <t>バアイ</t>
    </rPh>
    <rPh sb="19" eb="21">
      <t>ヒョウジ</t>
    </rPh>
    <rPh sb="29" eb="31">
      <t>バアイ</t>
    </rPh>
    <rPh sb="33" eb="35">
      <t>カイシ</t>
    </rPh>
    <rPh sb="39" eb="41">
      <t>ヒョウジ</t>
    </rPh>
    <phoneticPr fontId="1"/>
  </si>
  <si>
    <t>終了仕入先がNullの場合は[最後]を表示　nullでない場合は[終了CD]を表示</t>
    <rPh sb="0" eb="2">
      <t>シュウリョウ</t>
    </rPh>
    <rPh sb="2" eb="5">
      <t>シイレサキ</t>
    </rPh>
    <rPh sb="15" eb="17">
      <t>サイゴ</t>
    </rPh>
    <rPh sb="33" eb="35">
      <t>シュウリョウ</t>
    </rPh>
    <phoneticPr fontId="1"/>
  </si>
  <si>
    <t>AND SD.仕入先CD &gt;=  開始CD and SD.仕入先CD &lt;=  終了CD</t>
    <phoneticPr fontId="2"/>
  </si>
  <si>
    <t>AND SD.税集計区分=0</t>
    <phoneticPr fontId="2"/>
  </si>
  <si>
    <t>明細用</t>
    <rPh sb="0" eb="2">
      <t>メイサイヨウ</t>
    </rPh>
    <phoneticPr fontId="2"/>
  </si>
  <si>
    <t>消費税用</t>
    <rPh sb="0" eb="2">
      <t>ショウヒゼイ</t>
    </rPh>
    <rPh sb="3" eb="4">
      <t>ヨウ</t>
    </rPh>
    <phoneticPr fontId="2"/>
  </si>
  <si>
    <t>仕分名称を使用しているか確認</t>
    <rPh sb="0" eb="4">
      <t>シワケメイショウ</t>
    </rPh>
    <rPh sb="5" eb="7">
      <t>シヨウ</t>
    </rPh>
    <rPh sb="12" eb="14">
      <t>カクニン</t>
    </rPh>
    <phoneticPr fontId="2"/>
  </si>
  <si>
    <t>項目は存在しているが使用していない認識で間違いないか確認</t>
    <rPh sb="0" eb="2">
      <t>コウモク</t>
    </rPh>
    <rPh sb="3" eb="5">
      <t>ソンザイ</t>
    </rPh>
    <rPh sb="10" eb="12">
      <t>シヨウ</t>
    </rPh>
    <rPh sb="17" eb="19">
      <t>ニンシキ</t>
    </rPh>
    <rPh sb="20" eb="22">
      <t>マチガ</t>
    </rPh>
    <rPh sb="26" eb="28">
      <t>カクニン</t>
    </rPh>
    <phoneticPr fontId="2"/>
  </si>
  <si>
    <t>消費税</t>
    <rPh sb="0" eb="3">
      <t>ショウヒゼイ</t>
    </rPh>
    <phoneticPr fontId="2"/>
  </si>
  <si>
    <t>合計金額</t>
    <rPh sb="0" eb="4">
      <t>ゴウケイキンガク</t>
    </rPh>
    <phoneticPr fontId="2"/>
  </si>
  <si>
    <t>仕入先計</t>
    <rPh sb="0" eb="4">
      <t>シイレサキケイ</t>
    </rPh>
    <phoneticPr fontId="2"/>
  </si>
  <si>
    <t>仕入番号ごとの消費税で間違いないか確認</t>
    <rPh sb="11" eb="13">
      <t>マチガ</t>
    </rPh>
    <rPh sb="17" eb="19">
      <t>カクニン</t>
    </rPh>
    <phoneticPr fontId="2"/>
  </si>
  <si>
    <t>仕入番号ごとの仕入金額合計で間違いないか確認</t>
    <phoneticPr fontId="2"/>
  </si>
  <si>
    <t>仕入先CDごとの仕入金額合計で間違いないか確認</t>
    <phoneticPr fontId="2"/>
  </si>
  <si>
    <t>仕入番号ごとの消費税</t>
    <phoneticPr fontId="1"/>
  </si>
  <si>
    <t>仕入番号ごとの仕入金額合計</t>
    <phoneticPr fontId="1"/>
  </si>
  <si>
    <t>仕入先CDごとの仕入金額合計</t>
    <phoneticPr fontId="1"/>
  </si>
  <si>
    <t>SQL1.仕入金額</t>
    <phoneticPr fontId="1"/>
  </si>
  <si>
    <t>区分1</t>
    <rPh sb="0" eb="2">
      <t>クブン</t>
    </rPh>
    <phoneticPr fontId="1"/>
  </si>
  <si>
    <t>区分2</t>
    <rPh sb="0" eb="2">
      <t>クブン</t>
    </rPh>
    <phoneticPr fontId="1"/>
  </si>
  <si>
    <t>○</t>
    <phoneticPr fontId="1"/>
  </si>
  <si>
    <t>×</t>
    <phoneticPr fontId="1"/>
  </si>
  <si>
    <t>yyyy/mm/dd</t>
    <phoneticPr fontId="1"/>
  </si>
  <si>
    <t>開始仕入先</t>
    <phoneticPr fontId="1"/>
  </si>
  <si>
    <t>画面.開始CD</t>
    <rPh sb="0" eb="2">
      <t>ガメン</t>
    </rPh>
    <phoneticPr fontId="1"/>
  </si>
  <si>
    <t>終了仕入先</t>
    <phoneticPr fontId="1"/>
  </si>
  <si>
    <t>画面.終了CD</t>
    <rPh sb="0" eb="2">
      <t>ガメン</t>
    </rPh>
    <phoneticPr fontId="1"/>
  </si>
  <si>
    <t>開始CD、終了CD、開始日付、終了日付の取得先確認</t>
    <rPh sb="0" eb="2">
      <t>カイシ</t>
    </rPh>
    <rPh sb="20" eb="22">
      <t>シュトク</t>
    </rPh>
    <rPh sb="22" eb="23">
      <t>サキ</t>
    </rPh>
    <rPh sb="23" eb="25">
      <t>カクニン</t>
    </rPh>
    <phoneticPr fontId="2"/>
  </si>
  <si>
    <t>現行レイアウト</t>
    <rPh sb="0" eb="2">
      <t>ゲンコウ</t>
    </rPh>
    <phoneticPr fontId="2"/>
  </si>
  <si>
    <t>〇</t>
    <phoneticPr fontId="2"/>
  </si>
  <si>
    <t>回答</t>
    <rPh sb="0" eb="2">
      <t>カイトウ</t>
    </rPh>
    <phoneticPr fontId="2"/>
  </si>
  <si>
    <t>認識合っている</t>
    <rPh sb="0" eb="2">
      <t>ニンシキ</t>
    </rPh>
    <rPh sb="2" eb="3">
      <t>ア</t>
    </rPh>
    <phoneticPr fontId="2"/>
  </si>
  <si>
    <t>使っていない</t>
    <rPh sb="0" eb="1">
      <t>ツカ</t>
    </rPh>
    <phoneticPr fontId="2"/>
  </si>
  <si>
    <t>原稿レイアウトに項目のみ存在→不要</t>
    <rPh sb="0" eb="2">
      <t>ゲンコウ</t>
    </rPh>
    <rPh sb="8" eb="10">
      <t>コウモク</t>
    </rPh>
    <rPh sb="12" eb="14">
      <t>ソンザイ</t>
    </rPh>
    <rPh sb="15" eb="17">
      <t>フヨウ</t>
    </rPh>
    <phoneticPr fontId="1"/>
  </si>
  <si>
    <t>A3横</t>
    <rPh sb="2" eb="3">
      <t>ヨコ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</si>
  <si>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</si>
  <si>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</si>
  <si>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大谷</t>
    <rPh sb="0" eb="2">
      <t>オオタニ</t>
    </rPh>
    <phoneticPr fontId="2"/>
  </si>
  <si>
    <t>システム分類</t>
    <rPh sb="4" eb="6">
      <t>ブンルイ</t>
    </rPh>
    <phoneticPr fontId="2"/>
  </si>
  <si>
    <t>WHERE　開始日付 &lt;= SD.仕入日付 =&lt; 終了日付 or WHERE 開始日付 &lt;= SD.支払日付 &lt;= 終了日付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</si>
</sst>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  <font>
      <sz val="9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7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2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3" fillId="2" borderId="55" xfId="0" applyFont="1" applyFill="1" applyBorder="1" applyAlignment="1">
      <alignment horizontal="left" vertical="center"/>
    </xf>
    <xf numFmtId="0" fontId="3" fillId="2" borderId="56" xfId="0" applyFont="1" applyFill="1" applyBorder="1">
      <alignment vertical="center"/>
    </xf>
    <xf numFmtId="0" fontId="3" fillId="2" borderId="57" xfId="0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58" xfId="0" quotePrefix="1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2" xfId="0" quotePrefix="1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10" fillId="2" borderId="2" xfId="0" applyFont="1" applyFill="1" applyBorder="1">
      <alignment vertical="center"/>
    </xf>
    <xf numFmtId="0" fontId="10" fillId="2" borderId="62" xfId="0" applyFont="1" applyFill="1" applyBorder="1">
      <alignment vertical="center"/>
    </xf>
    <xf numFmtId="0" fontId="9" fillId="2" borderId="0" xfId="0" applyFont="1" applyFill="1" applyBorder="1">
      <alignment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62" xfId="0" applyFont="1" applyFill="1" applyBorder="1">
      <alignment vertical="center"/>
    </xf>
    <xf numFmtId="0" fontId="9" fillId="2" borderId="62" xfId="0" quotePrefix="1" applyFont="1" applyFill="1" applyBorder="1">
      <alignment vertical="center"/>
    </xf>
    <xf numFmtId="0" fontId="3" fillId="2" borderId="62" xfId="0" quotePrefix="1" applyFont="1" applyFill="1" applyBorder="1" applyAlignment="1">
      <alignment vertical="center"/>
    </xf>
    <xf numFmtId="0" fontId="3" fillId="2" borderId="67" xfId="0" applyFont="1" applyFill="1" applyBorder="1">
      <alignment vertical="center"/>
    </xf>
    <xf numFmtId="0" fontId="3" fillId="2" borderId="52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3" fillId="2" borderId="51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9" fillId="2" borderId="0" xfId="0" applyFont="1" applyFill="1">
      <alignment vertical="center"/>
    </xf>
    <xf numFmtId="0" fontId="3" fillId="2" borderId="43" xfId="0" applyFont="1" applyFill="1" applyBorder="1">
      <alignment vertical="center"/>
    </xf>
    <xf numFmtId="0" fontId="3" fillId="2" borderId="44" xfId="0" applyFont="1" applyFill="1" applyBorder="1">
      <alignment vertical="center"/>
    </xf>
    <xf numFmtId="0" fontId="3" fillId="2" borderId="45" xfId="0" applyFont="1" applyFill="1" applyBorder="1">
      <alignment vertical="center"/>
    </xf>
    <xf numFmtId="0" fontId="3" fillId="2" borderId="60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9" fillId="2" borderId="43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6" xfId="0" quotePrefix="1" applyFont="1" applyFill="1" applyBorder="1" applyAlignment="1">
      <alignment vertical="center"/>
    </xf>
    <xf numFmtId="0" fontId="3" fillId="2" borderId="3" xfId="0" quotePrefix="1" applyFont="1" applyFill="1" applyBorder="1" applyAlignment="1">
      <alignment vertical="center"/>
    </xf>
    <xf numFmtId="0" fontId="3" fillId="2" borderId="6" xfId="0" quotePrefix="1" applyFont="1" applyFill="1" applyBorder="1">
      <alignment vertical="center"/>
    </xf>
    <xf numFmtId="0" fontId="3" fillId="2" borderId="69" xfId="0" applyFont="1" applyFill="1" applyBorder="1">
      <alignment vertical="center"/>
    </xf>
    <xf numFmtId="0" fontId="3" fillId="2" borderId="70" xfId="0" applyFont="1" applyFill="1" applyBorder="1">
      <alignment vertical="center"/>
    </xf>
    <xf numFmtId="0" fontId="3" fillId="2" borderId="71" xfId="0" applyFont="1" applyFill="1" applyBorder="1">
      <alignment vertical="center"/>
    </xf>
    <xf numFmtId="0" fontId="3" fillId="6" borderId="0" xfId="0" applyFont="1" applyFill="1" applyBorder="1">
      <alignment vertical="center"/>
    </xf>
    <xf numFmtId="0" fontId="3" fillId="6" borderId="62" xfId="0" applyFont="1" applyFill="1" applyBorder="1">
      <alignment vertical="center"/>
    </xf>
    <xf numFmtId="0" fontId="3" fillId="6" borderId="62" xfId="0" quotePrefix="1" applyFont="1" applyFill="1" applyBorder="1">
      <alignment vertical="center"/>
    </xf>
    <xf numFmtId="0" fontId="3" fillId="6" borderId="63" xfId="0" applyFont="1" applyFill="1" applyBorder="1">
      <alignment vertical="center"/>
    </xf>
    <xf numFmtId="0" fontId="8" fillId="6" borderId="0" xfId="0" applyFont="1" applyFill="1" applyBorder="1">
      <alignment vertical="center"/>
    </xf>
    <xf numFmtId="0" fontId="11" fillId="6" borderId="62" xfId="0" applyFont="1" applyFill="1" applyBorder="1">
      <alignment vertical="center"/>
    </xf>
    <xf numFmtId="0" fontId="3" fillId="6" borderId="2" xfId="0" quotePrefix="1" applyFont="1" applyFill="1" applyBorder="1">
      <alignment vertical="center"/>
    </xf>
    <xf numFmtId="0" fontId="3" fillId="6" borderId="3" xfId="0" applyFont="1" applyFill="1" applyBorder="1">
      <alignment vertical="center"/>
    </xf>
    <xf numFmtId="0" fontId="3" fillId="6" borderId="64" xfId="0" applyFont="1" applyFill="1" applyBorder="1">
      <alignment vertical="center"/>
    </xf>
    <xf numFmtId="0" fontId="3" fillId="2" borderId="23" xfId="0" applyFont="1" applyFill="1" applyBorder="1" applyAlignment="1">
      <alignment horizontal="left" vertical="center"/>
    </xf>
    <xf numFmtId="0" fontId="11" fillId="2" borderId="62" xfId="0" applyFont="1" applyFill="1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7" borderId="2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3" fontId="3" fillId="2" borderId="5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left" vertical="center"/>
    </xf>
    <xf numFmtId="0" fontId="3" fillId="7" borderId="6" xfId="0" applyFont="1" applyFill="1" applyBorder="1" applyAlignment="1">
      <alignment horizontal="left" vertical="center"/>
    </xf>
    <xf numFmtId="0" fontId="3" fillId="7" borderId="7" xfId="0" applyFont="1" applyFill="1" applyBorder="1" applyAlignment="1">
      <alignment horizontal="left" vertical="center"/>
    </xf>
    <xf numFmtId="0" fontId="3" fillId="7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left" vertical="center"/>
    </xf>
    <xf numFmtId="0" fontId="1" fillId="7" borderId="6" xfId="0" applyFont="1" applyFill="1" applyBorder="1" applyAlignment="1">
      <alignment horizontal="left" vertical="center"/>
    </xf>
    <xf numFmtId="0" fontId="1" fillId="7" borderId="7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left" vertical="center"/>
    </xf>
    <xf numFmtId="0" fontId="8" fillId="7" borderId="6" xfId="0" applyFont="1" applyFill="1" applyBorder="1" applyAlignment="1">
      <alignment horizontal="left" vertical="center"/>
    </xf>
    <xf numFmtId="0" fontId="8" fillId="7" borderId="23" xfId="0" applyFont="1" applyFill="1" applyBorder="1" applyAlignment="1">
      <alignment horizontal="left" vertical="center"/>
    </xf>
    <xf numFmtId="14" fontId="3" fillId="2" borderId="50" xfId="0" applyNumberFormat="1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3" borderId="41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43542</xdr:colOff>
      <xdr:row>8</xdr:row>
      <xdr:rowOff>130631</xdr:rowOff>
    </xdr:from>
    <xdr:to>
      <xdr:col>63</xdr:col>
      <xdr:colOff>67794</xdr:colOff>
      <xdr:row>29</xdr:row>
      <xdr:rowOff>87088</xdr:rowOff>
    </xdr:to>
    <xdr:pic>
      <xdr:nvPicPr>
        <xdr:cNvPr id="35" name="図 3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3656" y="1763488"/>
          <a:ext cx="17288995" cy="5214257"/>
        </a:xfrm>
        <a:prstGeom prst="rect">
          <a:avLst/>
        </a:prstGeom>
      </xdr:spPr>
    </xdr:pic>
    <xdr:clientData/>
  </xdr:twoCellAnchor>
  <xdr:twoCellAnchor>
    <xdr:from>
      <xdr:col>47</xdr:col>
      <xdr:colOff>170329</xdr:colOff>
      <xdr:row>9</xdr:row>
      <xdr:rowOff>224117</xdr:rowOff>
    </xdr:from>
    <xdr:to>
      <xdr:col>48</xdr:col>
      <xdr:colOff>233081</xdr:colOff>
      <xdr:row>11</xdr:row>
      <xdr:rowOff>44823</xdr:rowOff>
    </xdr:to>
    <xdr:sp macro="" textlink="">
      <xdr:nvSpPr>
        <xdr:cNvPr id="5" name="正方形/長方形 4"/>
        <xdr:cNvSpPr/>
      </xdr:nvSpPr>
      <xdr:spPr>
        <a:xfrm>
          <a:off x="13034682" y="210670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30737</xdr:colOff>
      <xdr:row>9</xdr:row>
      <xdr:rowOff>112699</xdr:rowOff>
    </xdr:from>
    <xdr:to>
      <xdr:col>8</xdr:col>
      <xdr:colOff>93489</xdr:colOff>
      <xdr:row>10</xdr:row>
      <xdr:rowOff>184417</xdr:rowOff>
    </xdr:to>
    <xdr:sp macro="" textlink="">
      <xdr:nvSpPr>
        <xdr:cNvPr id="6" name="正方形/長方形 5"/>
        <xdr:cNvSpPr/>
      </xdr:nvSpPr>
      <xdr:spPr>
        <a:xfrm>
          <a:off x="1815994" y="1995928"/>
          <a:ext cx="345781" cy="32208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17929</xdr:colOff>
      <xdr:row>9</xdr:row>
      <xdr:rowOff>107577</xdr:rowOff>
    </xdr:from>
    <xdr:to>
      <xdr:col>13</xdr:col>
      <xdr:colOff>80681</xdr:colOff>
      <xdr:row>10</xdr:row>
      <xdr:rowOff>179295</xdr:rowOff>
    </xdr:to>
    <xdr:sp macro="" textlink="">
      <xdr:nvSpPr>
        <xdr:cNvPr id="7" name="正方形/長方形 6"/>
        <xdr:cNvSpPr/>
      </xdr:nvSpPr>
      <xdr:spPr>
        <a:xfrm>
          <a:off x="3155576" y="199016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43340</xdr:colOff>
      <xdr:row>10</xdr:row>
      <xdr:rowOff>197224</xdr:rowOff>
    </xdr:from>
    <xdr:to>
      <xdr:col>8</xdr:col>
      <xdr:colOff>106092</xdr:colOff>
      <xdr:row>12</xdr:row>
      <xdr:rowOff>17930</xdr:rowOff>
    </xdr:to>
    <xdr:sp macro="" textlink="">
      <xdr:nvSpPr>
        <xdr:cNvPr id="8" name="正方形/長方形 7"/>
        <xdr:cNvSpPr/>
      </xdr:nvSpPr>
      <xdr:spPr>
        <a:xfrm>
          <a:off x="1791458" y="233082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20929</xdr:colOff>
      <xdr:row>10</xdr:row>
      <xdr:rowOff>195303</xdr:rowOff>
    </xdr:from>
    <xdr:to>
      <xdr:col>13</xdr:col>
      <xdr:colOff>83680</xdr:colOff>
      <xdr:row>12</xdr:row>
      <xdr:rowOff>16009</xdr:rowOff>
    </xdr:to>
    <xdr:sp macro="" textlink="">
      <xdr:nvSpPr>
        <xdr:cNvPr id="9" name="正方形/長方形 8"/>
        <xdr:cNvSpPr/>
      </xdr:nvSpPr>
      <xdr:spPr>
        <a:xfrm>
          <a:off x="3221329" y="2328903"/>
          <a:ext cx="345780" cy="32144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</xdr:col>
      <xdr:colOff>40781</xdr:colOff>
      <xdr:row>12</xdr:row>
      <xdr:rowOff>178014</xdr:rowOff>
    </xdr:from>
    <xdr:to>
      <xdr:col>6</xdr:col>
      <xdr:colOff>103533</xdr:colOff>
      <xdr:row>13</xdr:row>
      <xdr:rowOff>249733</xdr:rowOff>
    </xdr:to>
    <xdr:sp macro="" textlink="">
      <xdr:nvSpPr>
        <xdr:cNvPr id="10" name="正方形/長方形 9"/>
        <xdr:cNvSpPr/>
      </xdr:nvSpPr>
      <xdr:spPr>
        <a:xfrm>
          <a:off x="1259981" y="2812357"/>
          <a:ext cx="345781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</xdr:col>
      <xdr:colOff>49745</xdr:colOff>
      <xdr:row>14</xdr:row>
      <xdr:rowOff>47385</xdr:rowOff>
    </xdr:from>
    <xdr:to>
      <xdr:col>6</xdr:col>
      <xdr:colOff>117620</xdr:colOff>
      <xdr:row>15</xdr:row>
      <xdr:rowOff>119104</xdr:rowOff>
    </xdr:to>
    <xdr:sp macro="" textlink="">
      <xdr:nvSpPr>
        <xdr:cNvPr id="11" name="正方形/長方形 10"/>
        <xdr:cNvSpPr/>
      </xdr:nvSpPr>
      <xdr:spPr>
        <a:xfrm>
          <a:off x="1268945" y="3182471"/>
          <a:ext cx="350904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98611</xdr:colOff>
      <xdr:row>13</xdr:row>
      <xdr:rowOff>125507</xdr:rowOff>
    </xdr:from>
    <xdr:to>
      <xdr:col>15</xdr:col>
      <xdr:colOff>161363</xdr:colOff>
      <xdr:row>14</xdr:row>
      <xdr:rowOff>197225</xdr:rowOff>
    </xdr:to>
    <xdr:sp macro="" textlink="">
      <xdr:nvSpPr>
        <xdr:cNvPr id="12" name="正方形/長方形 11"/>
        <xdr:cNvSpPr/>
      </xdr:nvSpPr>
      <xdr:spPr>
        <a:xfrm>
          <a:off x="3792070" y="301214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125506</xdr:colOff>
      <xdr:row>13</xdr:row>
      <xdr:rowOff>116541</xdr:rowOff>
    </xdr:from>
    <xdr:to>
      <xdr:col>18</xdr:col>
      <xdr:colOff>188258</xdr:colOff>
      <xdr:row>14</xdr:row>
      <xdr:rowOff>188259</xdr:rowOff>
    </xdr:to>
    <xdr:sp macro="" textlink="">
      <xdr:nvSpPr>
        <xdr:cNvPr id="13" name="正方形/長方形 12"/>
        <xdr:cNvSpPr/>
      </xdr:nvSpPr>
      <xdr:spPr>
        <a:xfrm>
          <a:off x="4652682" y="300317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21</xdr:col>
      <xdr:colOff>249528</xdr:colOff>
      <xdr:row>13</xdr:row>
      <xdr:rowOff>107577</xdr:rowOff>
    </xdr:from>
    <xdr:to>
      <xdr:col>23</xdr:col>
      <xdr:colOff>34374</xdr:colOff>
      <xdr:row>14</xdr:row>
      <xdr:rowOff>179295</xdr:rowOff>
    </xdr:to>
    <xdr:sp macro="" textlink="">
      <xdr:nvSpPr>
        <xdr:cNvPr id="14" name="正方形/長方形 13"/>
        <xdr:cNvSpPr/>
      </xdr:nvSpPr>
      <xdr:spPr>
        <a:xfrm>
          <a:off x="5888328" y="299421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24</xdr:col>
      <xdr:colOff>54428</xdr:colOff>
      <xdr:row>12</xdr:row>
      <xdr:rowOff>141516</xdr:rowOff>
    </xdr:from>
    <xdr:to>
      <xdr:col>25</xdr:col>
      <xdr:colOff>122303</xdr:colOff>
      <xdr:row>13</xdr:row>
      <xdr:rowOff>213235</xdr:rowOff>
    </xdr:to>
    <xdr:sp macro="" textlink="">
      <xdr:nvSpPr>
        <xdr:cNvPr id="36" name="正方形/長方形 35"/>
        <xdr:cNvSpPr/>
      </xdr:nvSpPr>
      <xdr:spPr>
        <a:xfrm>
          <a:off x="6651171" y="2775859"/>
          <a:ext cx="350903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26</xdr:col>
      <xdr:colOff>130629</xdr:colOff>
      <xdr:row>12</xdr:row>
      <xdr:rowOff>141516</xdr:rowOff>
    </xdr:from>
    <xdr:to>
      <xdr:col>27</xdr:col>
      <xdr:colOff>198503</xdr:colOff>
      <xdr:row>13</xdr:row>
      <xdr:rowOff>213235</xdr:rowOff>
    </xdr:to>
    <xdr:sp macro="" textlink="">
      <xdr:nvSpPr>
        <xdr:cNvPr id="37" name="正方形/長方形 36"/>
        <xdr:cNvSpPr/>
      </xdr:nvSpPr>
      <xdr:spPr>
        <a:xfrm>
          <a:off x="7293429" y="2775859"/>
          <a:ext cx="350903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24</xdr:col>
      <xdr:colOff>43542</xdr:colOff>
      <xdr:row>13</xdr:row>
      <xdr:rowOff>174172</xdr:rowOff>
    </xdr:from>
    <xdr:to>
      <xdr:col>25</xdr:col>
      <xdr:colOff>111417</xdr:colOff>
      <xdr:row>14</xdr:row>
      <xdr:rowOff>245890</xdr:rowOff>
    </xdr:to>
    <xdr:sp macro="" textlink="">
      <xdr:nvSpPr>
        <xdr:cNvPr id="38" name="正方形/長方形 37"/>
        <xdr:cNvSpPr/>
      </xdr:nvSpPr>
      <xdr:spPr>
        <a:xfrm>
          <a:off x="6640285" y="3058886"/>
          <a:ext cx="350903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32</xdr:col>
      <xdr:colOff>10886</xdr:colOff>
      <xdr:row>12</xdr:row>
      <xdr:rowOff>228600</xdr:rowOff>
    </xdr:from>
    <xdr:to>
      <xdr:col>33</xdr:col>
      <xdr:colOff>78760</xdr:colOff>
      <xdr:row>14</xdr:row>
      <xdr:rowOff>49947</xdr:rowOff>
    </xdr:to>
    <xdr:sp macro="" textlink="">
      <xdr:nvSpPr>
        <xdr:cNvPr id="39" name="正方形/長方形 38"/>
        <xdr:cNvSpPr/>
      </xdr:nvSpPr>
      <xdr:spPr>
        <a:xfrm>
          <a:off x="8871857" y="2862943"/>
          <a:ext cx="350903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35</xdr:col>
      <xdr:colOff>87086</xdr:colOff>
      <xdr:row>13</xdr:row>
      <xdr:rowOff>10887</xdr:rowOff>
    </xdr:from>
    <xdr:to>
      <xdr:col>36</xdr:col>
      <xdr:colOff>154960</xdr:colOff>
      <xdr:row>14</xdr:row>
      <xdr:rowOff>82605</xdr:rowOff>
    </xdr:to>
    <xdr:sp macro="" textlink="">
      <xdr:nvSpPr>
        <xdr:cNvPr id="40" name="正方形/長方形 39"/>
        <xdr:cNvSpPr/>
      </xdr:nvSpPr>
      <xdr:spPr>
        <a:xfrm>
          <a:off x="9797143" y="2895601"/>
          <a:ext cx="350903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38</xdr:col>
      <xdr:colOff>108857</xdr:colOff>
      <xdr:row>13</xdr:row>
      <xdr:rowOff>10886</xdr:rowOff>
    </xdr:from>
    <xdr:to>
      <xdr:col>39</xdr:col>
      <xdr:colOff>176732</xdr:colOff>
      <xdr:row>14</xdr:row>
      <xdr:rowOff>82604</xdr:rowOff>
    </xdr:to>
    <xdr:sp macro="" textlink="">
      <xdr:nvSpPr>
        <xdr:cNvPr id="41" name="正方形/長方形 40"/>
        <xdr:cNvSpPr/>
      </xdr:nvSpPr>
      <xdr:spPr>
        <a:xfrm>
          <a:off x="10668000" y="2895600"/>
          <a:ext cx="350903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206828</xdr:colOff>
      <xdr:row>13</xdr:row>
      <xdr:rowOff>65317</xdr:rowOff>
    </xdr:from>
    <xdr:to>
      <xdr:col>42</xdr:col>
      <xdr:colOff>274703</xdr:colOff>
      <xdr:row>14</xdr:row>
      <xdr:rowOff>137035</xdr:rowOff>
    </xdr:to>
    <xdr:sp macro="" textlink="">
      <xdr:nvSpPr>
        <xdr:cNvPr id="42" name="正方形/長方形 41"/>
        <xdr:cNvSpPr/>
      </xdr:nvSpPr>
      <xdr:spPr>
        <a:xfrm>
          <a:off x="11615057" y="2950031"/>
          <a:ext cx="350903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43</xdr:col>
      <xdr:colOff>43542</xdr:colOff>
      <xdr:row>13</xdr:row>
      <xdr:rowOff>65315</xdr:rowOff>
    </xdr:from>
    <xdr:to>
      <xdr:col>44</xdr:col>
      <xdr:colOff>111417</xdr:colOff>
      <xdr:row>14</xdr:row>
      <xdr:rowOff>137033</xdr:rowOff>
    </xdr:to>
    <xdr:sp macro="" textlink="">
      <xdr:nvSpPr>
        <xdr:cNvPr id="43" name="正方形/長方形 42"/>
        <xdr:cNvSpPr/>
      </xdr:nvSpPr>
      <xdr:spPr>
        <a:xfrm>
          <a:off x="12017828" y="2950029"/>
          <a:ext cx="350903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47</xdr:col>
      <xdr:colOff>250371</xdr:colOff>
      <xdr:row>13</xdr:row>
      <xdr:rowOff>87085</xdr:rowOff>
    </xdr:from>
    <xdr:to>
      <xdr:col>49</xdr:col>
      <xdr:colOff>35217</xdr:colOff>
      <xdr:row>14</xdr:row>
      <xdr:rowOff>158803</xdr:rowOff>
    </xdr:to>
    <xdr:sp macro="" textlink="">
      <xdr:nvSpPr>
        <xdr:cNvPr id="44" name="正方形/長方形 43"/>
        <xdr:cNvSpPr/>
      </xdr:nvSpPr>
      <xdr:spPr>
        <a:xfrm>
          <a:off x="13356771" y="2971799"/>
          <a:ext cx="350903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51</xdr:col>
      <xdr:colOff>195944</xdr:colOff>
      <xdr:row>13</xdr:row>
      <xdr:rowOff>119743</xdr:rowOff>
    </xdr:from>
    <xdr:to>
      <xdr:col>52</xdr:col>
      <xdr:colOff>263818</xdr:colOff>
      <xdr:row>14</xdr:row>
      <xdr:rowOff>191461</xdr:rowOff>
    </xdr:to>
    <xdr:sp macro="" textlink="">
      <xdr:nvSpPr>
        <xdr:cNvPr id="45" name="正方形/長方形 44"/>
        <xdr:cNvSpPr/>
      </xdr:nvSpPr>
      <xdr:spPr>
        <a:xfrm>
          <a:off x="14434458" y="3004457"/>
          <a:ext cx="350903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53</xdr:col>
      <xdr:colOff>195943</xdr:colOff>
      <xdr:row>13</xdr:row>
      <xdr:rowOff>141515</xdr:rowOff>
    </xdr:from>
    <xdr:to>
      <xdr:col>54</xdr:col>
      <xdr:colOff>263817</xdr:colOff>
      <xdr:row>14</xdr:row>
      <xdr:rowOff>213233</xdr:rowOff>
    </xdr:to>
    <xdr:sp macro="" textlink="">
      <xdr:nvSpPr>
        <xdr:cNvPr id="46" name="正方形/長方形 45"/>
        <xdr:cNvSpPr/>
      </xdr:nvSpPr>
      <xdr:spPr>
        <a:xfrm>
          <a:off x="15000514" y="3026229"/>
          <a:ext cx="350903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57</xdr:col>
      <xdr:colOff>97972</xdr:colOff>
      <xdr:row>13</xdr:row>
      <xdr:rowOff>141516</xdr:rowOff>
    </xdr:from>
    <xdr:to>
      <xdr:col>58</xdr:col>
      <xdr:colOff>165847</xdr:colOff>
      <xdr:row>14</xdr:row>
      <xdr:rowOff>213234</xdr:rowOff>
    </xdr:to>
    <xdr:sp macro="" textlink="">
      <xdr:nvSpPr>
        <xdr:cNvPr id="47" name="正方形/長方形 46"/>
        <xdr:cNvSpPr/>
      </xdr:nvSpPr>
      <xdr:spPr>
        <a:xfrm>
          <a:off x="16034658" y="3026230"/>
          <a:ext cx="350903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61</xdr:col>
      <xdr:colOff>65314</xdr:colOff>
      <xdr:row>13</xdr:row>
      <xdr:rowOff>141515</xdr:rowOff>
    </xdr:from>
    <xdr:to>
      <xdr:col>62</xdr:col>
      <xdr:colOff>133188</xdr:colOff>
      <xdr:row>14</xdr:row>
      <xdr:rowOff>213233</xdr:rowOff>
    </xdr:to>
    <xdr:sp macro="" textlink="">
      <xdr:nvSpPr>
        <xdr:cNvPr id="48" name="正方形/長方形 47"/>
        <xdr:cNvSpPr/>
      </xdr:nvSpPr>
      <xdr:spPr>
        <a:xfrm>
          <a:off x="17134114" y="3026229"/>
          <a:ext cx="350903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51</xdr:col>
      <xdr:colOff>185058</xdr:colOff>
      <xdr:row>16</xdr:row>
      <xdr:rowOff>10885</xdr:rowOff>
    </xdr:from>
    <xdr:to>
      <xdr:col>52</xdr:col>
      <xdr:colOff>252932</xdr:colOff>
      <xdr:row>17</xdr:row>
      <xdr:rowOff>82604</xdr:rowOff>
    </xdr:to>
    <xdr:sp macro="" textlink="">
      <xdr:nvSpPr>
        <xdr:cNvPr id="49" name="正方形/長方形 48"/>
        <xdr:cNvSpPr/>
      </xdr:nvSpPr>
      <xdr:spPr>
        <a:xfrm>
          <a:off x="14423572" y="3646714"/>
          <a:ext cx="350903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25</xdr:col>
      <xdr:colOff>130629</xdr:colOff>
      <xdr:row>17</xdr:row>
      <xdr:rowOff>87088</xdr:rowOff>
    </xdr:from>
    <xdr:to>
      <xdr:col>26</xdr:col>
      <xdr:colOff>198503</xdr:colOff>
      <xdr:row>18</xdr:row>
      <xdr:rowOff>158807</xdr:rowOff>
    </xdr:to>
    <xdr:sp macro="" textlink="">
      <xdr:nvSpPr>
        <xdr:cNvPr id="50" name="正方形/長方形 49"/>
        <xdr:cNvSpPr/>
      </xdr:nvSpPr>
      <xdr:spPr>
        <a:xfrm>
          <a:off x="7010400" y="3973288"/>
          <a:ext cx="350903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51</xdr:col>
      <xdr:colOff>185058</xdr:colOff>
      <xdr:row>17</xdr:row>
      <xdr:rowOff>130628</xdr:rowOff>
    </xdr:from>
    <xdr:to>
      <xdr:col>52</xdr:col>
      <xdr:colOff>252932</xdr:colOff>
      <xdr:row>18</xdr:row>
      <xdr:rowOff>202347</xdr:rowOff>
    </xdr:to>
    <xdr:sp macro="" textlink="">
      <xdr:nvSpPr>
        <xdr:cNvPr id="51" name="正方形/長方形 50"/>
        <xdr:cNvSpPr/>
      </xdr:nvSpPr>
      <xdr:spPr>
        <a:xfrm>
          <a:off x="14423572" y="4016828"/>
          <a:ext cx="350903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51</xdr:col>
      <xdr:colOff>217714</xdr:colOff>
      <xdr:row>28</xdr:row>
      <xdr:rowOff>43543</xdr:rowOff>
    </xdr:from>
    <xdr:to>
      <xdr:col>53</xdr:col>
      <xdr:colOff>2560</xdr:colOff>
      <xdr:row>29</xdr:row>
      <xdr:rowOff>115262</xdr:rowOff>
    </xdr:to>
    <xdr:sp macro="" textlink="">
      <xdr:nvSpPr>
        <xdr:cNvPr id="52" name="正方形/長方形 51"/>
        <xdr:cNvSpPr/>
      </xdr:nvSpPr>
      <xdr:spPr>
        <a:xfrm>
          <a:off x="14456228" y="6683829"/>
          <a:ext cx="350903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</xdr:col>
      <xdr:colOff>65315</xdr:colOff>
      <xdr:row>14</xdr:row>
      <xdr:rowOff>21773</xdr:rowOff>
    </xdr:from>
    <xdr:to>
      <xdr:col>3</xdr:col>
      <xdr:colOff>128067</xdr:colOff>
      <xdr:row>15</xdr:row>
      <xdr:rowOff>93492</xdr:rowOff>
    </xdr:to>
    <xdr:sp macro="" textlink="">
      <xdr:nvSpPr>
        <xdr:cNvPr id="30" name="正方形/長方形 29"/>
        <xdr:cNvSpPr/>
      </xdr:nvSpPr>
      <xdr:spPr>
        <a:xfrm>
          <a:off x="435429" y="3156859"/>
          <a:ext cx="345781" cy="32209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17</xdr:col>
      <xdr:colOff>426372</xdr:colOff>
      <xdr:row>33</xdr:row>
      <xdr:rowOff>77200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457200"/>
          <a:ext cx="11155332" cy="7163800"/>
        </a:xfrm>
        <a:prstGeom prst="rect">
          <a:avLst/>
        </a:prstGeom>
      </xdr:spPr>
    </xdr:pic>
    <xdr:clientData/>
  </xdr:twoCellAnchor>
  <xdr:twoCellAnchor>
    <xdr:from>
      <xdr:col>12</xdr:col>
      <xdr:colOff>243840</xdr:colOff>
      <xdr:row>10</xdr:row>
      <xdr:rowOff>152400</xdr:rowOff>
    </xdr:from>
    <xdr:to>
      <xdr:col>14</xdr:col>
      <xdr:colOff>335280</xdr:colOff>
      <xdr:row>15</xdr:row>
      <xdr:rowOff>91440</xdr:rowOff>
    </xdr:to>
    <xdr:sp macro="" textlink="">
      <xdr:nvSpPr>
        <xdr:cNvPr id="3" name="正方形/長方形 2"/>
        <xdr:cNvSpPr/>
      </xdr:nvSpPr>
      <xdr:spPr>
        <a:xfrm>
          <a:off x="8290560" y="2438400"/>
          <a:ext cx="1432560" cy="10820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7620</xdr:rowOff>
    </xdr:from>
    <xdr:to>
      <xdr:col>18</xdr:col>
      <xdr:colOff>346439</xdr:colOff>
      <xdr:row>37</xdr:row>
      <xdr:rowOff>84979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660" y="236220"/>
          <a:ext cx="11707859" cy="83069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>
      <selection activeCell="B2" sqref="B2:G2"/>
    </sheetView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47" t="s">
        <v>0</v>
      </c>
      <c r="C2" s="148"/>
      <c r="D2" s="148"/>
      <c r="E2" s="148"/>
      <c r="F2" s="148"/>
      <c r="G2" s="148"/>
      <c r="H2" s="148" t="s">
        <v>17</v>
      </c>
      <c r="I2" s="148"/>
      <c r="J2" s="148"/>
      <c r="K2" s="148"/>
      <c r="L2" s="148" t="s">
        <v>303</v>
      </c>
      <c r="M2" s="148"/>
      <c r="N2" s="148"/>
      <c r="O2" s="148"/>
      <c r="P2" s="148"/>
      <c r="Q2" s="148"/>
      <c r="R2" s="148" t="s">
        <v>2</v>
      </c>
      <c r="S2" s="148"/>
      <c r="T2" s="148"/>
      <c r="U2" s="148"/>
      <c r="V2" s="148"/>
      <c r="W2" s="148"/>
      <c r="X2" s="149" t="s">
        <v>3</v>
      </c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1"/>
      <c r="AK2" s="149" t="s">
        <v>31</v>
      </c>
      <c r="AL2" s="150"/>
      <c r="AM2" s="150"/>
      <c r="AN2" s="150"/>
      <c r="AO2" s="150"/>
      <c r="AP2" s="150"/>
      <c r="AQ2" s="150"/>
      <c r="AR2" s="150"/>
      <c r="AS2" s="150"/>
      <c r="AT2" s="150"/>
      <c r="AU2" s="150"/>
      <c r="AV2" s="150"/>
      <c r="AW2" s="151"/>
      <c r="AX2" s="148" t="s">
        <v>5</v>
      </c>
      <c r="AY2" s="148"/>
      <c r="AZ2" s="148"/>
      <c r="BA2" s="148"/>
      <c r="BB2" s="148" t="s">
        <v>4</v>
      </c>
      <c r="BC2" s="148"/>
      <c r="BD2" s="148"/>
      <c r="BE2" s="148"/>
      <c r="BF2" s="148" t="s">
        <v>6</v>
      </c>
      <c r="BG2" s="148"/>
      <c r="BH2" s="148"/>
      <c r="BI2" s="148"/>
      <c r="BJ2" s="148" t="s">
        <v>7</v>
      </c>
      <c r="BK2" s="148"/>
      <c r="BL2" s="148"/>
      <c r="BM2" s="162"/>
      <c r="BN2" s="14"/>
    </row>
    <row r="3" spans="1:66" ht="20.100000000000001" customHeight="1" x14ac:dyDescent="0.45">
      <c r="A3" s="8"/>
      <c r="B3" s="152" t="s">
        <v>300</v>
      </c>
      <c r="C3" s="153"/>
      <c r="D3" s="153"/>
      <c r="E3" s="153"/>
      <c r="F3" s="153"/>
      <c r="G3" s="153"/>
      <c r="H3" s="153" t="str">
        <f ca="1">LEFT($X$3,FIND("_",$X$3)-1)</f>
        <v>SS0300</v>
      </c>
      <c r="I3" s="153"/>
      <c r="J3" s="153"/>
      <c r="K3" s="153"/>
      <c r="L3" s="153" t="s">
        <v>301</v>
      </c>
      <c r="M3" s="153"/>
      <c r="N3" s="153"/>
      <c r="O3" s="153"/>
      <c r="P3" s="153"/>
      <c r="Q3" s="153"/>
      <c r="R3" s="156" t="str">
        <f ca="1">MID($X$3,FIND("_",$X$3,FIND("_",$X$3)+1)+1,LEN($X$3)-FIND("_",$X$3,FIND("_",$X$3)+1))</f>
        <v>帳票設計書</v>
      </c>
      <c r="S3" s="153"/>
      <c r="T3" s="153"/>
      <c r="U3" s="153"/>
      <c r="V3" s="153"/>
      <c r="W3" s="153"/>
      <c r="X3" s="157" t="str">
        <f ca="1">REPLACE(LEFT(CELL("filename",$B$2),FIND(".x",CELL("filename",$B$2))-1),1,FIND("[",CELL("filename",$B$2)),)</f>
        <v>SS0300_仕入日計表_帳票設計書</v>
      </c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54"/>
      <c r="AK3" s="157" t="str">
        <f ca="1">MID($X$3,FIND("_",$X$3)+1,FIND("_",$X$3,FIND("_",$X$3)+1)-FIND("_",$X$3)-1)</f>
        <v>仕入日計表</v>
      </c>
      <c r="AL3" s="158"/>
      <c r="AM3" s="158"/>
      <c r="AN3" s="158"/>
      <c r="AO3" s="158"/>
      <c r="AP3" s="158"/>
      <c r="AQ3" s="158"/>
      <c r="AR3" s="158"/>
      <c r="AS3" s="158"/>
      <c r="AT3" s="158"/>
      <c r="AU3" s="158"/>
      <c r="AV3" s="158"/>
      <c r="AW3" s="154"/>
      <c r="AX3" s="164">
        <v>45583</v>
      </c>
      <c r="AY3" s="153"/>
      <c r="AZ3" s="153"/>
      <c r="BA3" s="153"/>
      <c r="BB3" s="153" t="s">
        <v>302</v>
      </c>
      <c r="BC3" s="153"/>
      <c r="BD3" s="153"/>
      <c r="BE3" s="153"/>
      <c r="BF3" s="164">
        <v>45583</v>
      </c>
      <c r="BG3" s="153"/>
      <c r="BH3" s="153"/>
      <c r="BI3" s="153"/>
      <c r="BJ3" s="153" t="s">
        <v>302</v>
      </c>
      <c r="BK3" s="153"/>
      <c r="BL3" s="153"/>
      <c r="BM3" s="165"/>
      <c r="BN3" s="14"/>
    </row>
    <row r="4" spans="1:66" ht="20.100000000000001" customHeight="1" thickBot="1" x14ac:dyDescent="0.5">
      <c r="A4" s="8"/>
      <c r="B4" s="154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9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1"/>
      <c r="AK4" s="159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1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BM4" s="157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63" t="s">
        <v>8</v>
      </c>
      <c r="D8" s="163"/>
      <c r="E8" s="163"/>
      <c r="F8" s="163"/>
      <c r="G8" s="163" t="s">
        <v>9</v>
      </c>
      <c r="H8" s="163"/>
      <c r="I8" s="163"/>
      <c r="J8" s="163"/>
      <c r="K8" s="163" t="s">
        <v>10</v>
      </c>
      <c r="L8" s="163"/>
      <c r="M8" s="163"/>
      <c r="N8" s="163"/>
      <c r="O8" s="163" t="s">
        <v>11</v>
      </c>
      <c r="P8" s="163"/>
      <c r="Q8" s="163"/>
      <c r="R8" s="163"/>
      <c r="S8" s="163"/>
      <c r="T8" s="163"/>
      <c r="U8" s="163"/>
      <c r="V8" s="163"/>
      <c r="W8" s="163"/>
      <c r="X8" s="163"/>
      <c r="Y8" s="163" t="s">
        <v>12</v>
      </c>
      <c r="Z8" s="163"/>
      <c r="AA8" s="163"/>
      <c r="AB8" s="163"/>
      <c r="AC8" s="163"/>
      <c r="AD8" s="163"/>
      <c r="AE8" s="163"/>
      <c r="AF8" s="163"/>
      <c r="AG8" s="163"/>
      <c r="AH8" s="163"/>
      <c r="AI8" s="163"/>
      <c r="AJ8" s="163"/>
      <c r="AK8" s="163"/>
      <c r="AL8" s="163"/>
      <c r="AM8" s="163"/>
      <c r="AN8" s="163"/>
      <c r="AO8" s="163"/>
      <c r="AP8" s="163"/>
      <c r="AQ8" s="163"/>
      <c r="AR8" s="163"/>
      <c r="AS8" s="163"/>
      <c r="AT8" s="163"/>
      <c r="AU8" s="163"/>
      <c r="AV8" s="163"/>
      <c r="AW8" s="163"/>
      <c r="AX8" s="163"/>
      <c r="AY8" s="163"/>
      <c r="AZ8" s="163"/>
      <c r="BA8" s="163"/>
      <c r="BB8" s="163"/>
      <c r="BC8" s="163"/>
      <c r="BD8" s="163"/>
      <c r="BE8" s="163"/>
      <c r="BF8" s="163"/>
      <c r="BG8" s="163"/>
      <c r="BH8" s="163"/>
      <c r="BI8" s="163"/>
      <c r="BJ8" s="163"/>
      <c r="BK8" s="163"/>
      <c r="BL8" s="163"/>
      <c r="BM8" s="7"/>
      <c r="BN8" s="14"/>
    </row>
    <row r="9" spans="1:66" ht="20.100000000000001" customHeight="1" x14ac:dyDescent="0.45">
      <c r="A9" s="8"/>
      <c r="B9" s="7"/>
      <c r="C9" s="166">
        <v>45583</v>
      </c>
      <c r="D9" s="167"/>
      <c r="E9" s="167"/>
      <c r="F9" s="168"/>
      <c r="G9" s="169" t="s">
        <v>16</v>
      </c>
      <c r="H9" s="170"/>
      <c r="I9" s="170"/>
      <c r="J9" s="171"/>
      <c r="K9" s="172" t="s">
        <v>302</v>
      </c>
      <c r="L9" s="167"/>
      <c r="M9" s="167"/>
      <c r="N9" s="168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66"/>
      <c r="D10" s="167"/>
      <c r="E10" s="167"/>
      <c r="F10" s="168"/>
      <c r="G10" s="169"/>
      <c r="H10" s="170"/>
      <c r="I10" s="170"/>
      <c r="J10" s="171"/>
      <c r="K10" s="172"/>
      <c r="L10" s="167"/>
      <c r="M10" s="167"/>
      <c r="N10" s="168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66"/>
      <c r="D11" s="167"/>
      <c r="E11" s="167"/>
      <c r="F11" s="168"/>
      <c r="G11" s="169"/>
      <c r="H11" s="170"/>
      <c r="I11" s="170"/>
      <c r="J11" s="171"/>
      <c r="K11" s="172"/>
      <c r="L11" s="167"/>
      <c r="M11" s="167"/>
      <c r="N11" s="168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66"/>
      <c r="D36" s="167"/>
      <c r="E36" s="167"/>
      <c r="F36" s="168"/>
      <c r="G36" s="169"/>
      <c r="H36" s="170"/>
      <c r="I36" s="170"/>
      <c r="J36" s="171"/>
      <c r="K36" s="172"/>
      <c r="L36" s="167"/>
      <c r="M36" s="167"/>
      <c r="N36" s="168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66"/>
      <c r="D37" s="167"/>
      <c r="E37" s="167"/>
      <c r="F37" s="168"/>
      <c r="G37" s="169"/>
      <c r="H37" s="170"/>
      <c r="I37" s="170"/>
      <c r="J37" s="171"/>
      <c r="K37" s="172"/>
      <c r="L37" s="167"/>
      <c r="M37" s="167"/>
      <c r="N37" s="168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66"/>
      <c r="D38" s="167"/>
      <c r="E38" s="167"/>
      <c r="F38" s="168"/>
      <c r="G38" s="169"/>
      <c r="H38" s="170"/>
      <c r="I38" s="170"/>
      <c r="J38" s="171"/>
      <c r="K38" s="172"/>
      <c r="L38" s="167"/>
      <c r="M38" s="167"/>
      <c r="N38" s="168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66"/>
      <c r="D39" s="167"/>
      <c r="E39" s="167"/>
      <c r="F39" s="168"/>
      <c r="G39" s="169"/>
      <c r="H39" s="170"/>
      <c r="I39" s="170"/>
      <c r="J39" s="171"/>
      <c r="K39" s="172"/>
      <c r="L39" s="167"/>
      <c r="M39" s="167"/>
      <c r="N39" s="168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66"/>
      <c r="D40" s="167"/>
      <c r="E40" s="167"/>
      <c r="F40" s="168"/>
      <c r="G40" s="169"/>
      <c r="H40" s="170"/>
      <c r="I40" s="170"/>
      <c r="J40" s="171"/>
      <c r="K40" s="172"/>
      <c r="L40" s="167"/>
      <c r="M40" s="167"/>
      <c r="N40" s="168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66"/>
      <c r="D41" s="167"/>
      <c r="E41" s="167"/>
      <c r="F41" s="168"/>
      <c r="G41" s="169"/>
      <c r="H41" s="170"/>
      <c r="I41" s="170"/>
      <c r="J41" s="171"/>
      <c r="K41" s="172"/>
      <c r="L41" s="167"/>
      <c r="M41" s="167"/>
      <c r="N41" s="168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66"/>
      <c r="D42" s="167"/>
      <c r="E42" s="167"/>
      <c r="F42" s="168"/>
      <c r="G42" s="169"/>
      <c r="H42" s="170"/>
      <c r="I42" s="170"/>
      <c r="J42" s="171"/>
      <c r="K42" s="172"/>
      <c r="L42" s="167"/>
      <c r="M42" s="167"/>
      <c r="N42" s="168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66"/>
      <c r="D43" s="167"/>
      <c r="E43" s="167"/>
      <c r="F43" s="168"/>
      <c r="G43" s="169"/>
      <c r="H43" s="170"/>
      <c r="I43" s="170"/>
      <c r="J43" s="171"/>
      <c r="K43" s="172"/>
      <c r="L43" s="167"/>
      <c r="M43" s="167"/>
      <c r="N43" s="168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66"/>
      <c r="D44" s="167"/>
      <c r="E44" s="167"/>
      <c r="F44" s="168"/>
      <c r="G44" s="169"/>
      <c r="H44" s="170"/>
      <c r="I44" s="170"/>
      <c r="J44" s="171"/>
      <c r="K44" s="172"/>
      <c r="L44" s="167"/>
      <c r="M44" s="167"/>
      <c r="N44" s="168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66"/>
      <c r="D45" s="167"/>
      <c r="E45" s="167"/>
      <c r="F45" s="168"/>
      <c r="G45" s="169"/>
      <c r="H45" s="170"/>
      <c r="I45" s="170"/>
      <c r="J45" s="171"/>
      <c r="K45" s="172"/>
      <c r="L45" s="167"/>
      <c r="M45" s="167"/>
      <c r="N45" s="168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66"/>
      <c r="D46" s="167"/>
      <c r="E46" s="167"/>
      <c r="F46" s="168"/>
      <c r="G46" s="169"/>
      <c r="H46" s="170"/>
      <c r="I46" s="170"/>
      <c r="J46" s="171"/>
      <c r="K46" s="172"/>
      <c r="L46" s="167"/>
      <c r="M46" s="167"/>
      <c r="N46" s="168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66"/>
      <c r="D47" s="167"/>
      <c r="E47" s="167"/>
      <c r="F47" s="168"/>
      <c r="G47" s="169"/>
      <c r="H47" s="170"/>
      <c r="I47" s="170"/>
      <c r="J47" s="171"/>
      <c r="K47" s="172"/>
      <c r="L47" s="167"/>
      <c r="M47" s="167"/>
      <c r="N47" s="168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47" t="s">
        <v>0</v>
      </c>
      <c r="C2" s="148"/>
      <c r="D2" s="148"/>
      <c r="E2" s="148"/>
      <c r="F2" s="148"/>
      <c r="G2" s="148"/>
      <c r="H2" s="148" t="s">
        <v>17</v>
      </c>
      <c r="I2" s="148"/>
      <c r="J2" s="148"/>
      <c r="K2" s="148"/>
      <c r="L2" s="148" t="s">
        <v>303</v>
      </c>
      <c r="M2" s="148"/>
      <c r="N2" s="148"/>
      <c r="O2" s="148"/>
      <c r="P2" s="148"/>
      <c r="Q2" s="148"/>
      <c r="R2" s="148" t="s">
        <v>2</v>
      </c>
      <c r="S2" s="148"/>
      <c r="T2" s="148"/>
      <c r="U2" s="148"/>
      <c r="V2" s="148"/>
      <c r="W2" s="148"/>
      <c r="X2" s="149" t="s">
        <v>3</v>
      </c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1"/>
      <c r="AK2" s="149" t="s">
        <v>32</v>
      </c>
      <c r="AL2" s="150"/>
      <c r="AM2" s="150"/>
      <c r="AN2" s="150"/>
      <c r="AO2" s="150"/>
      <c r="AP2" s="150"/>
      <c r="AQ2" s="150"/>
      <c r="AR2" s="150"/>
      <c r="AS2" s="150"/>
      <c r="AT2" s="150"/>
      <c r="AU2" s="150"/>
      <c r="AV2" s="150"/>
      <c r="AW2" s="151"/>
      <c r="AX2" s="148" t="s">
        <v>5</v>
      </c>
      <c r="AY2" s="148"/>
      <c r="AZ2" s="148"/>
      <c r="BA2" s="148"/>
      <c r="BB2" s="148" t="s">
        <v>4</v>
      </c>
      <c r="BC2" s="148"/>
      <c r="BD2" s="148"/>
      <c r="BE2" s="148"/>
      <c r="BF2" s="148" t="s">
        <v>6</v>
      </c>
      <c r="BG2" s="148"/>
      <c r="BH2" s="148"/>
      <c r="BI2" s="148"/>
      <c r="BJ2" s="148" t="s">
        <v>7</v>
      </c>
      <c r="BK2" s="148"/>
      <c r="BL2" s="148"/>
      <c r="BM2" s="162"/>
      <c r="BN2" s="35"/>
    </row>
    <row r="3" spans="1:66" ht="20.100000000000001" customHeight="1" x14ac:dyDescent="0.45">
      <c r="A3" s="32"/>
      <c r="B3" s="152" t="str">
        <f>変更履歴!B3</f>
        <v>受発注システム</v>
      </c>
      <c r="C3" s="153"/>
      <c r="D3" s="153"/>
      <c r="E3" s="153"/>
      <c r="F3" s="153"/>
      <c r="G3" s="153"/>
      <c r="H3" s="153" t="str">
        <f ca="1">変更履歴!H3</f>
        <v>SS0300</v>
      </c>
      <c r="I3" s="153"/>
      <c r="J3" s="153"/>
      <c r="K3" s="153"/>
      <c r="L3" s="153" t="str">
        <f>変更履歴!L3</f>
        <v>受発注</v>
      </c>
      <c r="M3" s="153"/>
      <c r="N3" s="153"/>
      <c r="O3" s="153"/>
      <c r="P3" s="153"/>
      <c r="Q3" s="153"/>
      <c r="R3" s="153" t="str">
        <f ca="1">変更履歴!R3</f>
        <v>帳票設計書</v>
      </c>
      <c r="S3" s="153"/>
      <c r="T3" s="153"/>
      <c r="U3" s="153"/>
      <c r="V3" s="153"/>
      <c r="W3" s="153"/>
      <c r="X3" s="157" t="str">
        <f ca="1">変更履歴!X3</f>
        <v>SS0300_仕入日計表_帳票設計書</v>
      </c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54"/>
      <c r="AK3" s="157" t="str">
        <f ca="1">変更履歴!AK3</f>
        <v>仕入日計表</v>
      </c>
      <c r="AL3" s="158"/>
      <c r="AM3" s="158"/>
      <c r="AN3" s="158"/>
      <c r="AO3" s="158"/>
      <c r="AP3" s="158"/>
      <c r="AQ3" s="158"/>
      <c r="AR3" s="158"/>
      <c r="AS3" s="158"/>
      <c r="AT3" s="158"/>
      <c r="AU3" s="158"/>
      <c r="AV3" s="158"/>
      <c r="AW3" s="154"/>
      <c r="AX3" s="164">
        <f>変更履歴!AX3</f>
        <v>45583</v>
      </c>
      <c r="AY3" s="164"/>
      <c r="AZ3" s="164"/>
      <c r="BA3" s="164"/>
      <c r="BB3" s="153" t="str">
        <f>変更履歴!BB3</f>
        <v>大谷</v>
      </c>
      <c r="BC3" s="153"/>
      <c r="BD3" s="153"/>
      <c r="BE3" s="153"/>
      <c r="BF3" s="164">
        <f>変更履歴!BF3</f>
        <v>45583</v>
      </c>
      <c r="BG3" s="164"/>
      <c r="BH3" s="164"/>
      <c r="BI3" s="164"/>
      <c r="BJ3" s="153" t="str">
        <f>変更履歴!BJ3</f>
        <v>大谷</v>
      </c>
      <c r="BK3" s="153"/>
      <c r="BL3" s="153"/>
      <c r="BM3" s="165"/>
      <c r="BN3" s="35"/>
    </row>
    <row r="4" spans="1:66" ht="20.100000000000001" customHeight="1" thickBot="1" x14ac:dyDescent="0.5">
      <c r="A4" s="32"/>
      <c r="B4" s="154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9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1"/>
      <c r="AK4" s="159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1"/>
      <c r="AX4" s="173"/>
      <c r="AY4" s="173"/>
      <c r="AZ4" s="173"/>
      <c r="BA4" s="173"/>
      <c r="BB4" s="155"/>
      <c r="BC4" s="155"/>
      <c r="BD4" s="155"/>
      <c r="BE4" s="155"/>
      <c r="BF4" s="173"/>
      <c r="BG4" s="173"/>
      <c r="BH4" s="173"/>
      <c r="BI4" s="173"/>
      <c r="BJ4" s="155"/>
      <c r="BK4" s="155"/>
      <c r="BL4" s="155"/>
      <c r="BM4" s="157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仕入日計表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128" t="s">
        <v>90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128" t="s">
        <v>91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128" t="s">
        <v>92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129" t="s">
        <v>90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129" t="s">
        <v>90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129" t="s">
        <v>90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128" t="s">
        <v>90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299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70" zoomScaleNormal="100" zoomScaleSheetLayoutView="7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47" t="s">
        <v>0</v>
      </c>
      <c r="C2" s="148"/>
      <c r="D2" s="148"/>
      <c r="E2" s="148"/>
      <c r="F2" s="148"/>
      <c r="G2" s="148"/>
      <c r="H2" s="148" t="s">
        <v>17</v>
      </c>
      <c r="I2" s="148"/>
      <c r="J2" s="148"/>
      <c r="K2" s="148"/>
      <c r="L2" s="148" t="s">
        <v>303</v>
      </c>
      <c r="M2" s="148"/>
      <c r="N2" s="148"/>
      <c r="O2" s="148"/>
      <c r="P2" s="148"/>
      <c r="Q2" s="148"/>
      <c r="R2" s="148" t="s">
        <v>2</v>
      </c>
      <c r="S2" s="148"/>
      <c r="T2" s="148"/>
      <c r="U2" s="148"/>
      <c r="V2" s="148"/>
      <c r="W2" s="148"/>
      <c r="X2" s="149" t="s">
        <v>3</v>
      </c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1"/>
      <c r="AK2" s="149" t="s">
        <v>32</v>
      </c>
      <c r="AL2" s="150"/>
      <c r="AM2" s="150"/>
      <c r="AN2" s="150"/>
      <c r="AO2" s="150"/>
      <c r="AP2" s="150"/>
      <c r="AQ2" s="150"/>
      <c r="AR2" s="150"/>
      <c r="AS2" s="150"/>
      <c r="AT2" s="150"/>
      <c r="AU2" s="150"/>
      <c r="AV2" s="150"/>
      <c r="AW2" s="151"/>
      <c r="AX2" s="148" t="s">
        <v>5</v>
      </c>
      <c r="AY2" s="148"/>
      <c r="AZ2" s="148"/>
      <c r="BA2" s="148"/>
      <c r="BB2" s="148" t="s">
        <v>4</v>
      </c>
      <c r="BC2" s="148"/>
      <c r="BD2" s="148"/>
      <c r="BE2" s="148"/>
      <c r="BF2" s="148" t="s">
        <v>6</v>
      </c>
      <c r="BG2" s="148"/>
      <c r="BH2" s="148"/>
      <c r="BI2" s="148"/>
      <c r="BJ2" s="148" t="s">
        <v>7</v>
      </c>
      <c r="BK2" s="148"/>
      <c r="BL2" s="148"/>
      <c r="BM2" s="162"/>
      <c r="BN2" s="15"/>
    </row>
    <row r="3" spans="1:66" ht="20.100000000000001" customHeight="1" x14ac:dyDescent="0.45">
      <c r="A3" s="9"/>
      <c r="B3" s="152" t="str">
        <f>変更履歴!B3</f>
        <v>受発注システム</v>
      </c>
      <c r="C3" s="153"/>
      <c r="D3" s="153"/>
      <c r="E3" s="153"/>
      <c r="F3" s="153"/>
      <c r="G3" s="153"/>
      <c r="H3" s="153" t="str">
        <f ca="1">変更履歴!H3</f>
        <v>SS0300</v>
      </c>
      <c r="I3" s="153"/>
      <c r="J3" s="153"/>
      <c r="K3" s="153"/>
      <c r="L3" s="153" t="str">
        <f>変更履歴!L3</f>
        <v>受発注</v>
      </c>
      <c r="M3" s="153"/>
      <c r="N3" s="153"/>
      <c r="O3" s="153"/>
      <c r="P3" s="153"/>
      <c r="Q3" s="153"/>
      <c r="R3" s="153" t="str">
        <f ca="1">変更履歴!R3</f>
        <v>帳票設計書</v>
      </c>
      <c r="S3" s="153"/>
      <c r="T3" s="153"/>
      <c r="U3" s="153"/>
      <c r="V3" s="153"/>
      <c r="W3" s="153"/>
      <c r="X3" s="157" t="str">
        <f ca="1">変更履歴!X3</f>
        <v>SS0300_仕入日計表_帳票設計書</v>
      </c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54"/>
      <c r="AK3" s="157" t="str">
        <f ca="1">変更履歴!AK3</f>
        <v>仕入日計表</v>
      </c>
      <c r="AL3" s="158"/>
      <c r="AM3" s="158"/>
      <c r="AN3" s="158"/>
      <c r="AO3" s="158"/>
      <c r="AP3" s="158"/>
      <c r="AQ3" s="158"/>
      <c r="AR3" s="158"/>
      <c r="AS3" s="158"/>
      <c r="AT3" s="158"/>
      <c r="AU3" s="158"/>
      <c r="AV3" s="158"/>
      <c r="AW3" s="154"/>
      <c r="AX3" s="164">
        <f>変更履歴!AX3</f>
        <v>45583</v>
      </c>
      <c r="AY3" s="164"/>
      <c r="AZ3" s="164"/>
      <c r="BA3" s="164"/>
      <c r="BB3" s="153" t="str">
        <f>変更履歴!BB3</f>
        <v>大谷</v>
      </c>
      <c r="BC3" s="153"/>
      <c r="BD3" s="153"/>
      <c r="BE3" s="153"/>
      <c r="BF3" s="164">
        <f>変更履歴!BF3</f>
        <v>45583</v>
      </c>
      <c r="BG3" s="164"/>
      <c r="BH3" s="164"/>
      <c r="BI3" s="164"/>
      <c r="BJ3" s="153" t="str">
        <f>変更履歴!BJ3</f>
        <v>大谷</v>
      </c>
      <c r="BK3" s="153"/>
      <c r="BL3" s="153"/>
      <c r="BM3" s="165"/>
      <c r="BN3" s="15"/>
    </row>
    <row r="4" spans="1:66" ht="20.100000000000001" customHeight="1" thickBot="1" x14ac:dyDescent="0.5">
      <c r="A4" s="9"/>
      <c r="B4" s="154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9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1"/>
      <c r="AK4" s="159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1"/>
      <c r="AX4" s="173"/>
      <c r="AY4" s="173"/>
      <c r="AZ4" s="173"/>
      <c r="BA4" s="173"/>
      <c r="BB4" s="155"/>
      <c r="BC4" s="155"/>
      <c r="BD4" s="155"/>
      <c r="BE4" s="155"/>
      <c r="BF4" s="173"/>
      <c r="BG4" s="173"/>
      <c r="BH4" s="173"/>
      <c r="BI4" s="173"/>
      <c r="BJ4" s="155"/>
      <c r="BK4" s="155"/>
      <c r="BL4" s="155"/>
      <c r="BM4" s="157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J3:BM4"/>
    <mergeCell ref="BF3:BI4"/>
    <mergeCell ref="BB3:BE4"/>
    <mergeCell ref="AX3:BA4"/>
    <mergeCell ref="R3:W4"/>
    <mergeCell ref="X3:AJ4"/>
    <mergeCell ref="AK3:AW4"/>
    <mergeCell ref="B2:G2"/>
    <mergeCell ref="B3:G4"/>
    <mergeCell ref="H2:K2"/>
    <mergeCell ref="L2:Q2"/>
    <mergeCell ref="R2:W2"/>
    <mergeCell ref="L3:Q4"/>
    <mergeCell ref="H3:K4"/>
    <mergeCell ref="BB2:BE2"/>
    <mergeCell ref="BF2:BI2"/>
    <mergeCell ref="BJ2:BM2"/>
    <mergeCell ref="AX2:BA2"/>
    <mergeCell ref="X2:AJ2"/>
    <mergeCell ref="AK2:AW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61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47" t="s">
        <v>0</v>
      </c>
      <c r="C2" s="148"/>
      <c r="D2" s="148"/>
      <c r="E2" s="148"/>
      <c r="F2" s="148"/>
      <c r="G2" s="148"/>
      <c r="H2" s="148" t="s">
        <v>17</v>
      </c>
      <c r="I2" s="148"/>
      <c r="J2" s="148"/>
      <c r="K2" s="148"/>
      <c r="L2" s="148" t="s">
        <v>303</v>
      </c>
      <c r="M2" s="148"/>
      <c r="N2" s="148"/>
      <c r="O2" s="148"/>
      <c r="P2" s="148"/>
      <c r="Q2" s="148"/>
      <c r="R2" s="148" t="s">
        <v>2</v>
      </c>
      <c r="S2" s="148"/>
      <c r="T2" s="148"/>
      <c r="U2" s="148"/>
      <c r="V2" s="148"/>
      <c r="W2" s="148"/>
      <c r="X2" s="149" t="s">
        <v>3</v>
      </c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1"/>
      <c r="AK2" s="149" t="s">
        <v>32</v>
      </c>
      <c r="AL2" s="150"/>
      <c r="AM2" s="150"/>
      <c r="AN2" s="150"/>
      <c r="AO2" s="150"/>
      <c r="AP2" s="150"/>
      <c r="AQ2" s="150"/>
      <c r="AR2" s="150"/>
      <c r="AS2" s="150"/>
      <c r="AT2" s="150"/>
      <c r="AU2" s="150"/>
      <c r="AV2" s="150"/>
      <c r="AW2" s="151"/>
      <c r="AX2" s="148" t="s">
        <v>5</v>
      </c>
      <c r="AY2" s="148"/>
      <c r="AZ2" s="148"/>
      <c r="BA2" s="148"/>
      <c r="BB2" s="148" t="s">
        <v>4</v>
      </c>
      <c r="BC2" s="148"/>
      <c r="BD2" s="148"/>
      <c r="BE2" s="148"/>
      <c r="BF2" s="148" t="s">
        <v>6</v>
      </c>
      <c r="BG2" s="148"/>
      <c r="BH2" s="148"/>
      <c r="BI2" s="148"/>
      <c r="BJ2" s="148" t="s">
        <v>7</v>
      </c>
      <c r="BK2" s="148"/>
      <c r="BL2" s="148"/>
      <c r="BM2" s="162"/>
      <c r="BN2" s="15"/>
    </row>
    <row r="3" spans="1:85" ht="20.100000000000001" customHeight="1" x14ac:dyDescent="0.45">
      <c r="A3" s="9"/>
      <c r="B3" s="152" t="str">
        <f>変更履歴!B3</f>
        <v>受発注システム</v>
      </c>
      <c r="C3" s="153"/>
      <c r="D3" s="153"/>
      <c r="E3" s="153"/>
      <c r="F3" s="153"/>
      <c r="G3" s="153"/>
      <c r="H3" s="153" t="str">
        <f ca="1">変更履歴!H3</f>
        <v>SS0300</v>
      </c>
      <c r="I3" s="153"/>
      <c r="J3" s="153"/>
      <c r="K3" s="153"/>
      <c r="L3" s="153" t="str">
        <f>変更履歴!L3</f>
        <v>受発注</v>
      </c>
      <c r="M3" s="153"/>
      <c r="N3" s="153"/>
      <c r="O3" s="153"/>
      <c r="P3" s="153"/>
      <c r="Q3" s="153"/>
      <c r="R3" s="153" t="str">
        <f ca="1">変更履歴!R3</f>
        <v>帳票設計書</v>
      </c>
      <c r="S3" s="153"/>
      <c r="T3" s="153"/>
      <c r="U3" s="153"/>
      <c r="V3" s="153"/>
      <c r="W3" s="153"/>
      <c r="X3" s="157" t="str">
        <f ca="1">変更履歴!X3</f>
        <v>SS0300_仕入日計表_帳票設計書</v>
      </c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54"/>
      <c r="AK3" s="157" t="str">
        <f ca="1">変更履歴!AK3</f>
        <v>仕入日計表</v>
      </c>
      <c r="AL3" s="158"/>
      <c r="AM3" s="158"/>
      <c r="AN3" s="158"/>
      <c r="AO3" s="158"/>
      <c r="AP3" s="158"/>
      <c r="AQ3" s="158"/>
      <c r="AR3" s="158"/>
      <c r="AS3" s="158"/>
      <c r="AT3" s="158"/>
      <c r="AU3" s="158"/>
      <c r="AV3" s="158"/>
      <c r="AW3" s="154"/>
      <c r="AX3" s="164">
        <f>変更履歴!AX3</f>
        <v>45583</v>
      </c>
      <c r="AY3" s="164"/>
      <c r="AZ3" s="164"/>
      <c r="BA3" s="164"/>
      <c r="BB3" s="153" t="str">
        <f>変更履歴!BB3</f>
        <v>大谷</v>
      </c>
      <c r="BC3" s="153"/>
      <c r="BD3" s="153"/>
      <c r="BE3" s="153"/>
      <c r="BF3" s="164">
        <f>変更履歴!BF3</f>
        <v>45583</v>
      </c>
      <c r="BG3" s="164"/>
      <c r="BH3" s="164"/>
      <c r="BI3" s="164"/>
      <c r="BJ3" s="153" t="str">
        <f>変更履歴!BJ3</f>
        <v>大谷</v>
      </c>
      <c r="BK3" s="153"/>
      <c r="BL3" s="153"/>
      <c r="BM3" s="165"/>
      <c r="BN3" s="15"/>
    </row>
    <row r="4" spans="1:85" ht="20.100000000000001" customHeight="1" thickBot="1" x14ac:dyDescent="0.5">
      <c r="A4" s="9"/>
      <c r="B4" s="154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9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0"/>
      <c r="AJ4" s="161"/>
      <c r="AK4" s="159"/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1"/>
      <c r="AX4" s="173"/>
      <c r="AY4" s="173"/>
      <c r="AZ4" s="173"/>
      <c r="BA4" s="173"/>
      <c r="BB4" s="155"/>
      <c r="BC4" s="155"/>
      <c r="BD4" s="155"/>
      <c r="BE4" s="155"/>
      <c r="BF4" s="173"/>
      <c r="BG4" s="173"/>
      <c r="BH4" s="173"/>
      <c r="BI4" s="173"/>
      <c r="BJ4" s="155"/>
      <c r="BK4" s="155"/>
      <c r="BL4" s="155"/>
      <c r="BM4" s="157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190" t="s">
        <v>20</v>
      </c>
      <c r="F10" s="191"/>
      <c r="G10" s="191"/>
      <c r="H10" s="191"/>
      <c r="I10" s="191"/>
      <c r="J10" s="191"/>
      <c r="K10" s="191"/>
      <c r="L10" s="192"/>
      <c r="M10" s="178" t="s">
        <v>24</v>
      </c>
      <c r="N10" s="179"/>
      <c r="O10" s="179"/>
      <c r="P10" s="178" t="s">
        <v>33</v>
      </c>
      <c r="Q10" s="179"/>
      <c r="R10" s="179"/>
      <c r="S10" s="178" t="s">
        <v>34</v>
      </c>
      <c r="T10" s="179"/>
      <c r="U10" s="179"/>
      <c r="V10" s="178" t="s">
        <v>36</v>
      </c>
      <c r="W10" s="179"/>
      <c r="X10" s="179"/>
      <c r="Y10" s="179"/>
      <c r="Z10" s="179"/>
      <c r="AA10" s="180"/>
      <c r="AB10" s="178" t="s">
        <v>35</v>
      </c>
      <c r="AC10" s="179"/>
      <c r="AD10" s="179"/>
      <c r="AE10" s="179"/>
      <c r="AF10" s="179"/>
      <c r="AG10" s="179"/>
      <c r="AH10" s="179"/>
      <c r="AI10" s="179"/>
      <c r="AJ10" s="179"/>
      <c r="AK10" s="179"/>
      <c r="AL10" s="179"/>
      <c r="AM10" s="179"/>
      <c r="AN10" s="179"/>
      <c r="AO10" s="179"/>
      <c r="AP10" s="179"/>
      <c r="AQ10" s="180"/>
      <c r="AR10" s="178" t="s">
        <v>42</v>
      </c>
      <c r="AS10" s="179"/>
      <c r="AT10" s="179"/>
      <c r="AU10" s="179"/>
      <c r="AV10" s="179"/>
      <c r="AW10" s="180"/>
      <c r="AX10" s="178" t="s">
        <v>283</v>
      </c>
      <c r="AY10" s="180"/>
      <c r="AZ10" s="178" t="s">
        <v>284</v>
      </c>
      <c r="BA10" s="180"/>
      <c r="BB10" s="178" t="s">
        <v>43</v>
      </c>
      <c r="BC10" s="179"/>
      <c r="BD10" s="179"/>
      <c r="BE10" s="179"/>
      <c r="BF10" s="179"/>
      <c r="BG10" s="179"/>
      <c r="BH10" s="179"/>
      <c r="BI10" s="179"/>
      <c r="BJ10" s="179"/>
      <c r="BK10" s="179"/>
      <c r="BL10" s="179"/>
      <c r="BM10" s="179"/>
      <c r="BN10" s="179"/>
      <c r="BO10" s="179"/>
      <c r="BP10" s="179"/>
      <c r="BQ10" s="179"/>
      <c r="BR10" s="179"/>
      <c r="BS10" s="179"/>
      <c r="BT10" s="203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187" t="s">
        <v>93</v>
      </c>
      <c r="F11" s="188"/>
      <c r="G11" s="188"/>
      <c r="H11" s="188"/>
      <c r="I11" s="188"/>
      <c r="J11" s="188"/>
      <c r="K11" s="188"/>
      <c r="L11" s="189"/>
      <c r="M11" s="172" t="s">
        <v>8</v>
      </c>
      <c r="N11" s="167"/>
      <c r="O11" s="167"/>
      <c r="P11" s="172" t="s">
        <v>96</v>
      </c>
      <c r="Q11" s="167"/>
      <c r="R11" s="167"/>
      <c r="S11" s="172"/>
      <c r="T11" s="167"/>
      <c r="U11" s="167"/>
      <c r="V11" s="181" t="s">
        <v>94</v>
      </c>
      <c r="W11" s="182"/>
      <c r="X11" s="182"/>
      <c r="Y11" s="182"/>
      <c r="Z11" s="182"/>
      <c r="AA11" s="183"/>
      <c r="AB11" s="175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/>
      <c r="AQ11" s="177"/>
      <c r="AR11" s="172" t="s">
        <v>95</v>
      </c>
      <c r="AS11" s="167"/>
      <c r="AT11" s="167"/>
      <c r="AU11" s="167"/>
      <c r="AV11" s="167"/>
      <c r="AW11" s="168"/>
      <c r="AX11" s="172"/>
      <c r="AY11" s="168"/>
      <c r="AZ11" s="172"/>
      <c r="BA11" s="168"/>
      <c r="BB11" s="181"/>
      <c r="BC11" s="182"/>
      <c r="BD11" s="182"/>
      <c r="BE11" s="182"/>
      <c r="BF11" s="182"/>
      <c r="BG11" s="182"/>
      <c r="BH11" s="182"/>
      <c r="BI11" s="182"/>
      <c r="BJ11" s="182"/>
      <c r="BK11" s="182"/>
      <c r="BL11" s="182"/>
      <c r="BM11" s="182"/>
      <c r="BN11" s="182"/>
      <c r="BO11" s="182"/>
      <c r="BP11" s="182"/>
      <c r="BQ11" s="182"/>
      <c r="BR11" s="182"/>
      <c r="BS11" s="182"/>
      <c r="BT11" s="202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187" t="s">
        <v>288</v>
      </c>
      <c r="F12" s="188"/>
      <c r="G12" s="188"/>
      <c r="H12" s="188"/>
      <c r="I12" s="188"/>
      <c r="J12" s="188"/>
      <c r="K12" s="188"/>
      <c r="L12" s="189"/>
      <c r="M12" s="172" t="s">
        <v>38</v>
      </c>
      <c r="N12" s="167"/>
      <c r="O12" s="167"/>
      <c r="P12" s="172" t="s">
        <v>97</v>
      </c>
      <c r="Q12" s="167"/>
      <c r="R12" s="167"/>
      <c r="S12" s="172"/>
      <c r="T12" s="167"/>
      <c r="U12" s="167"/>
      <c r="V12" s="184" t="s">
        <v>289</v>
      </c>
      <c r="W12" s="185"/>
      <c r="X12" s="185"/>
      <c r="Y12" s="185"/>
      <c r="Z12" s="185"/>
      <c r="AA12" s="186"/>
      <c r="AB12" s="175" t="s">
        <v>265</v>
      </c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76"/>
      <c r="AQ12" s="177"/>
      <c r="AR12" s="172"/>
      <c r="AS12" s="167"/>
      <c r="AT12" s="167"/>
      <c r="AU12" s="167"/>
      <c r="AV12" s="167"/>
      <c r="AW12" s="168"/>
      <c r="AX12" s="172"/>
      <c r="AY12" s="168"/>
      <c r="AZ12" s="172"/>
      <c r="BA12" s="168"/>
      <c r="BB12" s="181"/>
      <c r="BC12" s="182"/>
      <c r="BD12" s="182"/>
      <c r="BE12" s="182"/>
      <c r="BF12" s="182"/>
      <c r="BG12" s="182"/>
      <c r="BH12" s="182"/>
      <c r="BI12" s="182"/>
      <c r="BJ12" s="182"/>
      <c r="BK12" s="182"/>
      <c r="BL12" s="182"/>
      <c r="BM12" s="182"/>
      <c r="BN12" s="182"/>
      <c r="BO12" s="182"/>
      <c r="BP12" s="182"/>
      <c r="BQ12" s="182"/>
      <c r="BR12" s="182"/>
      <c r="BS12" s="182"/>
      <c r="BT12" s="202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187" t="s">
        <v>290</v>
      </c>
      <c r="F13" s="188"/>
      <c r="G13" s="188"/>
      <c r="H13" s="188"/>
      <c r="I13" s="188"/>
      <c r="J13" s="188"/>
      <c r="K13" s="188"/>
      <c r="L13" s="189"/>
      <c r="M13" s="172" t="s">
        <v>38</v>
      </c>
      <c r="N13" s="167"/>
      <c r="O13" s="167"/>
      <c r="P13" s="172" t="s">
        <v>97</v>
      </c>
      <c r="Q13" s="167"/>
      <c r="R13" s="167"/>
      <c r="S13" s="172"/>
      <c r="T13" s="167"/>
      <c r="U13" s="167"/>
      <c r="V13" s="184" t="s">
        <v>291</v>
      </c>
      <c r="W13" s="185"/>
      <c r="X13" s="185"/>
      <c r="Y13" s="185"/>
      <c r="Z13" s="185"/>
      <c r="AA13" s="186"/>
      <c r="AB13" s="175" t="s">
        <v>266</v>
      </c>
      <c r="AC13" s="176"/>
      <c r="AD13" s="176"/>
      <c r="AE13" s="176"/>
      <c r="AF13" s="176"/>
      <c r="AG13" s="176"/>
      <c r="AH13" s="176"/>
      <c r="AI13" s="176"/>
      <c r="AJ13" s="176"/>
      <c r="AK13" s="176"/>
      <c r="AL13" s="176"/>
      <c r="AM13" s="176"/>
      <c r="AN13" s="176"/>
      <c r="AO13" s="176"/>
      <c r="AP13" s="176"/>
      <c r="AQ13" s="177"/>
      <c r="AR13" s="172"/>
      <c r="AS13" s="167"/>
      <c r="AT13" s="167"/>
      <c r="AU13" s="167"/>
      <c r="AV13" s="167"/>
      <c r="AW13" s="168"/>
      <c r="AX13" s="172"/>
      <c r="AY13" s="168"/>
      <c r="AZ13" s="172"/>
      <c r="BA13" s="168"/>
      <c r="BB13" s="181"/>
      <c r="BC13" s="182"/>
      <c r="BD13" s="182"/>
      <c r="BE13" s="182"/>
      <c r="BF13" s="182"/>
      <c r="BG13" s="182"/>
      <c r="BH13" s="182"/>
      <c r="BI13" s="182"/>
      <c r="BJ13" s="182"/>
      <c r="BK13" s="182"/>
      <c r="BL13" s="182"/>
      <c r="BM13" s="182"/>
      <c r="BN13" s="182"/>
      <c r="BO13" s="182"/>
      <c r="BP13" s="182"/>
      <c r="BQ13" s="182"/>
      <c r="BR13" s="182"/>
      <c r="BS13" s="182"/>
      <c r="BT13" s="202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187" t="s">
        <v>98</v>
      </c>
      <c r="F14" s="188"/>
      <c r="G14" s="188"/>
      <c r="H14" s="188"/>
      <c r="I14" s="188"/>
      <c r="J14" s="188"/>
      <c r="K14" s="188"/>
      <c r="L14" s="189"/>
      <c r="M14" s="172" t="s">
        <v>8</v>
      </c>
      <c r="N14" s="167"/>
      <c r="O14" s="167"/>
      <c r="P14" s="172" t="s">
        <v>96</v>
      </c>
      <c r="Q14" s="167"/>
      <c r="R14" s="167"/>
      <c r="S14" s="172"/>
      <c r="T14" s="167"/>
      <c r="U14" s="167"/>
      <c r="V14" s="184" t="s">
        <v>224</v>
      </c>
      <c r="W14" s="185"/>
      <c r="X14" s="185"/>
      <c r="Y14" s="185"/>
      <c r="Z14" s="185"/>
      <c r="AA14" s="186"/>
      <c r="AB14" s="175"/>
      <c r="AC14" s="176"/>
      <c r="AD14" s="176"/>
      <c r="AE14" s="176"/>
      <c r="AF14" s="176"/>
      <c r="AG14" s="176"/>
      <c r="AH14" s="176"/>
      <c r="AI14" s="176"/>
      <c r="AJ14" s="176"/>
      <c r="AK14" s="176"/>
      <c r="AL14" s="176"/>
      <c r="AM14" s="176"/>
      <c r="AN14" s="176"/>
      <c r="AO14" s="176"/>
      <c r="AP14" s="176"/>
      <c r="AQ14" s="177"/>
      <c r="AR14" s="172" t="s">
        <v>95</v>
      </c>
      <c r="AS14" s="167"/>
      <c r="AT14" s="167"/>
      <c r="AU14" s="167"/>
      <c r="AV14" s="167"/>
      <c r="AW14" s="168"/>
      <c r="AX14" s="172"/>
      <c r="AY14" s="168"/>
      <c r="AZ14" s="172"/>
      <c r="BA14" s="168"/>
      <c r="BB14" s="181"/>
      <c r="BC14" s="182"/>
      <c r="BD14" s="182"/>
      <c r="BE14" s="182"/>
      <c r="BF14" s="182"/>
      <c r="BG14" s="182"/>
      <c r="BH14" s="182"/>
      <c r="BI14" s="182"/>
      <c r="BJ14" s="182"/>
      <c r="BK14" s="182"/>
      <c r="BL14" s="182"/>
      <c r="BM14" s="182"/>
      <c r="BN14" s="182"/>
      <c r="BO14" s="182"/>
      <c r="BP14" s="182"/>
      <c r="BQ14" s="182"/>
      <c r="BR14" s="182"/>
      <c r="BS14" s="182"/>
      <c r="BT14" s="202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187" t="s">
        <v>99</v>
      </c>
      <c r="F15" s="188"/>
      <c r="G15" s="188"/>
      <c r="H15" s="188"/>
      <c r="I15" s="188"/>
      <c r="J15" s="188"/>
      <c r="K15" s="188"/>
      <c r="L15" s="189"/>
      <c r="M15" s="172" t="s">
        <v>8</v>
      </c>
      <c r="N15" s="167"/>
      <c r="O15" s="167"/>
      <c r="P15" s="172" t="s">
        <v>96</v>
      </c>
      <c r="Q15" s="167"/>
      <c r="R15" s="167"/>
      <c r="S15" s="172"/>
      <c r="T15" s="167"/>
      <c r="U15" s="167"/>
      <c r="V15" s="184" t="s">
        <v>225</v>
      </c>
      <c r="W15" s="185"/>
      <c r="X15" s="185"/>
      <c r="Y15" s="185"/>
      <c r="Z15" s="185"/>
      <c r="AA15" s="186"/>
      <c r="AB15" s="175"/>
      <c r="AC15" s="176"/>
      <c r="AD15" s="176"/>
      <c r="AE15" s="176"/>
      <c r="AF15" s="176"/>
      <c r="AG15" s="176"/>
      <c r="AH15" s="176"/>
      <c r="AI15" s="176"/>
      <c r="AJ15" s="176"/>
      <c r="AK15" s="176"/>
      <c r="AL15" s="176"/>
      <c r="AM15" s="176"/>
      <c r="AN15" s="176"/>
      <c r="AO15" s="176"/>
      <c r="AP15" s="176"/>
      <c r="AQ15" s="177"/>
      <c r="AR15" s="172" t="s">
        <v>95</v>
      </c>
      <c r="AS15" s="167"/>
      <c r="AT15" s="167"/>
      <c r="AU15" s="167"/>
      <c r="AV15" s="167"/>
      <c r="AW15" s="168"/>
      <c r="AX15" s="172"/>
      <c r="AY15" s="168"/>
      <c r="AZ15" s="172"/>
      <c r="BA15" s="168"/>
      <c r="BB15" s="181"/>
      <c r="BC15" s="182"/>
      <c r="BD15" s="182"/>
      <c r="BE15" s="182"/>
      <c r="BF15" s="182"/>
      <c r="BG15" s="182"/>
      <c r="BH15" s="182"/>
      <c r="BI15" s="182"/>
      <c r="BJ15" s="182"/>
      <c r="BK15" s="182"/>
      <c r="BL15" s="182"/>
      <c r="BM15" s="182"/>
      <c r="BN15" s="182"/>
      <c r="BO15" s="182"/>
      <c r="BP15" s="182"/>
      <c r="BQ15" s="182"/>
      <c r="BR15" s="182"/>
      <c r="BS15" s="182"/>
      <c r="BT15" s="202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187" t="s">
        <v>243</v>
      </c>
      <c r="F16" s="188"/>
      <c r="G16" s="188"/>
      <c r="H16" s="188"/>
      <c r="I16" s="188"/>
      <c r="J16" s="188"/>
      <c r="K16" s="188"/>
      <c r="L16" s="189"/>
      <c r="M16" s="172" t="s">
        <v>47</v>
      </c>
      <c r="N16" s="167"/>
      <c r="O16" s="167"/>
      <c r="P16" s="172" t="s">
        <v>96</v>
      </c>
      <c r="Q16" s="167"/>
      <c r="R16" s="167"/>
      <c r="S16" s="172"/>
      <c r="T16" s="167"/>
      <c r="U16" s="167"/>
      <c r="V16" s="181" t="s">
        <v>244</v>
      </c>
      <c r="W16" s="182"/>
      <c r="X16" s="182"/>
      <c r="Y16" s="182"/>
      <c r="Z16" s="182"/>
      <c r="AA16" s="183"/>
      <c r="AB16" s="175"/>
      <c r="AC16" s="176"/>
      <c r="AD16" s="176"/>
      <c r="AE16" s="176"/>
      <c r="AF16" s="176"/>
      <c r="AG16" s="176"/>
      <c r="AH16" s="176"/>
      <c r="AI16" s="176"/>
      <c r="AJ16" s="176"/>
      <c r="AK16" s="176"/>
      <c r="AL16" s="176"/>
      <c r="AM16" s="176"/>
      <c r="AN16" s="176"/>
      <c r="AO16" s="176"/>
      <c r="AP16" s="176"/>
      <c r="AQ16" s="177"/>
      <c r="AR16" s="172"/>
      <c r="AS16" s="167"/>
      <c r="AT16" s="167"/>
      <c r="AU16" s="167"/>
      <c r="AV16" s="167"/>
      <c r="AW16" s="168"/>
      <c r="AX16" s="172"/>
      <c r="AY16" s="168"/>
      <c r="AZ16" s="172"/>
      <c r="BA16" s="168"/>
      <c r="BB16" s="181" t="s">
        <v>245</v>
      </c>
      <c r="BC16" s="182"/>
      <c r="BD16" s="182"/>
      <c r="BE16" s="182"/>
      <c r="BF16" s="182"/>
      <c r="BG16" s="182"/>
      <c r="BH16" s="182"/>
      <c r="BI16" s="182"/>
      <c r="BJ16" s="182"/>
      <c r="BK16" s="182"/>
      <c r="BL16" s="182"/>
      <c r="BM16" s="182"/>
      <c r="BN16" s="182"/>
      <c r="BO16" s="182"/>
      <c r="BP16" s="182"/>
      <c r="BQ16" s="182"/>
      <c r="BR16" s="182"/>
      <c r="BS16" s="182"/>
      <c r="BT16" s="202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 s="30"/>
      <c r="D17" s="37">
        <v>7</v>
      </c>
      <c r="E17" s="187" t="s">
        <v>100</v>
      </c>
      <c r="F17" s="188"/>
      <c r="G17" s="188"/>
      <c r="H17" s="188"/>
      <c r="I17" s="188"/>
      <c r="J17" s="188"/>
      <c r="K17" s="188"/>
      <c r="L17" s="189"/>
      <c r="M17" s="172" t="s">
        <v>38</v>
      </c>
      <c r="N17" s="167"/>
      <c r="O17" s="167"/>
      <c r="P17" s="172" t="s">
        <v>97</v>
      </c>
      <c r="Q17" s="167"/>
      <c r="R17" s="167"/>
      <c r="S17" s="172"/>
      <c r="T17" s="167"/>
      <c r="U17" s="167"/>
      <c r="V17" s="181" t="s">
        <v>226</v>
      </c>
      <c r="W17" s="182"/>
      <c r="X17" s="182"/>
      <c r="Y17" s="182"/>
      <c r="Z17" s="182"/>
      <c r="AA17" s="183"/>
      <c r="AB17" s="175"/>
      <c r="AC17" s="176"/>
      <c r="AD17" s="176"/>
      <c r="AE17" s="176"/>
      <c r="AF17" s="176"/>
      <c r="AG17" s="176"/>
      <c r="AH17" s="176"/>
      <c r="AI17" s="176"/>
      <c r="AJ17" s="176"/>
      <c r="AK17" s="176"/>
      <c r="AL17" s="176"/>
      <c r="AM17" s="176"/>
      <c r="AN17" s="176"/>
      <c r="AO17" s="176"/>
      <c r="AP17" s="176"/>
      <c r="AQ17" s="177"/>
      <c r="AR17" s="172"/>
      <c r="AS17" s="167"/>
      <c r="AT17" s="167"/>
      <c r="AU17" s="167"/>
      <c r="AV17" s="167"/>
      <c r="AW17" s="168"/>
      <c r="AX17" s="172"/>
      <c r="AY17" s="168"/>
      <c r="AZ17" s="172"/>
      <c r="BA17" s="168"/>
      <c r="BB17" s="181" t="s">
        <v>245</v>
      </c>
      <c r="BC17" s="182"/>
      <c r="BD17" s="182"/>
      <c r="BE17" s="182"/>
      <c r="BF17" s="182"/>
      <c r="BG17" s="182"/>
      <c r="BH17" s="182"/>
      <c r="BI17" s="182"/>
      <c r="BJ17" s="182"/>
      <c r="BK17" s="182"/>
      <c r="BL17" s="182"/>
      <c r="BM17" s="182"/>
      <c r="BN17" s="182"/>
      <c r="BO17" s="182"/>
      <c r="BP17" s="182"/>
      <c r="BQ17" s="182"/>
      <c r="BR17" s="182"/>
      <c r="BS17" s="182"/>
      <c r="BT17" s="143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30"/>
      <c r="B18" s="44"/>
      <c r="C18"/>
      <c r="D18" s="37">
        <v>8</v>
      </c>
      <c r="E18" s="187" t="s">
        <v>101</v>
      </c>
      <c r="F18" s="188"/>
      <c r="G18" s="188"/>
      <c r="H18" s="188"/>
      <c r="I18" s="188"/>
      <c r="J18" s="188"/>
      <c r="K18" s="188"/>
      <c r="L18" s="189"/>
      <c r="M18" s="172" t="s">
        <v>38</v>
      </c>
      <c r="N18" s="167"/>
      <c r="O18" s="167"/>
      <c r="P18" s="172" t="s">
        <v>119</v>
      </c>
      <c r="Q18" s="167"/>
      <c r="R18" s="167"/>
      <c r="S18" s="172"/>
      <c r="T18" s="167"/>
      <c r="U18" s="167"/>
      <c r="V18" s="181" t="s">
        <v>227</v>
      </c>
      <c r="W18" s="182"/>
      <c r="X18" s="182"/>
      <c r="Y18" s="182"/>
      <c r="Z18" s="182"/>
      <c r="AA18" s="183"/>
      <c r="AB18" s="175"/>
      <c r="AC18" s="176"/>
      <c r="AD18" s="176"/>
      <c r="AE18" s="176"/>
      <c r="AF18" s="176"/>
      <c r="AG18" s="176"/>
      <c r="AH18" s="176"/>
      <c r="AI18" s="176"/>
      <c r="AJ18" s="176"/>
      <c r="AK18" s="176"/>
      <c r="AL18" s="176"/>
      <c r="AM18" s="176"/>
      <c r="AN18" s="176"/>
      <c r="AO18" s="176"/>
      <c r="AP18" s="176"/>
      <c r="AQ18" s="177"/>
      <c r="AR18" s="172"/>
      <c r="AS18" s="167"/>
      <c r="AT18" s="167"/>
      <c r="AU18" s="167"/>
      <c r="AV18" s="167"/>
      <c r="AW18" s="168"/>
      <c r="AX18" s="172"/>
      <c r="AY18" s="168"/>
      <c r="AZ18" s="172"/>
      <c r="BA18" s="168"/>
      <c r="BB18" s="181" t="s">
        <v>245</v>
      </c>
      <c r="BC18" s="182"/>
      <c r="BD18" s="182"/>
      <c r="BE18" s="182"/>
      <c r="BF18" s="182"/>
      <c r="BG18" s="182"/>
      <c r="BH18" s="182"/>
      <c r="BI18" s="182"/>
      <c r="BJ18" s="182"/>
      <c r="BK18" s="182"/>
      <c r="BL18" s="182"/>
      <c r="BM18" s="182"/>
      <c r="BN18" s="182"/>
      <c r="BO18" s="182"/>
      <c r="BP18" s="182"/>
      <c r="BQ18" s="182"/>
      <c r="BR18" s="182"/>
      <c r="BS18" s="182"/>
      <c r="BT18" s="202"/>
      <c r="BU18" s="41"/>
      <c r="BV18" s="40"/>
      <c r="BW18" s="41"/>
      <c r="BX18" s="41"/>
      <c r="BY18" s="41"/>
      <c r="BZ18" s="41"/>
      <c r="CA18" s="41"/>
      <c r="CB18" s="41"/>
      <c r="CC18" s="30"/>
      <c r="CD18" s="30"/>
      <c r="CE18" s="30"/>
      <c r="CF18" s="30"/>
      <c r="CG18" s="30"/>
    </row>
    <row r="19" spans="1:85" s="5" customFormat="1" ht="20.100000000000001" customHeight="1" x14ac:dyDescent="0.45">
      <c r="A19" s="29"/>
      <c r="B19" s="35"/>
      <c r="C19"/>
      <c r="D19" s="37">
        <v>9</v>
      </c>
      <c r="E19" s="187" t="s">
        <v>102</v>
      </c>
      <c r="F19" s="188"/>
      <c r="G19" s="188"/>
      <c r="H19" s="188"/>
      <c r="I19" s="188"/>
      <c r="J19" s="188"/>
      <c r="K19" s="188"/>
      <c r="L19" s="189"/>
      <c r="M19" s="172" t="s">
        <v>8</v>
      </c>
      <c r="N19" s="167"/>
      <c r="O19" s="167"/>
      <c r="P19" s="172" t="s">
        <v>118</v>
      </c>
      <c r="Q19" s="167"/>
      <c r="R19" s="167"/>
      <c r="S19" s="172"/>
      <c r="T19" s="167"/>
      <c r="U19" s="167"/>
      <c r="V19" s="181" t="s">
        <v>228</v>
      </c>
      <c r="W19" s="182"/>
      <c r="X19" s="182"/>
      <c r="Y19" s="182"/>
      <c r="Z19" s="182"/>
      <c r="AA19" s="183"/>
      <c r="AB19" s="175"/>
      <c r="AC19" s="176"/>
      <c r="AD19" s="176"/>
      <c r="AE19" s="176"/>
      <c r="AF19" s="176"/>
      <c r="AG19" s="176"/>
      <c r="AH19" s="176"/>
      <c r="AI19" s="176"/>
      <c r="AJ19" s="176"/>
      <c r="AK19" s="176"/>
      <c r="AL19" s="176"/>
      <c r="AM19" s="176"/>
      <c r="AN19" s="176"/>
      <c r="AO19" s="176"/>
      <c r="AP19" s="176"/>
      <c r="AQ19" s="177"/>
      <c r="AR19" s="172" t="s">
        <v>287</v>
      </c>
      <c r="AS19" s="167"/>
      <c r="AT19" s="167"/>
      <c r="AU19" s="167"/>
      <c r="AV19" s="167"/>
      <c r="AW19" s="168"/>
      <c r="AX19" s="172"/>
      <c r="AY19" s="168"/>
      <c r="AZ19" s="172"/>
      <c r="BA19" s="168"/>
      <c r="BB19" s="181" t="s">
        <v>246</v>
      </c>
      <c r="BC19" s="182"/>
      <c r="BD19" s="182"/>
      <c r="BE19" s="182"/>
      <c r="BF19" s="182"/>
      <c r="BG19" s="182"/>
      <c r="BH19" s="182"/>
      <c r="BI19" s="182"/>
      <c r="BJ19" s="182"/>
      <c r="BK19" s="182"/>
      <c r="BL19" s="182"/>
      <c r="BM19" s="182"/>
      <c r="BN19" s="182"/>
      <c r="BO19" s="182"/>
      <c r="BP19" s="182"/>
      <c r="BQ19" s="182"/>
      <c r="BR19" s="182"/>
      <c r="BS19" s="182"/>
      <c r="BT19" s="202"/>
      <c r="BU19" s="29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31"/>
      <c r="CG19" s="31"/>
    </row>
    <row r="20" spans="1:85" s="5" customFormat="1" ht="20.100000000000001" customHeight="1" x14ac:dyDescent="0.45">
      <c r="A20" s="29"/>
      <c r="B20" s="35"/>
      <c r="C20"/>
      <c r="D20" s="37">
        <v>10</v>
      </c>
      <c r="E20" s="187" t="s">
        <v>103</v>
      </c>
      <c r="F20" s="188"/>
      <c r="G20" s="188"/>
      <c r="H20" s="188"/>
      <c r="I20" s="188"/>
      <c r="J20" s="188"/>
      <c r="K20" s="188"/>
      <c r="L20" s="189"/>
      <c r="M20" s="172" t="s">
        <v>8</v>
      </c>
      <c r="N20" s="167"/>
      <c r="O20" s="167"/>
      <c r="P20" s="172" t="s">
        <v>118</v>
      </c>
      <c r="Q20" s="167"/>
      <c r="R20" s="167"/>
      <c r="S20" s="172"/>
      <c r="T20" s="167"/>
      <c r="U20" s="167"/>
      <c r="V20" s="181" t="s">
        <v>229</v>
      </c>
      <c r="W20" s="182"/>
      <c r="X20" s="182"/>
      <c r="Y20" s="182"/>
      <c r="Z20" s="182"/>
      <c r="AA20" s="183"/>
      <c r="AB20" s="175"/>
      <c r="AC20" s="176"/>
      <c r="AD20" s="176"/>
      <c r="AE20" s="176"/>
      <c r="AF20" s="176"/>
      <c r="AG20" s="176"/>
      <c r="AH20" s="176"/>
      <c r="AI20" s="176"/>
      <c r="AJ20" s="176"/>
      <c r="AK20" s="176"/>
      <c r="AL20" s="176"/>
      <c r="AM20" s="176"/>
      <c r="AN20" s="176"/>
      <c r="AO20" s="176"/>
      <c r="AP20" s="176"/>
      <c r="AQ20" s="177"/>
      <c r="AR20" s="172" t="s">
        <v>287</v>
      </c>
      <c r="AS20" s="167"/>
      <c r="AT20" s="167"/>
      <c r="AU20" s="167"/>
      <c r="AV20" s="167"/>
      <c r="AW20" s="168"/>
      <c r="AX20" s="172"/>
      <c r="AY20" s="168"/>
      <c r="AZ20" s="172"/>
      <c r="BA20" s="168"/>
      <c r="BB20" s="181" t="s">
        <v>247</v>
      </c>
      <c r="BC20" s="182"/>
      <c r="BD20" s="182"/>
      <c r="BE20" s="182"/>
      <c r="BF20" s="182"/>
      <c r="BG20" s="182"/>
      <c r="BH20" s="182"/>
      <c r="BI20" s="182"/>
      <c r="BJ20" s="182"/>
      <c r="BK20" s="182"/>
      <c r="BL20" s="182"/>
      <c r="BM20" s="182"/>
      <c r="BN20" s="182"/>
      <c r="BO20" s="182"/>
      <c r="BP20" s="182"/>
      <c r="BQ20" s="182"/>
      <c r="BR20" s="182"/>
      <c r="BS20" s="182"/>
      <c r="BT20" s="202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187" t="s">
        <v>104</v>
      </c>
      <c r="F21" s="188"/>
      <c r="G21" s="188"/>
      <c r="H21" s="188"/>
      <c r="I21" s="188"/>
      <c r="J21" s="188"/>
      <c r="K21" s="188"/>
      <c r="L21" s="189"/>
      <c r="M21" s="172" t="s">
        <v>47</v>
      </c>
      <c r="N21" s="167"/>
      <c r="O21" s="167"/>
      <c r="P21" s="172" t="s">
        <v>118</v>
      </c>
      <c r="Q21" s="167"/>
      <c r="R21" s="167"/>
      <c r="S21" s="172"/>
      <c r="T21" s="167"/>
      <c r="U21" s="167"/>
      <c r="V21" s="181" t="s">
        <v>241</v>
      </c>
      <c r="W21" s="182"/>
      <c r="X21" s="182"/>
      <c r="Y21" s="182"/>
      <c r="Z21" s="182"/>
      <c r="AA21" s="183"/>
      <c r="AB21" s="175" t="s">
        <v>242</v>
      </c>
      <c r="AC21" s="176"/>
      <c r="AD21" s="176"/>
      <c r="AE21" s="176"/>
      <c r="AF21" s="176"/>
      <c r="AG21" s="176"/>
      <c r="AH21" s="176"/>
      <c r="AI21" s="176"/>
      <c r="AJ21" s="176"/>
      <c r="AK21" s="176"/>
      <c r="AL21" s="176"/>
      <c r="AM21" s="176"/>
      <c r="AN21" s="176"/>
      <c r="AO21" s="176"/>
      <c r="AP21" s="176"/>
      <c r="AQ21" s="177"/>
      <c r="AR21" s="172"/>
      <c r="AS21" s="167"/>
      <c r="AT21" s="167"/>
      <c r="AU21" s="167"/>
      <c r="AV21" s="167"/>
      <c r="AW21" s="168"/>
      <c r="AX21" s="172" t="s">
        <v>285</v>
      </c>
      <c r="AY21" s="168"/>
      <c r="AZ21" s="172" t="s">
        <v>286</v>
      </c>
      <c r="BA21" s="168"/>
      <c r="BB21" s="181"/>
      <c r="BC21" s="182"/>
      <c r="BD21" s="182"/>
      <c r="BE21" s="182"/>
      <c r="BF21" s="182"/>
      <c r="BG21" s="182"/>
      <c r="BH21" s="182"/>
      <c r="BI21" s="182"/>
      <c r="BJ21" s="182"/>
      <c r="BK21" s="182"/>
      <c r="BL21" s="182"/>
      <c r="BM21" s="182"/>
      <c r="BN21" s="182"/>
      <c r="BO21" s="182"/>
      <c r="BP21" s="182"/>
      <c r="BQ21" s="182"/>
      <c r="BR21" s="182"/>
      <c r="BS21" s="182"/>
      <c r="BT21" s="202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187" t="s">
        <v>105</v>
      </c>
      <c r="F22" s="188"/>
      <c r="G22" s="188"/>
      <c r="H22" s="188"/>
      <c r="I22" s="188"/>
      <c r="J22" s="188"/>
      <c r="K22" s="188"/>
      <c r="L22" s="189"/>
      <c r="M22" s="172" t="s">
        <v>38</v>
      </c>
      <c r="N22" s="167"/>
      <c r="O22" s="167"/>
      <c r="P22" s="172" t="s">
        <v>118</v>
      </c>
      <c r="Q22" s="167"/>
      <c r="R22" s="167"/>
      <c r="S22" s="172"/>
      <c r="T22" s="167"/>
      <c r="U22" s="167"/>
      <c r="V22" s="181" t="s">
        <v>230</v>
      </c>
      <c r="W22" s="182"/>
      <c r="X22" s="182"/>
      <c r="Y22" s="182"/>
      <c r="Z22" s="182"/>
      <c r="AA22" s="183"/>
      <c r="AB22" s="175"/>
      <c r="AC22" s="176"/>
      <c r="AD22" s="176"/>
      <c r="AE22" s="176"/>
      <c r="AF22" s="176"/>
      <c r="AG22" s="176"/>
      <c r="AH22" s="176"/>
      <c r="AI22" s="176"/>
      <c r="AJ22" s="176"/>
      <c r="AK22" s="176"/>
      <c r="AL22" s="176"/>
      <c r="AM22" s="176"/>
      <c r="AN22" s="176"/>
      <c r="AO22" s="176"/>
      <c r="AP22" s="176"/>
      <c r="AQ22" s="177"/>
      <c r="AR22" s="172"/>
      <c r="AS22" s="167"/>
      <c r="AT22" s="167"/>
      <c r="AU22" s="167"/>
      <c r="AV22" s="167"/>
      <c r="AW22" s="168"/>
      <c r="AX22" s="172" t="s">
        <v>285</v>
      </c>
      <c r="AY22" s="168"/>
      <c r="AZ22" s="172" t="s">
        <v>286</v>
      </c>
      <c r="BA22" s="168"/>
      <c r="BB22" s="181"/>
      <c r="BC22" s="182"/>
      <c r="BD22" s="182"/>
      <c r="BE22" s="182"/>
      <c r="BF22" s="182"/>
      <c r="BG22" s="182"/>
      <c r="BH22" s="182"/>
      <c r="BI22" s="182"/>
      <c r="BJ22" s="182"/>
      <c r="BK22" s="182"/>
      <c r="BL22" s="182"/>
      <c r="BM22" s="182"/>
      <c r="BN22" s="182"/>
      <c r="BO22" s="182"/>
      <c r="BP22" s="182"/>
      <c r="BQ22" s="182"/>
      <c r="BR22" s="182"/>
      <c r="BS22" s="182"/>
      <c r="BT22" s="202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187" t="s">
        <v>106</v>
      </c>
      <c r="F23" s="188"/>
      <c r="G23" s="188"/>
      <c r="H23" s="188"/>
      <c r="I23" s="188"/>
      <c r="J23" s="188"/>
      <c r="K23" s="188"/>
      <c r="L23" s="189"/>
      <c r="M23" s="172" t="s">
        <v>38</v>
      </c>
      <c r="N23" s="167"/>
      <c r="O23" s="167"/>
      <c r="P23" s="172" t="s">
        <v>118</v>
      </c>
      <c r="Q23" s="167"/>
      <c r="R23" s="167"/>
      <c r="S23" s="172"/>
      <c r="T23" s="167"/>
      <c r="U23" s="167"/>
      <c r="V23" s="181" t="s">
        <v>231</v>
      </c>
      <c r="W23" s="182"/>
      <c r="X23" s="182"/>
      <c r="Y23" s="182"/>
      <c r="Z23" s="182"/>
      <c r="AA23" s="183"/>
      <c r="AB23" s="175"/>
      <c r="AC23" s="176"/>
      <c r="AD23" s="176"/>
      <c r="AE23" s="176"/>
      <c r="AF23" s="176"/>
      <c r="AG23" s="176"/>
      <c r="AH23" s="176"/>
      <c r="AI23" s="176"/>
      <c r="AJ23" s="176"/>
      <c r="AK23" s="176"/>
      <c r="AL23" s="176"/>
      <c r="AM23" s="176"/>
      <c r="AN23" s="176"/>
      <c r="AO23" s="176"/>
      <c r="AP23" s="176"/>
      <c r="AQ23" s="177"/>
      <c r="AR23" s="172"/>
      <c r="AS23" s="167"/>
      <c r="AT23" s="167"/>
      <c r="AU23" s="167"/>
      <c r="AV23" s="167"/>
      <c r="AW23" s="168"/>
      <c r="AX23" s="172" t="s">
        <v>285</v>
      </c>
      <c r="AY23" s="168"/>
      <c r="AZ23" s="172" t="s">
        <v>286</v>
      </c>
      <c r="BA23" s="168"/>
      <c r="BB23" s="181"/>
      <c r="BC23" s="182"/>
      <c r="BD23" s="182"/>
      <c r="BE23" s="182"/>
      <c r="BF23" s="182"/>
      <c r="BG23" s="182"/>
      <c r="BH23" s="182"/>
      <c r="BI23" s="182"/>
      <c r="BJ23" s="182"/>
      <c r="BK23" s="182"/>
      <c r="BL23" s="182"/>
      <c r="BM23" s="182"/>
      <c r="BN23" s="182"/>
      <c r="BO23" s="182"/>
      <c r="BP23" s="182"/>
      <c r="BQ23" s="182"/>
      <c r="BR23" s="182"/>
      <c r="BS23" s="182"/>
      <c r="BT23" s="202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187" t="s">
        <v>107</v>
      </c>
      <c r="F24" s="188"/>
      <c r="G24" s="188"/>
      <c r="H24" s="188"/>
      <c r="I24" s="188"/>
      <c r="J24" s="188"/>
      <c r="K24" s="188"/>
      <c r="L24" s="189"/>
      <c r="M24" s="172" t="s">
        <v>38</v>
      </c>
      <c r="N24" s="167"/>
      <c r="O24" s="167"/>
      <c r="P24" s="172" t="s">
        <v>123</v>
      </c>
      <c r="Q24" s="167"/>
      <c r="R24" s="167"/>
      <c r="S24" s="172"/>
      <c r="T24" s="167"/>
      <c r="U24" s="167"/>
      <c r="V24" s="184" t="s">
        <v>263</v>
      </c>
      <c r="W24" s="185"/>
      <c r="X24" s="185"/>
      <c r="Y24" s="185"/>
      <c r="Z24" s="185"/>
      <c r="AA24" s="186"/>
      <c r="AB24" s="175"/>
      <c r="AC24" s="176"/>
      <c r="AD24" s="176"/>
      <c r="AE24" s="176"/>
      <c r="AF24" s="176"/>
      <c r="AG24" s="176"/>
      <c r="AH24" s="176"/>
      <c r="AI24" s="176"/>
      <c r="AJ24" s="176"/>
      <c r="AK24" s="176"/>
      <c r="AL24" s="176"/>
      <c r="AM24" s="176"/>
      <c r="AN24" s="176"/>
      <c r="AO24" s="176"/>
      <c r="AP24" s="176"/>
      <c r="AQ24" s="177"/>
      <c r="AR24" s="172"/>
      <c r="AS24" s="167"/>
      <c r="AT24" s="167"/>
      <c r="AU24" s="167"/>
      <c r="AV24" s="167"/>
      <c r="AW24" s="168"/>
      <c r="AX24" s="172" t="s">
        <v>285</v>
      </c>
      <c r="AY24" s="168"/>
      <c r="AZ24" s="172" t="s">
        <v>286</v>
      </c>
      <c r="BA24" s="168"/>
      <c r="BB24" s="181"/>
      <c r="BC24" s="182"/>
      <c r="BD24" s="182"/>
      <c r="BE24" s="182"/>
      <c r="BF24" s="182"/>
      <c r="BG24" s="182"/>
      <c r="BH24" s="182"/>
      <c r="BI24" s="182"/>
      <c r="BJ24" s="182"/>
      <c r="BK24" s="182"/>
      <c r="BL24" s="182"/>
      <c r="BM24" s="182"/>
      <c r="BN24" s="182"/>
      <c r="BO24" s="182"/>
      <c r="BP24" s="182"/>
      <c r="BQ24" s="182"/>
      <c r="BR24" s="182"/>
      <c r="BS24" s="182"/>
      <c r="BT24" s="202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187" t="s">
        <v>108</v>
      </c>
      <c r="F25" s="188"/>
      <c r="G25" s="188"/>
      <c r="H25" s="188"/>
      <c r="I25" s="188"/>
      <c r="J25" s="188"/>
      <c r="K25" s="188"/>
      <c r="L25" s="189"/>
      <c r="M25" s="172" t="s">
        <v>47</v>
      </c>
      <c r="N25" s="167"/>
      <c r="O25" s="167"/>
      <c r="P25" s="172" t="s">
        <v>118</v>
      </c>
      <c r="Q25" s="167"/>
      <c r="R25" s="167"/>
      <c r="S25" s="172"/>
      <c r="T25" s="167"/>
      <c r="U25" s="167"/>
      <c r="V25" s="181" t="s">
        <v>232</v>
      </c>
      <c r="W25" s="182"/>
      <c r="X25" s="182"/>
      <c r="Y25" s="182"/>
      <c r="Z25" s="182"/>
      <c r="AA25" s="183"/>
      <c r="AB25" s="175"/>
      <c r="AC25" s="176"/>
      <c r="AD25" s="176"/>
      <c r="AE25" s="176"/>
      <c r="AF25" s="176"/>
      <c r="AG25" s="176"/>
      <c r="AH25" s="176"/>
      <c r="AI25" s="176"/>
      <c r="AJ25" s="176"/>
      <c r="AK25" s="176"/>
      <c r="AL25" s="176"/>
      <c r="AM25" s="176"/>
      <c r="AN25" s="176"/>
      <c r="AO25" s="176"/>
      <c r="AP25" s="176"/>
      <c r="AQ25" s="177"/>
      <c r="AR25" s="172"/>
      <c r="AS25" s="167"/>
      <c r="AT25" s="167"/>
      <c r="AU25" s="167"/>
      <c r="AV25" s="167"/>
      <c r="AW25" s="168"/>
      <c r="AX25" s="172" t="s">
        <v>285</v>
      </c>
      <c r="AY25" s="168"/>
      <c r="AZ25" s="172" t="s">
        <v>286</v>
      </c>
      <c r="BA25" s="168"/>
      <c r="BB25" s="181"/>
      <c r="BC25" s="182"/>
      <c r="BD25" s="182"/>
      <c r="BE25" s="182"/>
      <c r="BF25" s="182"/>
      <c r="BG25" s="182"/>
      <c r="BH25" s="182"/>
      <c r="BI25" s="182"/>
      <c r="BJ25" s="182"/>
      <c r="BK25" s="182"/>
      <c r="BL25" s="182"/>
      <c r="BM25" s="182"/>
      <c r="BN25" s="182"/>
      <c r="BO25" s="182"/>
      <c r="BP25" s="182"/>
      <c r="BQ25" s="182"/>
      <c r="BR25" s="182"/>
      <c r="BS25" s="182"/>
      <c r="BT25" s="202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187" t="s">
        <v>109</v>
      </c>
      <c r="F26" s="188"/>
      <c r="G26" s="188"/>
      <c r="H26" s="188"/>
      <c r="I26" s="188"/>
      <c r="J26" s="188"/>
      <c r="K26" s="188"/>
      <c r="L26" s="189"/>
      <c r="M26" s="172" t="s">
        <v>47</v>
      </c>
      <c r="N26" s="167"/>
      <c r="O26" s="167"/>
      <c r="P26" s="172" t="s">
        <v>118</v>
      </c>
      <c r="Q26" s="167"/>
      <c r="R26" s="167"/>
      <c r="S26" s="172"/>
      <c r="T26" s="167"/>
      <c r="U26" s="167"/>
      <c r="V26" s="181" t="s">
        <v>233</v>
      </c>
      <c r="W26" s="182"/>
      <c r="X26" s="182"/>
      <c r="Y26" s="182"/>
      <c r="Z26" s="182"/>
      <c r="AA26" s="183"/>
      <c r="AB26" s="175"/>
      <c r="AC26" s="176"/>
      <c r="AD26" s="176"/>
      <c r="AE26" s="176"/>
      <c r="AF26" s="176"/>
      <c r="AG26" s="176"/>
      <c r="AH26" s="176"/>
      <c r="AI26" s="176"/>
      <c r="AJ26" s="176"/>
      <c r="AK26" s="176"/>
      <c r="AL26" s="176"/>
      <c r="AM26" s="176"/>
      <c r="AN26" s="176"/>
      <c r="AO26" s="176"/>
      <c r="AP26" s="176"/>
      <c r="AQ26" s="177"/>
      <c r="AR26" s="172"/>
      <c r="AS26" s="167"/>
      <c r="AT26" s="167"/>
      <c r="AU26" s="167"/>
      <c r="AV26" s="167"/>
      <c r="AW26" s="168"/>
      <c r="AX26" s="172" t="s">
        <v>285</v>
      </c>
      <c r="AY26" s="168"/>
      <c r="AZ26" s="172" t="s">
        <v>286</v>
      </c>
      <c r="BA26" s="168"/>
      <c r="BB26" s="181"/>
      <c r="BC26" s="182"/>
      <c r="BD26" s="182"/>
      <c r="BE26" s="182"/>
      <c r="BF26" s="182"/>
      <c r="BG26" s="182"/>
      <c r="BH26" s="182"/>
      <c r="BI26" s="182"/>
      <c r="BJ26" s="182"/>
      <c r="BK26" s="182"/>
      <c r="BL26" s="182"/>
      <c r="BM26" s="182"/>
      <c r="BN26" s="182"/>
      <c r="BO26" s="182"/>
      <c r="BP26" s="182"/>
      <c r="BQ26" s="182"/>
      <c r="BR26" s="182"/>
      <c r="BS26" s="182"/>
      <c r="BT26" s="202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s="5" customFormat="1" ht="20.100000000000001" customHeight="1" x14ac:dyDescent="0.45">
      <c r="A27" s="29"/>
      <c r="B27" s="35"/>
      <c r="C27"/>
      <c r="D27" s="37">
        <v>17</v>
      </c>
      <c r="E27" s="187" t="s">
        <v>110</v>
      </c>
      <c r="F27" s="188"/>
      <c r="G27" s="188"/>
      <c r="H27" s="188"/>
      <c r="I27" s="188"/>
      <c r="J27" s="188"/>
      <c r="K27" s="188"/>
      <c r="L27" s="189"/>
      <c r="M27" s="172" t="s">
        <v>47</v>
      </c>
      <c r="N27" s="167"/>
      <c r="O27" s="167"/>
      <c r="P27" s="172" t="s">
        <v>118</v>
      </c>
      <c r="Q27" s="167"/>
      <c r="R27" s="167"/>
      <c r="S27" s="172"/>
      <c r="T27" s="167"/>
      <c r="U27" s="167"/>
      <c r="V27" s="181" t="s">
        <v>234</v>
      </c>
      <c r="W27" s="182"/>
      <c r="X27" s="182"/>
      <c r="Y27" s="182"/>
      <c r="Z27" s="182"/>
      <c r="AA27" s="183"/>
      <c r="AB27" s="175"/>
      <c r="AC27" s="176"/>
      <c r="AD27" s="176"/>
      <c r="AE27" s="176"/>
      <c r="AF27" s="176"/>
      <c r="AG27" s="176"/>
      <c r="AH27" s="176"/>
      <c r="AI27" s="176"/>
      <c r="AJ27" s="176"/>
      <c r="AK27" s="176"/>
      <c r="AL27" s="176"/>
      <c r="AM27" s="176"/>
      <c r="AN27" s="176"/>
      <c r="AO27" s="176"/>
      <c r="AP27" s="176"/>
      <c r="AQ27" s="177"/>
      <c r="AR27" s="172"/>
      <c r="AS27" s="167"/>
      <c r="AT27" s="167"/>
      <c r="AU27" s="167"/>
      <c r="AV27" s="167"/>
      <c r="AW27" s="168"/>
      <c r="AX27" s="172" t="s">
        <v>285</v>
      </c>
      <c r="AY27" s="168"/>
      <c r="AZ27" s="172" t="s">
        <v>286</v>
      </c>
      <c r="BA27" s="168"/>
      <c r="BB27" s="181"/>
      <c r="BC27" s="182"/>
      <c r="BD27" s="182"/>
      <c r="BE27" s="182"/>
      <c r="BF27" s="182"/>
      <c r="BG27" s="182"/>
      <c r="BH27" s="182"/>
      <c r="BI27" s="182"/>
      <c r="BJ27" s="182"/>
      <c r="BK27" s="182"/>
      <c r="BL27" s="182"/>
      <c r="BM27" s="182"/>
      <c r="BN27" s="182"/>
      <c r="BO27" s="182"/>
      <c r="BP27" s="182"/>
      <c r="BQ27" s="182"/>
      <c r="BR27" s="182"/>
      <c r="BS27" s="182"/>
      <c r="BT27" s="202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20.100000000000001" customHeight="1" x14ac:dyDescent="0.45">
      <c r="A28" s="29"/>
      <c r="B28" s="44"/>
      <c r="C28"/>
      <c r="D28" s="37">
        <v>18</v>
      </c>
      <c r="E28" s="187" t="s">
        <v>111</v>
      </c>
      <c r="F28" s="188"/>
      <c r="G28" s="188"/>
      <c r="H28" s="188"/>
      <c r="I28" s="188"/>
      <c r="J28" s="188"/>
      <c r="K28" s="188"/>
      <c r="L28" s="189"/>
      <c r="M28" s="172" t="s">
        <v>47</v>
      </c>
      <c r="N28" s="167"/>
      <c r="O28" s="167"/>
      <c r="P28" s="172" t="s">
        <v>118</v>
      </c>
      <c r="Q28" s="167"/>
      <c r="R28" s="167"/>
      <c r="S28" s="172"/>
      <c r="T28" s="167"/>
      <c r="U28" s="167"/>
      <c r="V28" s="181" t="s">
        <v>235</v>
      </c>
      <c r="W28" s="182"/>
      <c r="X28" s="182"/>
      <c r="Y28" s="182"/>
      <c r="Z28" s="182"/>
      <c r="AA28" s="183"/>
      <c r="AB28" s="175"/>
      <c r="AC28" s="176"/>
      <c r="AD28" s="176"/>
      <c r="AE28" s="176"/>
      <c r="AF28" s="176"/>
      <c r="AG28" s="176"/>
      <c r="AH28" s="176"/>
      <c r="AI28" s="176"/>
      <c r="AJ28" s="176"/>
      <c r="AK28" s="176"/>
      <c r="AL28" s="176"/>
      <c r="AM28" s="176"/>
      <c r="AN28" s="176"/>
      <c r="AO28" s="176"/>
      <c r="AP28" s="176"/>
      <c r="AQ28" s="177"/>
      <c r="AR28" s="172" t="s">
        <v>248</v>
      </c>
      <c r="AS28" s="167"/>
      <c r="AT28" s="167"/>
      <c r="AU28" s="167"/>
      <c r="AV28" s="167"/>
      <c r="AW28" s="168"/>
      <c r="AX28" s="172" t="s">
        <v>285</v>
      </c>
      <c r="AY28" s="168"/>
      <c r="AZ28" s="172" t="s">
        <v>285</v>
      </c>
      <c r="BA28" s="168"/>
      <c r="BB28" s="181" t="s">
        <v>249</v>
      </c>
      <c r="BC28" s="182"/>
      <c r="BD28" s="182"/>
      <c r="BE28" s="182"/>
      <c r="BF28" s="182"/>
      <c r="BG28" s="182"/>
      <c r="BH28" s="182"/>
      <c r="BI28" s="182"/>
      <c r="BJ28" s="182"/>
      <c r="BK28" s="182"/>
      <c r="BL28" s="182"/>
      <c r="BM28" s="182"/>
      <c r="BN28" s="182"/>
      <c r="BO28" s="182"/>
      <c r="BP28" s="182"/>
      <c r="BQ28" s="182"/>
      <c r="BR28" s="182"/>
      <c r="BS28" s="182"/>
      <c r="BT28" s="202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 x14ac:dyDescent="0.45">
      <c r="A29" s="29"/>
      <c r="B29" s="44"/>
      <c r="C29"/>
      <c r="D29" s="37">
        <v>19</v>
      </c>
      <c r="E29" s="187" t="s">
        <v>112</v>
      </c>
      <c r="F29" s="188"/>
      <c r="G29" s="188"/>
      <c r="H29" s="188"/>
      <c r="I29" s="188"/>
      <c r="J29" s="188"/>
      <c r="K29" s="188"/>
      <c r="L29" s="189"/>
      <c r="M29" s="172" t="s">
        <v>124</v>
      </c>
      <c r="N29" s="167"/>
      <c r="O29" s="167"/>
      <c r="P29" s="172" t="s">
        <v>119</v>
      </c>
      <c r="Q29" s="167"/>
      <c r="R29" s="167"/>
      <c r="S29" s="172"/>
      <c r="T29" s="167"/>
      <c r="U29" s="167"/>
      <c r="V29" s="181" t="s">
        <v>236</v>
      </c>
      <c r="W29" s="182"/>
      <c r="X29" s="182"/>
      <c r="Y29" s="182"/>
      <c r="Z29" s="182"/>
      <c r="AA29" s="183"/>
      <c r="AB29" s="175"/>
      <c r="AC29" s="176"/>
      <c r="AD29" s="176"/>
      <c r="AE29" s="176"/>
      <c r="AF29" s="176"/>
      <c r="AG29" s="176"/>
      <c r="AH29" s="176"/>
      <c r="AI29" s="176"/>
      <c r="AJ29" s="176"/>
      <c r="AK29" s="176"/>
      <c r="AL29" s="176"/>
      <c r="AM29" s="176"/>
      <c r="AN29" s="176"/>
      <c r="AO29" s="176"/>
      <c r="AP29" s="176"/>
      <c r="AQ29" s="177"/>
      <c r="AR29" s="172"/>
      <c r="AS29" s="167"/>
      <c r="AT29" s="167"/>
      <c r="AU29" s="167"/>
      <c r="AV29" s="167"/>
      <c r="AW29" s="168"/>
      <c r="AX29" s="172" t="s">
        <v>285</v>
      </c>
      <c r="AY29" s="168"/>
      <c r="AZ29" s="172" t="s">
        <v>286</v>
      </c>
      <c r="BA29" s="168"/>
      <c r="BB29" s="181"/>
      <c r="BC29" s="182"/>
      <c r="BD29" s="182"/>
      <c r="BE29" s="182"/>
      <c r="BF29" s="182"/>
      <c r="BG29" s="182"/>
      <c r="BH29" s="182"/>
      <c r="BI29" s="182"/>
      <c r="BJ29" s="182"/>
      <c r="BK29" s="182"/>
      <c r="BL29" s="182"/>
      <c r="BM29" s="182"/>
      <c r="BN29" s="182"/>
      <c r="BO29" s="182"/>
      <c r="BP29" s="182"/>
      <c r="BQ29" s="182"/>
      <c r="BR29" s="182"/>
      <c r="BS29" s="182"/>
      <c r="BT29" s="202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19.5" customHeight="1" x14ac:dyDescent="0.45">
      <c r="A30" s="29"/>
      <c r="B30" s="44"/>
      <c r="C30"/>
      <c r="D30" s="37">
        <v>20</v>
      </c>
      <c r="E30" s="187" t="s">
        <v>113</v>
      </c>
      <c r="F30" s="188"/>
      <c r="G30" s="188"/>
      <c r="H30" s="188"/>
      <c r="I30" s="188"/>
      <c r="J30" s="188"/>
      <c r="K30" s="188"/>
      <c r="L30" s="189"/>
      <c r="M30" s="172" t="s">
        <v>125</v>
      </c>
      <c r="N30" s="167"/>
      <c r="O30" s="167"/>
      <c r="P30" s="172" t="s">
        <v>118</v>
      </c>
      <c r="Q30" s="167"/>
      <c r="R30" s="167"/>
      <c r="S30" s="172"/>
      <c r="T30" s="167"/>
      <c r="U30" s="167"/>
      <c r="V30" s="181" t="s">
        <v>237</v>
      </c>
      <c r="W30" s="182"/>
      <c r="X30" s="182"/>
      <c r="Y30" s="182"/>
      <c r="Z30" s="182"/>
      <c r="AA30" s="183"/>
      <c r="AB30" s="175"/>
      <c r="AC30" s="176"/>
      <c r="AD30" s="176"/>
      <c r="AE30" s="176"/>
      <c r="AF30" s="176"/>
      <c r="AG30" s="176"/>
      <c r="AH30" s="176"/>
      <c r="AI30" s="176"/>
      <c r="AJ30" s="176"/>
      <c r="AK30" s="176"/>
      <c r="AL30" s="176"/>
      <c r="AM30" s="176"/>
      <c r="AN30" s="176"/>
      <c r="AO30" s="176"/>
      <c r="AP30" s="176"/>
      <c r="AQ30" s="177"/>
      <c r="AR30" s="174">
        <v>99999</v>
      </c>
      <c r="AS30" s="167"/>
      <c r="AT30" s="167"/>
      <c r="AU30" s="167"/>
      <c r="AV30" s="167"/>
      <c r="AW30" s="168"/>
      <c r="AX30" s="172" t="s">
        <v>285</v>
      </c>
      <c r="AY30" s="168"/>
      <c r="AZ30" s="172" t="s">
        <v>285</v>
      </c>
      <c r="BA30" s="168"/>
      <c r="BB30" s="181"/>
      <c r="BC30" s="182"/>
      <c r="BD30" s="182"/>
      <c r="BE30" s="182"/>
      <c r="BF30" s="182"/>
      <c r="BG30" s="182"/>
      <c r="BH30" s="182"/>
      <c r="BI30" s="182"/>
      <c r="BJ30" s="182"/>
      <c r="BK30" s="182"/>
      <c r="BL30" s="182"/>
      <c r="BM30" s="182"/>
      <c r="BN30" s="182"/>
      <c r="BO30" s="182"/>
      <c r="BP30" s="182"/>
      <c r="BQ30" s="182"/>
      <c r="BR30" s="182"/>
      <c r="BS30" s="182"/>
      <c r="BT30" s="202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ht="19.5" customHeight="1" x14ac:dyDescent="0.45">
      <c r="A31" s="29"/>
      <c r="B31" s="44"/>
      <c r="C31" s="29"/>
      <c r="D31" s="37">
        <v>21</v>
      </c>
      <c r="E31" s="187" t="s">
        <v>114</v>
      </c>
      <c r="F31" s="188"/>
      <c r="G31" s="188"/>
      <c r="H31" s="188"/>
      <c r="I31" s="188"/>
      <c r="J31" s="188"/>
      <c r="K31" s="188"/>
      <c r="L31" s="189"/>
      <c r="M31" s="172" t="s">
        <v>125</v>
      </c>
      <c r="N31" s="167"/>
      <c r="O31" s="167"/>
      <c r="P31" s="172" t="s">
        <v>118</v>
      </c>
      <c r="Q31" s="167"/>
      <c r="R31" s="167"/>
      <c r="S31" s="172"/>
      <c r="T31" s="167"/>
      <c r="U31" s="167"/>
      <c r="V31" s="181" t="s">
        <v>238</v>
      </c>
      <c r="W31" s="182"/>
      <c r="X31" s="182"/>
      <c r="Y31" s="182"/>
      <c r="Z31" s="182"/>
      <c r="AA31" s="183"/>
      <c r="AB31" s="175"/>
      <c r="AC31" s="176"/>
      <c r="AD31" s="176"/>
      <c r="AE31" s="176"/>
      <c r="AF31" s="176"/>
      <c r="AG31" s="176"/>
      <c r="AH31" s="176"/>
      <c r="AI31" s="176"/>
      <c r="AJ31" s="176"/>
      <c r="AK31" s="176"/>
      <c r="AL31" s="176"/>
      <c r="AM31" s="176"/>
      <c r="AN31" s="176"/>
      <c r="AO31" s="176"/>
      <c r="AP31" s="176"/>
      <c r="AQ31" s="177"/>
      <c r="AR31" s="174">
        <v>99999</v>
      </c>
      <c r="AS31" s="167"/>
      <c r="AT31" s="167"/>
      <c r="AU31" s="167"/>
      <c r="AV31" s="167"/>
      <c r="AW31" s="168"/>
      <c r="AX31" s="172" t="s">
        <v>285</v>
      </c>
      <c r="AY31" s="168"/>
      <c r="AZ31" s="172" t="s">
        <v>285</v>
      </c>
      <c r="BA31" s="168"/>
      <c r="BB31" s="181"/>
      <c r="BC31" s="182"/>
      <c r="BD31" s="182"/>
      <c r="BE31" s="182"/>
      <c r="BF31" s="182"/>
      <c r="BG31" s="182"/>
      <c r="BH31" s="182"/>
      <c r="BI31" s="182"/>
      <c r="BJ31" s="182"/>
      <c r="BK31" s="182"/>
      <c r="BL31" s="182"/>
      <c r="BM31" s="182"/>
      <c r="BN31" s="182"/>
      <c r="BO31" s="182"/>
      <c r="BP31" s="182"/>
      <c r="BQ31" s="182"/>
      <c r="BR31" s="182"/>
      <c r="BS31" s="182"/>
      <c r="BT31" s="202"/>
      <c r="BU31" s="41"/>
      <c r="BV31" s="40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</row>
    <row r="32" spans="1:85" ht="19.5" customHeight="1" x14ac:dyDescent="0.45">
      <c r="A32" s="29"/>
      <c r="B32" s="44"/>
      <c r="C32" s="29"/>
      <c r="D32" s="37">
        <v>22</v>
      </c>
      <c r="E32" s="187" t="s">
        <v>115</v>
      </c>
      <c r="F32" s="188"/>
      <c r="G32" s="188"/>
      <c r="H32" s="188"/>
      <c r="I32" s="188"/>
      <c r="J32" s="188"/>
      <c r="K32" s="188"/>
      <c r="L32" s="189"/>
      <c r="M32" s="172" t="s">
        <v>38</v>
      </c>
      <c r="N32" s="167"/>
      <c r="O32" s="167"/>
      <c r="P32" s="172" t="s">
        <v>119</v>
      </c>
      <c r="Q32" s="167"/>
      <c r="R32" s="167"/>
      <c r="S32" s="172"/>
      <c r="T32" s="167"/>
      <c r="U32" s="167"/>
      <c r="V32" s="181" t="s">
        <v>239</v>
      </c>
      <c r="W32" s="182"/>
      <c r="X32" s="182"/>
      <c r="Y32" s="182"/>
      <c r="Z32" s="182"/>
      <c r="AA32" s="183"/>
      <c r="AB32" s="175"/>
      <c r="AC32" s="176"/>
      <c r="AD32" s="176"/>
      <c r="AE32" s="176"/>
      <c r="AF32" s="176"/>
      <c r="AG32" s="176"/>
      <c r="AH32" s="176"/>
      <c r="AI32" s="176"/>
      <c r="AJ32" s="176"/>
      <c r="AK32" s="176"/>
      <c r="AL32" s="176"/>
      <c r="AM32" s="176"/>
      <c r="AN32" s="176"/>
      <c r="AO32" s="176"/>
      <c r="AP32" s="176"/>
      <c r="AQ32" s="177"/>
      <c r="AR32" s="172"/>
      <c r="AS32" s="167"/>
      <c r="AT32" s="167"/>
      <c r="AU32" s="167"/>
      <c r="AV32" s="167"/>
      <c r="AW32" s="168"/>
      <c r="AX32" s="172" t="s">
        <v>285</v>
      </c>
      <c r="AY32" s="168"/>
      <c r="AZ32" s="172" t="s">
        <v>286</v>
      </c>
      <c r="BA32" s="168"/>
      <c r="BB32" s="181" t="s">
        <v>250</v>
      </c>
      <c r="BC32" s="182"/>
      <c r="BD32" s="182"/>
      <c r="BE32" s="182"/>
      <c r="BF32" s="182"/>
      <c r="BG32" s="182"/>
      <c r="BH32" s="182"/>
      <c r="BI32" s="182"/>
      <c r="BJ32" s="182"/>
      <c r="BK32" s="182"/>
      <c r="BL32" s="182"/>
      <c r="BM32" s="182"/>
      <c r="BN32" s="182"/>
      <c r="BO32" s="182"/>
      <c r="BP32" s="182"/>
      <c r="BQ32" s="182"/>
      <c r="BR32" s="182"/>
      <c r="BS32" s="182"/>
      <c r="BT32" s="202"/>
      <c r="BU32" s="41"/>
      <c r="BV32" s="40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</row>
    <row r="33" spans="1:85" ht="19.5" customHeight="1" x14ac:dyDescent="0.45">
      <c r="A33" s="29"/>
      <c r="B33" s="44"/>
      <c r="C33" s="29"/>
      <c r="D33" s="146">
        <v>23</v>
      </c>
      <c r="E33" s="199" t="s">
        <v>116</v>
      </c>
      <c r="F33" s="200"/>
      <c r="G33" s="200"/>
      <c r="H33" s="200"/>
      <c r="I33" s="200"/>
      <c r="J33" s="200"/>
      <c r="K33" s="200"/>
      <c r="L33" s="201"/>
      <c r="M33" s="193"/>
      <c r="N33" s="198"/>
      <c r="O33" s="198"/>
      <c r="P33" s="193"/>
      <c r="Q33" s="198"/>
      <c r="R33" s="198"/>
      <c r="S33" s="193"/>
      <c r="T33" s="198"/>
      <c r="U33" s="198"/>
      <c r="V33" s="195"/>
      <c r="W33" s="196"/>
      <c r="X33" s="196"/>
      <c r="Y33" s="196"/>
      <c r="Z33" s="196"/>
      <c r="AA33" s="197"/>
      <c r="AB33" s="195"/>
      <c r="AC33" s="196"/>
      <c r="AD33" s="196"/>
      <c r="AE33" s="196"/>
      <c r="AF33" s="196"/>
      <c r="AG33" s="196"/>
      <c r="AH33" s="196"/>
      <c r="AI33" s="196"/>
      <c r="AJ33" s="196"/>
      <c r="AK33" s="196"/>
      <c r="AL33" s="196"/>
      <c r="AM33" s="196"/>
      <c r="AN33" s="196"/>
      <c r="AO33" s="196"/>
      <c r="AP33" s="196"/>
      <c r="AQ33" s="197"/>
      <c r="AR33" s="193"/>
      <c r="AS33" s="198"/>
      <c r="AT33" s="198"/>
      <c r="AU33" s="198"/>
      <c r="AV33" s="198"/>
      <c r="AW33" s="194"/>
      <c r="AX33" s="193"/>
      <c r="AY33" s="194"/>
      <c r="AZ33" s="193"/>
      <c r="BA33" s="194"/>
      <c r="BB33" s="204" t="s">
        <v>298</v>
      </c>
      <c r="BC33" s="205"/>
      <c r="BD33" s="205"/>
      <c r="BE33" s="205"/>
      <c r="BF33" s="205"/>
      <c r="BG33" s="205"/>
      <c r="BH33" s="205"/>
      <c r="BI33" s="205"/>
      <c r="BJ33" s="205"/>
      <c r="BK33" s="205"/>
      <c r="BL33" s="205"/>
      <c r="BM33" s="205"/>
      <c r="BN33" s="205"/>
      <c r="BO33" s="205"/>
      <c r="BP33" s="205"/>
      <c r="BQ33" s="205"/>
      <c r="BR33" s="205"/>
      <c r="BS33" s="205"/>
      <c r="BT33" s="206"/>
      <c r="BU33" s="41"/>
      <c r="BV33" s="40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</row>
    <row r="34" spans="1:85" ht="19.5" customHeight="1" x14ac:dyDescent="0.45">
      <c r="A34" s="29"/>
      <c r="B34" s="44"/>
      <c r="C34" s="29"/>
      <c r="D34" s="37">
        <v>24</v>
      </c>
      <c r="E34" s="187" t="s">
        <v>117</v>
      </c>
      <c r="F34" s="188"/>
      <c r="G34" s="188"/>
      <c r="H34" s="188"/>
      <c r="I34" s="188"/>
      <c r="J34" s="188"/>
      <c r="K34" s="188"/>
      <c r="L34" s="189"/>
      <c r="M34" s="172" t="s">
        <v>38</v>
      </c>
      <c r="N34" s="167"/>
      <c r="O34" s="167"/>
      <c r="P34" s="172" t="s">
        <v>119</v>
      </c>
      <c r="Q34" s="167"/>
      <c r="R34" s="167"/>
      <c r="S34" s="172"/>
      <c r="T34" s="167"/>
      <c r="U34" s="167"/>
      <c r="V34" s="181" t="s">
        <v>240</v>
      </c>
      <c r="W34" s="182"/>
      <c r="X34" s="182"/>
      <c r="Y34" s="182"/>
      <c r="Z34" s="182"/>
      <c r="AA34" s="183"/>
      <c r="AB34" s="175"/>
      <c r="AC34" s="176"/>
      <c r="AD34" s="176"/>
      <c r="AE34" s="176"/>
      <c r="AF34" s="176"/>
      <c r="AG34" s="176"/>
      <c r="AH34" s="176"/>
      <c r="AI34" s="176"/>
      <c r="AJ34" s="176"/>
      <c r="AK34" s="176"/>
      <c r="AL34" s="176"/>
      <c r="AM34" s="176"/>
      <c r="AN34" s="176"/>
      <c r="AO34" s="176"/>
      <c r="AP34" s="176"/>
      <c r="AQ34" s="177"/>
      <c r="AR34" s="172"/>
      <c r="AS34" s="167"/>
      <c r="AT34" s="167"/>
      <c r="AU34" s="167"/>
      <c r="AV34" s="167"/>
      <c r="AW34" s="168"/>
      <c r="AX34" s="172" t="s">
        <v>285</v>
      </c>
      <c r="AY34" s="168"/>
      <c r="AZ34" s="172" t="s">
        <v>286</v>
      </c>
      <c r="BA34" s="168"/>
      <c r="BB34" s="181"/>
      <c r="BC34" s="182"/>
      <c r="BD34" s="182"/>
      <c r="BE34" s="182"/>
      <c r="BF34" s="182"/>
      <c r="BG34" s="182"/>
      <c r="BH34" s="182"/>
      <c r="BI34" s="182"/>
      <c r="BJ34" s="182"/>
      <c r="BK34" s="182"/>
      <c r="BL34" s="182"/>
      <c r="BM34" s="182"/>
      <c r="BN34" s="182"/>
      <c r="BO34" s="182"/>
      <c r="BP34" s="182"/>
      <c r="BQ34" s="182"/>
      <c r="BR34" s="182"/>
      <c r="BS34" s="182"/>
      <c r="BT34" s="202"/>
      <c r="BU34" s="41"/>
      <c r="BV34" s="40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</row>
    <row r="35" spans="1:85" ht="19.5" customHeight="1" x14ac:dyDescent="0.45">
      <c r="A35" s="29"/>
      <c r="B35" s="44"/>
      <c r="C35" s="29"/>
      <c r="D35" s="37">
        <v>25</v>
      </c>
      <c r="E35" s="187" t="s">
        <v>120</v>
      </c>
      <c r="F35" s="188"/>
      <c r="G35" s="188"/>
      <c r="H35" s="188"/>
      <c r="I35" s="188"/>
      <c r="J35" s="188"/>
      <c r="K35" s="188"/>
      <c r="L35" s="189"/>
      <c r="M35" s="172" t="s">
        <v>125</v>
      </c>
      <c r="N35" s="167"/>
      <c r="O35" s="167"/>
      <c r="P35" s="172" t="s">
        <v>118</v>
      </c>
      <c r="Q35" s="167"/>
      <c r="R35" s="167"/>
      <c r="S35" s="172"/>
      <c r="T35" s="167"/>
      <c r="U35" s="167"/>
      <c r="V35" s="184" t="s">
        <v>282</v>
      </c>
      <c r="W35" s="185"/>
      <c r="X35" s="185"/>
      <c r="Y35" s="185"/>
      <c r="Z35" s="185"/>
      <c r="AA35" s="186"/>
      <c r="AB35" s="175" t="s">
        <v>279</v>
      </c>
      <c r="AC35" s="176"/>
      <c r="AD35" s="176"/>
      <c r="AE35" s="176"/>
      <c r="AF35" s="176"/>
      <c r="AG35" s="176"/>
      <c r="AH35" s="176"/>
      <c r="AI35" s="176"/>
      <c r="AJ35" s="176"/>
      <c r="AK35" s="176"/>
      <c r="AL35" s="176"/>
      <c r="AM35" s="176"/>
      <c r="AN35" s="176"/>
      <c r="AO35" s="176"/>
      <c r="AP35" s="176"/>
      <c r="AQ35" s="177"/>
      <c r="AR35" s="174">
        <v>99999</v>
      </c>
      <c r="AS35" s="167"/>
      <c r="AT35" s="167"/>
      <c r="AU35" s="167"/>
      <c r="AV35" s="167"/>
      <c r="AW35" s="168"/>
      <c r="AX35" s="172" t="s">
        <v>286</v>
      </c>
      <c r="AY35" s="168"/>
      <c r="AZ35" s="172" t="s">
        <v>285</v>
      </c>
      <c r="BA35" s="168"/>
      <c r="BB35" s="181"/>
      <c r="BC35" s="182"/>
      <c r="BD35" s="182"/>
      <c r="BE35" s="182"/>
      <c r="BF35" s="182"/>
      <c r="BG35" s="182"/>
      <c r="BH35" s="182"/>
      <c r="BI35" s="182"/>
      <c r="BJ35" s="182"/>
      <c r="BK35" s="182"/>
      <c r="BL35" s="182"/>
      <c r="BM35" s="182"/>
      <c r="BN35" s="182"/>
      <c r="BO35" s="182"/>
      <c r="BP35" s="182"/>
      <c r="BQ35" s="182"/>
      <c r="BR35" s="182"/>
      <c r="BS35" s="182"/>
      <c r="BT35" s="202"/>
      <c r="BU35" s="41"/>
      <c r="BV35" s="40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</row>
    <row r="36" spans="1:85" ht="19.5" customHeight="1" x14ac:dyDescent="0.45">
      <c r="A36" s="29"/>
      <c r="B36" s="44"/>
      <c r="C36" s="29"/>
      <c r="D36" s="37">
        <v>26</v>
      </c>
      <c r="E36" s="187" t="s">
        <v>121</v>
      </c>
      <c r="F36" s="188"/>
      <c r="G36" s="188"/>
      <c r="H36" s="188"/>
      <c r="I36" s="188"/>
      <c r="J36" s="188"/>
      <c r="K36" s="188"/>
      <c r="L36" s="189"/>
      <c r="M36" s="172" t="s">
        <v>38</v>
      </c>
      <c r="N36" s="167"/>
      <c r="O36" s="167"/>
      <c r="P36" s="172" t="s">
        <v>123</v>
      </c>
      <c r="Q36" s="167"/>
      <c r="R36" s="167"/>
      <c r="S36" s="172"/>
      <c r="T36" s="167"/>
      <c r="U36" s="167"/>
      <c r="V36" s="181" t="s">
        <v>264</v>
      </c>
      <c r="W36" s="182"/>
      <c r="X36" s="182"/>
      <c r="Y36" s="182"/>
      <c r="Z36" s="182"/>
      <c r="AA36" s="183"/>
      <c r="AB36" s="175"/>
      <c r="AC36" s="176"/>
      <c r="AD36" s="176"/>
      <c r="AE36" s="176"/>
      <c r="AF36" s="176"/>
      <c r="AG36" s="176"/>
      <c r="AH36" s="176"/>
      <c r="AI36" s="176"/>
      <c r="AJ36" s="176"/>
      <c r="AK36" s="176"/>
      <c r="AL36" s="176"/>
      <c r="AM36" s="176"/>
      <c r="AN36" s="176"/>
      <c r="AO36" s="176"/>
      <c r="AP36" s="176"/>
      <c r="AQ36" s="177"/>
      <c r="AR36" s="172"/>
      <c r="AS36" s="167"/>
      <c r="AT36" s="167"/>
      <c r="AU36" s="167"/>
      <c r="AV36" s="167"/>
      <c r="AW36" s="168"/>
      <c r="AX36" s="172"/>
      <c r="AY36" s="168"/>
      <c r="AZ36" s="172"/>
      <c r="BA36" s="168"/>
      <c r="BB36" s="181"/>
      <c r="BC36" s="182"/>
      <c r="BD36" s="182"/>
      <c r="BE36" s="182"/>
      <c r="BF36" s="182"/>
      <c r="BG36" s="182"/>
      <c r="BH36" s="182"/>
      <c r="BI36" s="182"/>
      <c r="BJ36" s="182"/>
      <c r="BK36" s="182"/>
      <c r="BL36" s="182"/>
      <c r="BM36" s="182"/>
      <c r="BN36" s="182"/>
      <c r="BO36" s="182"/>
      <c r="BP36" s="182"/>
      <c r="BQ36" s="182"/>
      <c r="BR36" s="182"/>
      <c r="BS36" s="182"/>
      <c r="BT36" s="202"/>
      <c r="BU36" s="41"/>
      <c r="BV36" s="40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</row>
    <row r="37" spans="1:85" ht="19.5" customHeight="1" x14ac:dyDescent="0.45">
      <c r="A37" s="29"/>
      <c r="B37" s="44"/>
      <c r="C37" s="29"/>
      <c r="D37" s="37">
        <v>27</v>
      </c>
      <c r="E37" s="187" t="s">
        <v>122</v>
      </c>
      <c r="F37" s="188"/>
      <c r="G37" s="188"/>
      <c r="H37" s="188"/>
      <c r="I37" s="188"/>
      <c r="J37" s="188"/>
      <c r="K37" s="188"/>
      <c r="L37" s="189"/>
      <c r="M37" s="172" t="s">
        <v>125</v>
      </c>
      <c r="N37" s="167"/>
      <c r="O37" s="167"/>
      <c r="P37" s="172" t="s">
        <v>118</v>
      </c>
      <c r="Q37" s="167"/>
      <c r="R37" s="167"/>
      <c r="S37" s="172"/>
      <c r="T37" s="167"/>
      <c r="U37" s="167"/>
      <c r="V37" s="181" t="s">
        <v>282</v>
      </c>
      <c r="W37" s="182"/>
      <c r="X37" s="182"/>
      <c r="Y37" s="182"/>
      <c r="Z37" s="182"/>
      <c r="AA37" s="183"/>
      <c r="AB37" s="175" t="s">
        <v>280</v>
      </c>
      <c r="AC37" s="176"/>
      <c r="AD37" s="176"/>
      <c r="AE37" s="176"/>
      <c r="AF37" s="176"/>
      <c r="AG37" s="176"/>
      <c r="AH37" s="176"/>
      <c r="AI37" s="176"/>
      <c r="AJ37" s="176"/>
      <c r="AK37" s="176"/>
      <c r="AL37" s="176"/>
      <c r="AM37" s="176"/>
      <c r="AN37" s="176"/>
      <c r="AO37" s="176"/>
      <c r="AP37" s="176"/>
      <c r="AQ37" s="177"/>
      <c r="AR37" s="174">
        <v>99999</v>
      </c>
      <c r="AS37" s="167"/>
      <c r="AT37" s="167"/>
      <c r="AU37" s="167"/>
      <c r="AV37" s="167"/>
      <c r="AW37" s="168"/>
      <c r="AX37" s="172"/>
      <c r="AY37" s="168"/>
      <c r="AZ37" s="172"/>
      <c r="BA37" s="168"/>
      <c r="BB37" s="181"/>
      <c r="BC37" s="182"/>
      <c r="BD37" s="182"/>
      <c r="BE37" s="182"/>
      <c r="BF37" s="182"/>
      <c r="BG37" s="182"/>
      <c r="BH37" s="182"/>
      <c r="BI37" s="182"/>
      <c r="BJ37" s="182"/>
      <c r="BK37" s="182"/>
      <c r="BL37" s="182"/>
      <c r="BM37" s="182"/>
      <c r="BN37" s="182"/>
      <c r="BO37" s="182"/>
      <c r="BP37" s="182"/>
      <c r="BQ37" s="182"/>
      <c r="BR37" s="182"/>
      <c r="BS37" s="182"/>
      <c r="BT37" s="202"/>
      <c r="BU37" s="41"/>
      <c r="BV37" s="40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</row>
    <row r="38" spans="1:85" ht="19.5" customHeight="1" thickBot="1" x14ac:dyDescent="0.5">
      <c r="A38" s="29"/>
      <c r="B38" s="44"/>
      <c r="C38" s="29"/>
      <c r="D38" s="37">
        <v>28</v>
      </c>
      <c r="E38" s="187" t="s">
        <v>126</v>
      </c>
      <c r="F38" s="188"/>
      <c r="G38" s="188"/>
      <c r="H38" s="188"/>
      <c r="I38" s="188"/>
      <c r="J38" s="188"/>
      <c r="K38" s="188"/>
      <c r="L38" s="189"/>
      <c r="M38" s="172" t="s">
        <v>125</v>
      </c>
      <c r="N38" s="167"/>
      <c r="O38" s="167"/>
      <c r="P38" s="172" t="s">
        <v>118</v>
      </c>
      <c r="Q38" s="167"/>
      <c r="R38" s="167"/>
      <c r="S38" s="172"/>
      <c r="T38" s="167"/>
      <c r="U38" s="167"/>
      <c r="V38" s="181" t="s">
        <v>282</v>
      </c>
      <c r="W38" s="182"/>
      <c r="X38" s="182"/>
      <c r="Y38" s="182"/>
      <c r="Z38" s="182"/>
      <c r="AA38" s="183"/>
      <c r="AB38" s="175" t="s">
        <v>281</v>
      </c>
      <c r="AC38" s="176"/>
      <c r="AD38" s="176"/>
      <c r="AE38" s="176"/>
      <c r="AF38" s="176"/>
      <c r="AG38" s="176"/>
      <c r="AH38" s="176"/>
      <c r="AI38" s="176"/>
      <c r="AJ38" s="176"/>
      <c r="AK38" s="176"/>
      <c r="AL38" s="176"/>
      <c r="AM38" s="176"/>
      <c r="AN38" s="176"/>
      <c r="AO38" s="176"/>
      <c r="AP38" s="176"/>
      <c r="AQ38" s="177"/>
      <c r="AR38" s="174">
        <v>99999</v>
      </c>
      <c r="AS38" s="167"/>
      <c r="AT38" s="167"/>
      <c r="AU38" s="167"/>
      <c r="AV38" s="167"/>
      <c r="AW38" s="168"/>
      <c r="AX38" s="172"/>
      <c r="AY38" s="168"/>
      <c r="AZ38" s="172"/>
      <c r="BA38" s="168"/>
      <c r="BB38" s="181"/>
      <c r="BC38" s="182"/>
      <c r="BD38" s="182"/>
      <c r="BE38" s="182"/>
      <c r="BF38" s="182"/>
      <c r="BG38" s="182"/>
      <c r="BH38" s="182"/>
      <c r="BI38" s="182"/>
      <c r="BJ38" s="182"/>
      <c r="BK38" s="182"/>
      <c r="BL38" s="182"/>
      <c r="BM38" s="182"/>
      <c r="BN38" s="182"/>
      <c r="BO38" s="182"/>
      <c r="BP38" s="182"/>
      <c r="BQ38" s="182"/>
      <c r="BR38" s="182"/>
      <c r="BS38" s="182"/>
      <c r="BT38" s="202"/>
      <c r="BU38" s="41"/>
      <c r="BV38" s="40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</row>
    <row r="39" spans="1:85" ht="20.100000000000001" customHeight="1" thickTop="1" thickBot="1" x14ac:dyDescent="0.5">
      <c r="A39" s="29"/>
      <c r="B39" s="40"/>
      <c r="C39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46"/>
      <c r="BR39" s="46"/>
      <c r="BS39" s="46"/>
      <c r="BT39" s="46"/>
      <c r="BU39" s="28"/>
    </row>
    <row r="40" spans="1:85" ht="20.100000000000001" customHeight="1" thickTop="1" x14ac:dyDescent="0.45">
      <c r="A40" s="29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33"/>
      <c r="BD40" s="33"/>
      <c r="BE40" s="33"/>
      <c r="BF40" s="33"/>
      <c r="BG40" s="33"/>
      <c r="BH40" s="33"/>
      <c r="BI40" s="42"/>
      <c r="BJ40" s="42"/>
      <c r="BK40" s="42"/>
      <c r="BL40" s="42"/>
      <c r="BM40" s="42"/>
      <c r="BN40" s="42"/>
      <c r="BO40" s="42"/>
      <c r="BP40" s="41"/>
    </row>
    <row r="41" spans="1:85" ht="20.100000000000001" customHeight="1" x14ac:dyDescent="0.45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</row>
    <row r="42" spans="1:85" ht="20.100000000000001" customHeight="1" x14ac:dyDescent="0.45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31"/>
      <c r="BH42" s="31"/>
      <c r="BI42" s="31"/>
      <c r="BJ42" s="31"/>
      <c r="BK42" s="31"/>
      <c r="BL42" s="31"/>
      <c r="BM42" s="31"/>
      <c r="BN42" s="31"/>
      <c r="BO42" s="31"/>
      <c r="BP42" s="31"/>
    </row>
    <row r="43" spans="1:85" ht="20.100000000000001" customHeight="1" x14ac:dyDescent="0.4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31"/>
      <c r="BH43" s="31"/>
      <c r="BI43" s="31"/>
      <c r="BJ43" s="31"/>
      <c r="BK43" s="31"/>
      <c r="BL43" s="31"/>
      <c r="BM43" s="31"/>
      <c r="BN43" s="31"/>
      <c r="BO43" s="31"/>
      <c r="BP43" s="31"/>
    </row>
    <row r="44" spans="1:85" ht="20.100000000000001" customHeight="1" x14ac:dyDescent="0.45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31"/>
      <c r="BH44" s="31"/>
      <c r="BI44" s="31"/>
      <c r="BJ44" s="31"/>
      <c r="BK44" s="31"/>
      <c r="BL44" s="31"/>
      <c r="BM44" s="31"/>
      <c r="BN44" s="31"/>
      <c r="BO44" s="31"/>
      <c r="BP44" s="31"/>
    </row>
    <row r="45" spans="1:85" ht="20.100000000000001" customHeight="1" x14ac:dyDescent="0.45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31"/>
      <c r="BH45" s="31"/>
      <c r="BI45" s="31"/>
      <c r="BJ45" s="31"/>
      <c r="BK45" s="31"/>
      <c r="BL45" s="31"/>
      <c r="BM45" s="31"/>
      <c r="BN45" s="31"/>
      <c r="BO45" s="31"/>
      <c r="BP45" s="31"/>
    </row>
    <row r="46" spans="1:85" ht="20.100000000000001" customHeight="1" x14ac:dyDescent="0.4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31"/>
      <c r="BH46" s="31"/>
      <c r="BI46" s="31"/>
      <c r="BJ46" s="31"/>
      <c r="BK46" s="31"/>
      <c r="BL46" s="31"/>
      <c r="BM46" s="31"/>
      <c r="BN46" s="31"/>
      <c r="BO46" s="31"/>
      <c r="BP46" s="31"/>
    </row>
    <row r="47" spans="1:85" ht="20.100000000000001" customHeight="1" x14ac:dyDescent="0.45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31"/>
      <c r="BH47" s="31"/>
      <c r="BI47" s="31"/>
      <c r="BJ47" s="31"/>
      <c r="BK47" s="31"/>
      <c r="BL47" s="31"/>
      <c r="BM47" s="31"/>
      <c r="BN47" s="31"/>
      <c r="BO47" s="31"/>
      <c r="BP47" s="31"/>
    </row>
    <row r="48" spans="1:85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31"/>
      <c r="BH48" s="31"/>
      <c r="BI48" s="31"/>
      <c r="BJ48" s="31"/>
      <c r="BK48" s="31"/>
      <c r="BL48" s="31"/>
      <c r="BM48" s="31"/>
      <c r="BN48" s="31"/>
      <c r="BO48" s="31"/>
      <c r="BP48" s="31"/>
    </row>
    <row r="49" spans="1:68" ht="20.100000000000001" customHeight="1" x14ac:dyDescent="0.45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31"/>
      <c r="BH49" s="31"/>
      <c r="BI49" s="31"/>
      <c r="BJ49" s="31"/>
      <c r="BK49" s="31"/>
      <c r="BL49" s="31"/>
      <c r="BM49" s="31"/>
      <c r="BN49" s="31"/>
      <c r="BO49" s="31"/>
      <c r="BP49" s="31"/>
    </row>
    <row r="50" spans="1:68" ht="20.100000000000001" customHeight="1" x14ac:dyDescent="0.45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31"/>
      <c r="BH50" s="31"/>
      <c r="BI50" s="31"/>
      <c r="BJ50" s="31"/>
      <c r="BK50" s="31"/>
      <c r="BL50" s="31"/>
      <c r="BM50" s="31"/>
      <c r="BN50" s="31"/>
      <c r="BO50" s="31"/>
      <c r="BP50" s="31"/>
    </row>
    <row r="51" spans="1:68" ht="20.100000000000001" customHeight="1" x14ac:dyDescent="0.45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31"/>
      <c r="BH51" s="31"/>
      <c r="BI51" s="31"/>
      <c r="BJ51" s="31"/>
      <c r="BK51" s="31"/>
      <c r="BL51" s="31"/>
      <c r="BM51" s="31"/>
      <c r="BN51" s="31"/>
      <c r="BO51" s="31"/>
      <c r="BP51" s="31"/>
    </row>
    <row r="52" spans="1:68" ht="20.100000000000001" customHeight="1" x14ac:dyDescent="0.45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</row>
    <row r="53" spans="1:68" ht="20.100000000000001" customHeight="1" x14ac:dyDescent="0.45">
      <c r="B53" s="3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</row>
    <row r="54" spans="1:68" ht="20.100000000000001" customHeight="1" x14ac:dyDescent="0.45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31"/>
      <c r="BP54" s="31"/>
    </row>
    <row r="55" spans="1:68" ht="20.100000000000001" customHeight="1" x14ac:dyDescent="0.45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31"/>
      <c r="BP55" s="31"/>
    </row>
    <row r="56" spans="1:68" ht="20.100000000000001" customHeight="1" x14ac:dyDescent="0.45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31"/>
      <c r="BP56" s="31"/>
    </row>
    <row r="57" spans="1:68" ht="20.100000000000001" customHeight="1" x14ac:dyDescent="0.45">
      <c r="A57" s="29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/>
      <c r="BM57" s="41"/>
      <c r="BN57" s="41"/>
      <c r="BO57" s="31"/>
      <c r="BP57" s="31"/>
    </row>
    <row r="58" spans="1:68" ht="20.100000000000001" customHeight="1" x14ac:dyDescent="0.45">
      <c r="A58" s="29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31"/>
      <c r="BP58" s="31"/>
    </row>
    <row r="59" spans="1:68" ht="20.100000000000001" customHeight="1" x14ac:dyDescent="0.45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</row>
    <row r="60" spans="1:68" ht="20.100000000000001" customHeight="1" x14ac:dyDescent="0.45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</row>
    <row r="61" spans="1:68" ht="20.100000000000001" customHeight="1" x14ac:dyDescent="0.45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</row>
  </sheetData>
  <mergeCells count="310">
    <mergeCell ref="BB26:BT26"/>
    <mergeCell ref="BB27:BT27"/>
    <mergeCell ref="BB28:BT28"/>
    <mergeCell ref="BB29:BT29"/>
    <mergeCell ref="BB30:BT30"/>
    <mergeCell ref="BB31:BT31"/>
    <mergeCell ref="BB32:BT32"/>
    <mergeCell ref="BB33:BT33"/>
    <mergeCell ref="BB34:BT34"/>
    <mergeCell ref="BB17:BS17"/>
    <mergeCell ref="BB18:BT18"/>
    <mergeCell ref="BB19:BT19"/>
    <mergeCell ref="BB20:BT20"/>
    <mergeCell ref="BB21:BT21"/>
    <mergeCell ref="BB22:BT22"/>
    <mergeCell ref="BB23:BT23"/>
    <mergeCell ref="BB24:BT24"/>
    <mergeCell ref="BB25:BT25"/>
    <mergeCell ref="AZ21:BA21"/>
    <mergeCell ref="AZ20:BA20"/>
    <mergeCell ref="AZ19:BA19"/>
    <mergeCell ref="AZ18:BA18"/>
    <mergeCell ref="AZ17:BA17"/>
    <mergeCell ref="AZ16:BA16"/>
    <mergeCell ref="AZ15:BA15"/>
    <mergeCell ref="AZ14:BA14"/>
    <mergeCell ref="AZ13:BA13"/>
    <mergeCell ref="AZ30:BA30"/>
    <mergeCell ref="AZ29:BA29"/>
    <mergeCell ref="AZ28:BA28"/>
    <mergeCell ref="AZ27:BA27"/>
    <mergeCell ref="AZ26:BA26"/>
    <mergeCell ref="AZ25:BA25"/>
    <mergeCell ref="AZ24:BA24"/>
    <mergeCell ref="AZ23:BA23"/>
    <mergeCell ref="AZ22:BA22"/>
    <mergeCell ref="AX27:AY27"/>
    <mergeCell ref="AX28:AY28"/>
    <mergeCell ref="AX29:AY29"/>
    <mergeCell ref="AX30:AY30"/>
    <mergeCell ref="AX31:AY31"/>
    <mergeCell ref="AX32:AY32"/>
    <mergeCell ref="AX33:AY33"/>
    <mergeCell ref="AX34:AY34"/>
    <mergeCell ref="AX35:AY35"/>
    <mergeCell ref="BB10:BT10"/>
    <mergeCell ref="AX10:AY10"/>
    <mergeCell ref="AZ10:BA10"/>
    <mergeCell ref="AX14:AY14"/>
    <mergeCell ref="AX13:AY13"/>
    <mergeCell ref="AX12:AY12"/>
    <mergeCell ref="AX11:AY11"/>
    <mergeCell ref="AX15:AY15"/>
    <mergeCell ref="AX16:AY16"/>
    <mergeCell ref="AZ12:BA12"/>
    <mergeCell ref="AZ11:BA11"/>
    <mergeCell ref="BB11:BT11"/>
    <mergeCell ref="BB12:BT12"/>
    <mergeCell ref="BB13:BT13"/>
    <mergeCell ref="BB14:BT14"/>
    <mergeCell ref="BB15:BT15"/>
    <mergeCell ref="BB16:BT16"/>
    <mergeCell ref="E38:L38"/>
    <mergeCell ref="M38:O38"/>
    <mergeCell ref="P38:R38"/>
    <mergeCell ref="S38:U38"/>
    <mergeCell ref="V38:AA38"/>
    <mergeCell ref="AB38:AQ38"/>
    <mergeCell ref="AR38:AW38"/>
    <mergeCell ref="E37:L37"/>
    <mergeCell ref="M37:O37"/>
    <mergeCell ref="AX37:AY37"/>
    <mergeCell ref="AX38:AY38"/>
    <mergeCell ref="AZ38:BA38"/>
    <mergeCell ref="AZ37:BA37"/>
    <mergeCell ref="BB37:BT37"/>
    <mergeCell ref="BB38:BT38"/>
    <mergeCell ref="P35:R35"/>
    <mergeCell ref="S35:U35"/>
    <mergeCell ref="V35:AA35"/>
    <mergeCell ref="AB35:AQ35"/>
    <mergeCell ref="AR35:AW35"/>
    <mergeCell ref="AX36:AY36"/>
    <mergeCell ref="AZ36:BA36"/>
    <mergeCell ref="AZ35:BA35"/>
    <mergeCell ref="BB35:BT35"/>
    <mergeCell ref="BB36:BT36"/>
    <mergeCell ref="P37:R37"/>
    <mergeCell ref="S37:U37"/>
    <mergeCell ref="V37:AA37"/>
    <mergeCell ref="AB37:AQ37"/>
    <mergeCell ref="AR37:AW37"/>
    <mergeCell ref="S34:U34"/>
    <mergeCell ref="V34:AA34"/>
    <mergeCell ref="AB34:AQ34"/>
    <mergeCell ref="AR34:AW34"/>
    <mergeCell ref="E33:L33"/>
    <mergeCell ref="M33:O33"/>
    <mergeCell ref="P33:R33"/>
    <mergeCell ref="S33:U33"/>
    <mergeCell ref="E36:L36"/>
    <mergeCell ref="M36:O36"/>
    <mergeCell ref="P36:R36"/>
    <mergeCell ref="S36:U36"/>
    <mergeCell ref="V36:AA36"/>
    <mergeCell ref="AB36:AQ36"/>
    <mergeCell ref="AR36:AW36"/>
    <mergeCell ref="E35:L35"/>
    <mergeCell ref="M35:O35"/>
    <mergeCell ref="AZ34:BA34"/>
    <mergeCell ref="AZ33:BA33"/>
    <mergeCell ref="V31:AA31"/>
    <mergeCell ref="AB31:AQ31"/>
    <mergeCell ref="AR31:AW31"/>
    <mergeCell ref="E32:L32"/>
    <mergeCell ref="M32:O32"/>
    <mergeCell ref="P32:R32"/>
    <mergeCell ref="S32:U32"/>
    <mergeCell ref="V32:AA32"/>
    <mergeCell ref="AB32:AQ32"/>
    <mergeCell ref="AR32:AW32"/>
    <mergeCell ref="E31:L31"/>
    <mergeCell ref="M31:O31"/>
    <mergeCell ref="P31:R31"/>
    <mergeCell ref="S31:U31"/>
    <mergeCell ref="AZ32:BA32"/>
    <mergeCell ref="AZ31:BA31"/>
    <mergeCell ref="V33:AA33"/>
    <mergeCell ref="AB33:AQ33"/>
    <mergeCell ref="AR33:AW33"/>
    <mergeCell ref="E34:L34"/>
    <mergeCell ref="M34:O34"/>
    <mergeCell ref="P34:R34"/>
    <mergeCell ref="M27:O27"/>
    <mergeCell ref="M28:O28"/>
    <mergeCell ref="M29:O29"/>
    <mergeCell ref="M30:O30"/>
    <mergeCell ref="E24:L24"/>
    <mergeCell ref="E27:L27"/>
    <mergeCell ref="E28:L28"/>
    <mergeCell ref="E29:L29"/>
    <mergeCell ref="E30:L30"/>
    <mergeCell ref="E26:L26"/>
    <mergeCell ref="E25:L25"/>
    <mergeCell ref="M25:O25"/>
    <mergeCell ref="M26:O26"/>
    <mergeCell ref="M24:O24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R3:W4"/>
    <mergeCell ref="P10:R10"/>
    <mergeCell ref="P11:R11"/>
    <mergeCell ref="P12:R12"/>
    <mergeCell ref="P13:R13"/>
    <mergeCell ref="E21:L21"/>
    <mergeCell ref="E22:L22"/>
    <mergeCell ref="E23:L23"/>
    <mergeCell ref="E14:L14"/>
    <mergeCell ref="E15:L15"/>
    <mergeCell ref="M10:O10"/>
    <mergeCell ref="M11:O11"/>
    <mergeCell ref="M12:O12"/>
    <mergeCell ref="M13:O13"/>
    <mergeCell ref="M14:O14"/>
    <mergeCell ref="M20:O20"/>
    <mergeCell ref="E19:L19"/>
    <mergeCell ref="E20:L20"/>
    <mergeCell ref="M15:O15"/>
    <mergeCell ref="M17:O17"/>
    <mergeCell ref="M18:O18"/>
    <mergeCell ref="M19:O19"/>
    <mergeCell ref="E17:L17"/>
    <mergeCell ref="E18:L18"/>
    <mergeCell ref="E16:L16"/>
    <mergeCell ref="M21:O21"/>
    <mergeCell ref="M22:O22"/>
    <mergeCell ref="M23:O23"/>
    <mergeCell ref="P14:R14"/>
    <mergeCell ref="P15:R15"/>
    <mergeCell ref="P17:R17"/>
    <mergeCell ref="P18:R18"/>
    <mergeCell ref="P19:R19"/>
    <mergeCell ref="M16:O16"/>
    <mergeCell ref="V16:AA16"/>
    <mergeCell ref="P23:R23"/>
    <mergeCell ref="P24:R24"/>
    <mergeCell ref="V24:AA24"/>
    <mergeCell ref="V20:AA20"/>
    <mergeCell ref="V21:AA21"/>
    <mergeCell ref="V22:AA22"/>
    <mergeCell ref="V23:AA23"/>
    <mergeCell ref="P21:R21"/>
    <mergeCell ref="P22:R22"/>
    <mergeCell ref="X2:AJ2"/>
    <mergeCell ref="X3:AJ4"/>
    <mergeCell ref="P30:R30"/>
    <mergeCell ref="S11:U11"/>
    <mergeCell ref="S12:U12"/>
    <mergeCell ref="S13:U13"/>
    <mergeCell ref="S14:U14"/>
    <mergeCell ref="S15:U15"/>
    <mergeCell ref="S17:U17"/>
    <mergeCell ref="S18:U18"/>
    <mergeCell ref="S19:U19"/>
    <mergeCell ref="S20:U20"/>
    <mergeCell ref="S21:U21"/>
    <mergeCell ref="S22:U22"/>
    <mergeCell ref="S23:U23"/>
    <mergeCell ref="S24:U24"/>
    <mergeCell ref="P25:R25"/>
    <mergeCell ref="P26:R26"/>
    <mergeCell ref="P27:R27"/>
    <mergeCell ref="P28:R28"/>
    <mergeCell ref="P29:R29"/>
    <mergeCell ref="P16:R16"/>
    <mergeCell ref="S16:U16"/>
    <mergeCell ref="P20:R20"/>
    <mergeCell ref="V30:AA30"/>
    <mergeCell ref="S10:U10"/>
    <mergeCell ref="S25:U25"/>
    <mergeCell ref="S26:U26"/>
    <mergeCell ref="S27:U27"/>
    <mergeCell ref="S28:U28"/>
    <mergeCell ref="S29:U29"/>
    <mergeCell ref="S30:U30"/>
    <mergeCell ref="V10:AA10"/>
    <mergeCell ref="V11:AA11"/>
    <mergeCell ref="V12:AA12"/>
    <mergeCell ref="V13:AA13"/>
    <mergeCell ref="V14:AA14"/>
    <mergeCell ref="V15:AA15"/>
    <mergeCell ref="V17:AA17"/>
    <mergeCell ref="V18:AA18"/>
    <mergeCell ref="V19:AA19"/>
    <mergeCell ref="V25:AA25"/>
    <mergeCell ref="V26:AA26"/>
    <mergeCell ref="V27:AA27"/>
    <mergeCell ref="V28:AA28"/>
    <mergeCell ref="V29:AA29"/>
    <mergeCell ref="AX17:AY17"/>
    <mergeCell ref="AX18:AY18"/>
    <mergeCell ref="AX19:AY19"/>
    <mergeCell ref="AX20:AY20"/>
    <mergeCell ref="AX21:AY21"/>
    <mergeCell ref="AX22:AY22"/>
    <mergeCell ref="AX23:AY23"/>
    <mergeCell ref="AX24:AY24"/>
    <mergeCell ref="AX25:AY25"/>
    <mergeCell ref="AX26:AY26"/>
    <mergeCell ref="AB30:AQ30"/>
    <mergeCell ref="AB25:AQ25"/>
    <mergeCell ref="AB26:AQ26"/>
    <mergeCell ref="AB27:AQ27"/>
    <mergeCell ref="AB28:AQ28"/>
    <mergeCell ref="AB29:AQ29"/>
    <mergeCell ref="AB10:AQ10"/>
    <mergeCell ref="AB11:AQ11"/>
    <mergeCell ref="AB12:AQ12"/>
    <mergeCell ref="AB13:AQ13"/>
    <mergeCell ref="AB14:AQ14"/>
    <mergeCell ref="AB15:AQ15"/>
    <mergeCell ref="AB17:AQ17"/>
    <mergeCell ref="AB18:AQ18"/>
    <mergeCell ref="AB19:AQ19"/>
    <mergeCell ref="AB20:AQ20"/>
    <mergeCell ref="AB21:AQ21"/>
    <mergeCell ref="AB22:AQ22"/>
    <mergeCell ref="AB23:AQ23"/>
    <mergeCell ref="AB24:AQ24"/>
    <mergeCell ref="AB16:AQ16"/>
    <mergeCell ref="AR10:AW10"/>
    <mergeCell ref="AR11:AW11"/>
    <mergeCell ref="AR12:AW12"/>
    <mergeCell ref="AR13:AW13"/>
    <mergeCell ref="AR14:AW14"/>
    <mergeCell ref="AR15:AW15"/>
    <mergeCell ref="AR17:AW17"/>
    <mergeCell ref="AR18:AW18"/>
    <mergeCell ref="AR19:AW19"/>
    <mergeCell ref="AR16:AW16"/>
    <mergeCell ref="AR29:AW29"/>
    <mergeCell ref="AR30:AW30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M11:O38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B1:BM105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16" t="s">
        <v>0</v>
      </c>
      <c r="C2" s="211"/>
      <c r="D2" s="211"/>
      <c r="E2" s="211"/>
      <c r="F2" s="211"/>
      <c r="G2" s="211"/>
      <c r="H2" s="211" t="s">
        <v>17</v>
      </c>
      <c r="I2" s="211"/>
      <c r="J2" s="211"/>
      <c r="K2" s="211"/>
      <c r="L2" s="148" t="s">
        <v>303</v>
      </c>
      <c r="M2" s="148"/>
      <c r="N2" s="148"/>
      <c r="O2" s="148"/>
      <c r="P2" s="148"/>
      <c r="Q2" s="148"/>
      <c r="R2" s="211" t="s">
        <v>2</v>
      </c>
      <c r="S2" s="211"/>
      <c r="T2" s="211"/>
      <c r="U2" s="211"/>
      <c r="V2" s="211"/>
      <c r="W2" s="211"/>
      <c r="X2" s="217" t="s">
        <v>3</v>
      </c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9"/>
      <c r="AK2" s="217" t="s">
        <v>32</v>
      </c>
      <c r="AL2" s="218"/>
      <c r="AM2" s="218"/>
      <c r="AN2" s="218"/>
      <c r="AO2" s="218"/>
      <c r="AP2" s="218"/>
      <c r="AQ2" s="218"/>
      <c r="AR2" s="218"/>
      <c r="AS2" s="218"/>
      <c r="AT2" s="218"/>
      <c r="AU2" s="218"/>
      <c r="AV2" s="218"/>
      <c r="AW2" s="219"/>
      <c r="AX2" s="211" t="s">
        <v>5</v>
      </c>
      <c r="AY2" s="211"/>
      <c r="AZ2" s="211"/>
      <c r="BA2" s="211"/>
      <c r="BB2" s="211" t="s">
        <v>4</v>
      </c>
      <c r="BC2" s="211"/>
      <c r="BD2" s="211"/>
      <c r="BE2" s="211"/>
      <c r="BF2" s="211" t="s">
        <v>6</v>
      </c>
      <c r="BG2" s="211"/>
      <c r="BH2" s="211"/>
      <c r="BI2" s="211"/>
      <c r="BJ2" s="211" t="s">
        <v>7</v>
      </c>
      <c r="BK2" s="211"/>
      <c r="BL2" s="211"/>
      <c r="BM2" s="212"/>
    </row>
    <row r="3" spans="2:65" ht="20.100000000000001" customHeight="1" x14ac:dyDescent="0.45">
      <c r="B3" s="220" t="str">
        <f>変更履歴!B3</f>
        <v>受発注システム</v>
      </c>
      <c r="C3" s="153"/>
      <c r="D3" s="153"/>
      <c r="E3" s="153"/>
      <c r="F3" s="153"/>
      <c r="G3" s="153"/>
      <c r="H3" s="153" t="str">
        <f ca="1">変更履歴!H3</f>
        <v>SS0300</v>
      </c>
      <c r="I3" s="153"/>
      <c r="J3" s="153"/>
      <c r="K3" s="153"/>
      <c r="L3" s="153" t="str">
        <f>変更履歴!L3</f>
        <v>受発注</v>
      </c>
      <c r="M3" s="153"/>
      <c r="N3" s="153"/>
      <c r="O3" s="153"/>
      <c r="P3" s="153"/>
      <c r="Q3" s="153"/>
      <c r="R3" s="153" t="str">
        <f ca="1">変更履歴!R3</f>
        <v>帳票設計書</v>
      </c>
      <c r="S3" s="153"/>
      <c r="T3" s="153"/>
      <c r="U3" s="153"/>
      <c r="V3" s="153"/>
      <c r="W3" s="153"/>
      <c r="X3" s="157" t="str">
        <f ca="1">変更履歴!X3</f>
        <v>SS0300_仕入日計表_帳票設計書</v>
      </c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54"/>
      <c r="AK3" s="157" t="str">
        <f ca="1">変更履歴!AK3</f>
        <v>仕入日計表</v>
      </c>
      <c r="AL3" s="158"/>
      <c r="AM3" s="158"/>
      <c r="AN3" s="158"/>
      <c r="AO3" s="158"/>
      <c r="AP3" s="158"/>
      <c r="AQ3" s="158"/>
      <c r="AR3" s="158"/>
      <c r="AS3" s="158"/>
      <c r="AT3" s="158"/>
      <c r="AU3" s="158"/>
      <c r="AV3" s="158"/>
      <c r="AW3" s="154"/>
      <c r="AX3" s="164">
        <f>変更履歴!AX3</f>
        <v>45583</v>
      </c>
      <c r="AY3" s="164"/>
      <c r="AZ3" s="164"/>
      <c r="BA3" s="164"/>
      <c r="BB3" s="153" t="str">
        <f>変更履歴!BB3</f>
        <v>大谷</v>
      </c>
      <c r="BC3" s="153"/>
      <c r="BD3" s="153"/>
      <c r="BE3" s="153"/>
      <c r="BF3" s="164">
        <f>変更履歴!BF3</f>
        <v>45583</v>
      </c>
      <c r="BG3" s="164"/>
      <c r="BH3" s="164"/>
      <c r="BI3" s="164"/>
      <c r="BJ3" s="153" t="str">
        <f>変更履歴!BJ3</f>
        <v>大谷</v>
      </c>
      <c r="BK3" s="153"/>
      <c r="BL3" s="153"/>
      <c r="BM3" s="209"/>
    </row>
    <row r="4" spans="2:65" ht="20.100000000000001" customHeight="1" thickBot="1" x14ac:dyDescent="0.5">
      <c r="B4" s="221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13"/>
      <c r="Y4" s="214"/>
      <c r="Z4" s="214"/>
      <c r="AA4" s="214"/>
      <c r="AB4" s="214"/>
      <c r="AC4" s="214"/>
      <c r="AD4" s="214"/>
      <c r="AE4" s="214"/>
      <c r="AF4" s="214"/>
      <c r="AG4" s="214"/>
      <c r="AH4" s="214"/>
      <c r="AI4" s="214"/>
      <c r="AJ4" s="215"/>
      <c r="AK4" s="213"/>
      <c r="AL4" s="214"/>
      <c r="AM4" s="214"/>
      <c r="AN4" s="214"/>
      <c r="AO4" s="214"/>
      <c r="AP4" s="214"/>
      <c r="AQ4" s="214"/>
      <c r="AR4" s="214"/>
      <c r="AS4" s="214"/>
      <c r="AT4" s="214"/>
      <c r="AU4" s="214"/>
      <c r="AV4" s="214"/>
      <c r="AW4" s="215"/>
      <c r="AX4" s="207"/>
      <c r="AY4" s="207"/>
      <c r="AZ4" s="207"/>
      <c r="BA4" s="207"/>
      <c r="BB4" s="208"/>
      <c r="BC4" s="208"/>
      <c r="BD4" s="208"/>
      <c r="BE4" s="208"/>
      <c r="BF4" s="207"/>
      <c r="BG4" s="207"/>
      <c r="BH4" s="207"/>
      <c r="BI4" s="207"/>
      <c r="BJ4" s="208"/>
      <c r="BK4" s="208"/>
      <c r="BL4" s="208"/>
      <c r="BM4" s="210"/>
    </row>
    <row r="5" spans="2:65" ht="5.0999999999999996" customHeight="1" thickBot="1" x14ac:dyDescent="0.5"/>
    <row r="6" spans="2:65" ht="20.100000000000001" customHeight="1" x14ac:dyDescent="0.45">
      <c r="B6" s="89" t="s">
        <v>127</v>
      </c>
      <c r="C6" s="90"/>
      <c r="D6" s="90"/>
      <c r="E6" s="90"/>
      <c r="F6" s="90"/>
      <c r="G6" s="91"/>
      <c r="H6" s="92" t="s">
        <v>84</v>
      </c>
      <c r="I6" s="90"/>
      <c r="J6" s="120" t="s">
        <v>129</v>
      </c>
      <c r="K6" s="121"/>
      <c r="L6" s="121"/>
      <c r="M6" s="121"/>
      <c r="N6" s="121"/>
      <c r="O6" s="121"/>
      <c r="P6" s="121"/>
      <c r="Q6" s="122"/>
      <c r="R6" s="121" t="s">
        <v>180</v>
      </c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2"/>
      <c r="AK6" s="93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4"/>
    </row>
    <row r="7" spans="2:65" ht="20.100000000000001" customHeight="1" x14ac:dyDescent="0.45">
      <c r="B7" s="123"/>
      <c r="C7" s="31"/>
      <c r="D7" s="31"/>
      <c r="E7" s="31"/>
      <c r="F7" s="31"/>
      <c r="G7" s="96"/>
      <c r="H7" s="97"/>
      <c r="I7" s="31"/>
      <c r="J7" s="124" t="s">
        <v>130</v>
      </c>
      <c r="K7" s="52"/>
      <c r="L7" s="52"/>
      <c r="M7" s="52"/>
      <c r="N7" s="52"/>
      <c r="O7" s="52"/>
      <c r="P7" s="52"/>
      <c r="Q7" s="125"/>
      <c r="R7" s="52" t="s">
        <v>181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25"/>
      <c r="AK7" s="98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99"/>
    </row>
    <row r="8" spans="2:65" ht="20.100000000000001" customHeight="1" x14ac:dyDescent="0.45">
      <c r="B8" s="123"/>
      <c r="C8" s="31"/>
      <c r="D8" s="31"/>
      <c r="E8" s="31"/>
      <c r="F8" s="31"/>
      <c r="G8" s="96"/>
      <c r="H8" s="97"/>
      <c r="I8" s="31"/>
      <c r="J8" s="124" t="s">
        <v>131</v>
      </c>
      <c r="K8" s="52"/>
      <c r="L8" s="52"/>
      <c r="M8" s="52"/>
      <c r="N8" s="52"/>
      <c r="O8" s="52"/>
      <c r="P8" s="52"/>
      <c r="Q8" s="125"/>
      <c r="R8" s="52" t="s">
        <v>182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</row>
    <row r="9" spans="2:65" ht="20.100000000000001" customHeight="1" x14ac:dyDescent="0.45">
      <c r="B9" s="123"/>
      <c r="C9" s="31"/>
      <c r="D9" s="31"/>
      <c r="E9" s="31"/>
      <c r="F9" s="31"/>
      <c r="G9" s="96"/>
      <c r="H9" s="97"/>
      <c r="I9" s="31"/>
      <c r="J9" s="124" t="s">
        <v>132</v>
      </c>
      <c r="K9" s="52"/>
      <c r="L9" s="52"/>
      <c r="M9" s="52"/>
      <c r="N9" s="52"/>
      <c r="O9" s="52"/>
      <c r="P9" s="52"/>
      <c r="Q9" s="125"/>
      <c r="R9" s="52" t="s">
        <v>183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98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9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31"/>
      <c r="I10" s="31"/>
      <c r="J10" s="124" t="s">
        <v>133</v>
      </c>
      <c r="K10" s="52"/>
      <c r="L10" s="52"/>
      <c r="M10" s="52"/>
      <c r="N10" s="52"/>
      <c r="O10" s="52"/>
      <c r="P10" s="52"/>
      <c r="Q10" s="125"/>
      <c r="R10" s="52" t="s">
        <v>184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25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</row>
    <row r="11" spans="2:65" ht="20.100000000000001" customHeight="1" x14ac:dyDescent="0.45">
      <c r="B11" s="123"/>
      <c r="C11" s="31"/>
      <c r="D11" s="31"/>
      <c r="E11" s="31"/>
      <c r="F11" s="31"/>
      <c r="G11" s="96"/>
      <c r="H11" s="31"/>
      <c r="I11" s="31"/>
      <c r="J11" s="124" t="s">
        <v>134</v>
      </c>
      <c r="K11" s="52"/>
      <c r="L11" s="52"/>
      <c r="M11" s="52"/>
      <c r="N11" s="52"/>
      <c r="O11" s="52"/>
      <c r="P11" s="52"/>
      <c r="Q11" s="125"/>
      <c r="R11" s="52" t="s">
        <v>185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25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</row>
    <row r="12" spans="2:65" ht="20.100000000000001" customHeight="1" x14ac:dyDescent="0.45">
      <c r="B12" s="123"/>
      <c r="C12" s="31"/>
      <c r="D12" s="31"/>
      <c r="E12" s="31"/>
      <c r="F12" s="31"/>
      <c r="G12" s="96"/>
      <c r="H12" s="31"/>
      <c r="I12" s="31"/>
      <c r="J12" s="124" t="s">
        <v>156</v>
      </c>
      <c r="K12" s="52"/>
      <c r="L12" s="52"/>
      <c r="M12" s="52"/>
      <c r="N12" s="52"/>
      <c r="O12" s="52"/>
      <c r="P12" s="52"/>
      <c r="Q12" s="125"/>
      <c r="R12" s="52" t="s">
        <v>186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25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</row>
    <row r="13" spans="2:65" ht="20.100000000000001" customHeight="1" x14ac:dyDescent="0.45">
      <c r="B13" s="123"/>
      <c r="C13" s="31"/>
      <c r="D13" s="31"/>
      <c r="E13" s="31"/>
      <c r="F13" s="31"/>
      <c r="G13" s="96"/>
      <c r="I13" s="31"/>
      <c r="J13" s="124" t="s">
        <v>135</v>
      </c>
      <c r="K13" s="52"/>
      <c r="L13" s="52"/>
      <c r="M13" s="52"/>
      <c r="N13" s="52"/>
      <c r="O13" s="52"/>
      <c r="P13" s="52"/>
      <c r="Q13" s="125"/>
      <c r="R13" s="52" t="s">
        <v>187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25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</row>
    <row r="14" spans="2:65" ht="20.100000000000001" customHeight="1" x14ac:dyDescent="0.45">
      <c r="B14" s="123"/>
      <c r="C14" s="31"/>
      <c r="D14" s="31"/>
      <c r="E14" s="31"/>
      <c r="F14" s="31"/>
      <c r="G14" s="96"/>
      <c r="H14" s="31"/>
      <c r="I14" s="31"/>
      <c r="J14" s="124" t="s">
        <v>136</v>
      </c>
      <c r="K14" s="52"/>
      <c r="L14" s="52"/>
      <c r="M14" s="52"/>
      <c r="N14" s="52"/>
      <c r="O14" s="52"/>
      <c r="P14" s="52"/>
      <c r="Q14" s="125"/>
      <c r="R14" s="52" t="s">
        <v>188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25"/>
      <c r="AK14" s="98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99"/>
    </row>
    <row r="15" spans="2:65" ht="20.100000000000001" customHeight="1" x14ac:dyDescent="0.45">
      <c r="B15" s="123"/>
      <c r="C15" s="31"/>
      <c r="D15" s="31"/>
      <c r="E15" s="31"/>
      <c r="F15" s="31"/>
      <c r="G15" s="96"/>
      <c r="I15" s="31"/>
      <c r="J15" s="124" t="s">
        <v>137</v>
      </c>
      <c r="K15" s="52"/>
      <c r="L15" s="52"/>
      <c r="M15" s="52"/>
      <c r="N15" s="52"/>
      <c r="O15" s="52"/>
      <c r="P15" s="52"/>
      <c r="Q15" s="125"/>
      <c r="R15" s="52" t="s">
        <v>208</v>
      </c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125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</row>
    <row r="16" spans="2:65" ht="20.100000000000001" customHeight="1" x14ac:dyDescent="0.45">
      <c r="B16" s="123"/>
      <c r="C16" s="31"/>
      <c r="D16" s="31"/>
      <c r="E16" s="31"/>
      <c r="F16" s="31"/>
      <c r="G16" s="96"/>
      <c r="H16" s="31"/>
      <c r="I16" s="31"/>
      <c r="J16" s="124" t="s">
        <v>138</v>
      </c>
      <c r="K16" s="52"/>
      <c r="L16" s="52"/>
      <c r="M16" s="52"/>
      <c r="N16" s="52"/>
      <c r="O16" s="52"/>
      <c r="P16" s="52"/>
      <c r="Q16" s="125"/>
      <c r="R16" s="52" t="s">
        <v>209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125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</row>
    <row r="17" spans="2:61" ht="20.100000000000001" customHeight="1" x14ac:dyDescent="0.45">
      <c r="B17" s="123"/>
      <c r="C17" s="31"/>
      <c r="D17" s="31"/>
      <c r="E17" s="31"/>
      <c r="F17" s="31"/>
      <c r="G17" s="96"/>
      <c r="I17" s="31"/>
      <c r="J17" s="124" t="s">
        <v>139</v>
      </c>
      <c r="K17" s="52"/>
      <c r="L17" s="52"/>
      <c r="M17" s="52"/>
      <c r="N17" s="52"/>
      <c r="O17" s="52"/>
      <c r="P17" s="52"/>
      <c r="Q17" s="125"/>
      <c r="R17" s="52" t="s">
        <v>210</v>
      </c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125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</row>
    <row r="18" spans="2:61" ht="20.100000000000001" customHeight="1" x14ac:dyDescent="0.45">
      <c r="B18" s="123"/>
      <c r="C18" s="31"/>
      <c r="D18" s="31"/>
      <c r="E18" s="31"/>
      <c r="F18" s="31"/>
      <c r="G18" s="96"/>
      <c r="H18" s="31"/>
      <c r="I18" s="31"/>
      <c r="J18" s="124" t="s">
        <v>140</v>
      </c>
      <c r="K18" s="52"/>
      <c r="L18" s="52"/>
      <c r="M18" s="52"/>
      <c r="N18" s="52"/>
      <c r="O18" s="52"/>
      <c r="P18" s="52"/>
      <c r="Q18" s="125"/>
      <c r="R18" s="52" t="s">
        <v>211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125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</row>
    <row r="19" spans="2:61" ht="20.100000000000001" customHeight="1" x14ac:dyDescent="0.45">
      <c r="B19" s="123"/>
      <c r="C19" s="31"/>
      <c r="D19" s="31"/>
      <c r="E19" s="31"/>
      <c r="F19" s="31"/>
      <c r="G19" s="96"/>
      <c r="I19" s="31"/>
      <c r="J19" s="124" t="s">
        <v>141</v>
      </c>
      <c r="K19" s="52"/>
      <c r="L19" s="52"/>
      <c r="M19" s="52"/>
      <c r="N19" s="52"/>
      <c r="O19" s="52"/>
      <c r="P19" s="52"/>
      <c r="Q19" s="125"/>
      <c r="R19" s="52" t="s">
        <v>212</v>
      </c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125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</row>
    <row r="20" spans="2:61" ht="20.100000000000001" customHeight="1" x14ac:dyDescent="0.45">
      <c r="B20" s="123"/>
      <c r="C20" s="31"/>
      <c r="D20" s="31"/>
      <c r="E20" s="31"/>
      <c r="F20" s="31"/>
      <c r="G20" s="96"/>
      <c r="H20" s="31"/>
      <c r="I20" s="31"/>
      <c r="J20" s="124" t="s">
        <v>142</v>
      </c>
      <c r="K20" s="52"/>
      <c r="L20" s="52"/>
      <c r="M20" s="52"/>
      <c r="N20" s="52"/>
      <c r="O20" s="52"/>
      <c r="P20" s="52"/>
      <c r="Q20" s="125"/>
      <c r="R20" s="52" t="s">
        <v>213</v>
      </c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125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</row>
    <row r="21" spans="2:61" ht="20.100000000000001" customHeight="1" x14ac:dyDescent="0.45">
      <c r="B21" s="123"/>
      <c r="C21" s="31"/>
      <c r="D21" s="31"/>
      <c r="E21" s="31"/>
      <c r="F21" s="31"/>
      <c r="G21" s="96"/>
      <c r="I21" s="31"/>
      <c r="J21" s="124" t="s">
        <v>143</v>
      </c>
      <c r="K21" s="52"/>
      <c r="L21" s="52"/>
      <c r="M21" s="52"/>
      <c r="N21" s="52"/>
      <c r="O21" s="52"/>
      <c r="P21" s="52"/>
      <c r="Q21" s="125"/>
      <c r="R21" s="52" t="s">
        <v>214</v>
      </c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125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1" ht="20.100000000000001" customHeight="1" x14ac:dyDescent="0.45">
      <c r="B22" s="123"/>
      <c r="C22" s="31"/>
      <c r="D22" s="31"/>
      <c r="E22" s="31"/>
      <c r="F22" s="31"/>
      <c r="G22" s="96"/>
      <c r="H22" s="31"/>
      <c r="I22" s="31"/>
      <c r="J22" s="124" t="s">
        <v>144</v>
      </c>
      <c r="K22" s="52"/>
      <c r="L22" s="52"/>
      <c r="M22" s="52"/>
      <c r="N22" s="52"/>
      <c r="O22" s="52"/>
      <c r="P22" s="52"/>
      <c r="Q22" s="125"/>
      <c r="R22" s="52" t="s">
        <v>215</v>
      </c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125"/>
      <c r="AK22" s="98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99"/>
    </row>
    <row r="23" spans="2:61" ht="20.100000000000001" customHeight="1" x14ac:dyDescent="0.45">
      <c r="B23" s="123"/>
      <c r="C23" s="31"/>
      <c r="D23" s="31"/>
      <c r="E23" s="31"/>
      <c r="F23" s="31"/>
      <c r="G23" s="96"/>
      <c r="I23" s="31"/>
      <c r="J23" s="124" t="s">
        <v>145</v>
      </c>
      <c r="K23" s="52"/>
      <c r="L23" s="52"/>
      <c r="M23" s="52"/>
      <c r="N23" s="52"/>
      <c r="O23" s="52"/>
      <c r="P23" s="52"/>
      <c r="Q23" s="125"/>
      <c r="R23" s="52" t="s">
        <v>216</v>
      </c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125"/>
      <c r="AK23" s="98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1" ht="20.100000000000001" customHeight="1" x14ac:dyDescent="0.45">
      <c r="B24" s="123"/>
      <c r="C24" s="31"/>
      <c r="D24" s="31"/>
      <c r="E24" s="31"/>
      <c r="F24" s="31"/>
      <c r="G24" s="96"/>
      <c r="H24" s="31"/>
      <c r="I24" s="31"/>
      <c r="J24" s="124" t="s">
        <v>146</v>
      </c>
      <c r="K24" s="52"/>
      <c r="L24" s="52"/>
      <c r="M24" s="52"/>
      <c r="N24" s="52"/>
      <c r="O24" s="52"/>
      <c r="P24" s="52"/>
      <c r="Q24" s="125"/>
      <c r="R24" s="52" t="s">
        <v>217</v>
      </c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125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1" ht="20.100000000000001" customHeight="1" x14ac:dyDescent="0.45">
      <c r="B25" s="123"/>
      <c r="C25" s="31"/>
      <c r="D25" s="31"/>
      <c r="E25" s="31"/>
      <c r="F25" s="31"/>
      <c r="G25" s="96"/>
      <c r="I25" s="31"/>
      <c r="J25" s="124" t="s">
        <v>147</v>
      </c>
      <c r="K25" s="52"/>
      <c r="L25" s="52"/>
      <c r="M25" s="52"/>
      <c r="N25" s="52"/>
      <c r="O25" s="52"/>
      <c r="P25" s="52"/>
      <c r="Q25" s="125"/>
      <c r="R25" s="52" t="s">
        <v>218</v>
      </c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125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1" ht="20.100000000000001" customHeight="1" x14ac:dyDescent="0.45">
      <c r="B26" s="123"/>
      <c r="C26" s="31"/>
      <c r="D26" s="31"/>
      <c r="E26" s="31"/>
      <c r="F26" s="31"/>
      <c r="G26" s="96"/>
      <c r="H26" s="31"/>
      <c r="I26" s="31"/>
      <c r="J26" s="124" t="s">
        <v>148</v>
      </c>
      <c r="K26" s="52"/>
      <c r="L26" s="52"/>
      <c r="M26" s="52"/>
      <c r="N26" s="52"/>
      <c r="O26" s="52"/>
      <c r="P26" s="52"/>
      <c r="Q26" s="125"/>
      <c r="R26" s="52" t="s">
        <v>219</v>
      </c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125"/>
      <c r="AK26" s="98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1" ht="20.100000000000001" customHeight="1" x14ac:dyDescent="0.45">
      <c r="B27" s="123"/>
      <c r="C27" s="31"/>
      <c r="D27" s="31"/>
      <c r="E27" s="31"/>
      <c r="F27" s="31"/>
      <c r="G27" s="96"/>
      <c r="I27" s="31"/>
      <c r="J27" s="124" t="s">
        <v>149</v>
      </c>
      <c r="K27" s="52"/>
      <c r="L27" s="52"/>
      <c r="M27" s="52"/>
      <c r="N27" s="52"/>
      <c r="O27" s="52"/>
      <c r="P27" s="52"/>
      <c r="Q27" s="125"/>
      <c r="R27" s="52" t="s">
        <v>220</v>
      </c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125"/>
      <c r="AK27" s="98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1" ht="20.100000000000001" customHeight="1" x14ac:dyDescent="0.45">
      <c r="B28" s="123"/>
      <c r="C28" s="31"/>
      <c r="D28" s="31"/>
      <c r="E28" s="31"/>
      <c r="F28" s="31"/>
      <c r="G28" s="96"/>
      <c r="H28" s="31"/>
      <c r="I28" s="31"/>
      <c r="J28" s="124" t="s">
        <v>150</v>
      </c>
      <c r="K28" s="52"/>
      <c r="L28" s="52"/>
      <c r="M28" s="52"/>
      <c r="N28" s="52"/>
      <c r="O28" s="52"/>
      <c r="P28" s="52"/>
      <c r="Q28" s="125"/>
      <c r="R28" s="52" t="s">
        <v>221</v>
      </c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125"/>
      <c r="AK28" s="98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1" ht="20.100000000000001" customHeight="1" x14ac:dyDescent="0.45">
      <c r="B29" s="123"/>
      <c r="C29" s="31"/>
      <c r="D29" s="31"/>
      <c r="E29" s="31"/>
      <c r="F29" s="31"/>
      <c r="G29" s="96"/>
      <c r="I29" s="31"/>
      <c r="J29" s="124" t="s">
        <v>151</v>
      </c>
      <c r="K29" s="52"/>
      <c r="L29" s="52"/>
      <c r="M29" s="52"/>
      <c r="N29" s="52"/>
      <c r="O29" s="52"/>
      <c r="P29" s="52"/>
      <c r="Q29" s="125"/>
      <c r="R29" s="52" t="s">
        <v>222</v>
      </c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125"/>
      <c r="AK29" s="98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1" ht="20.100000000000001" customHeight="1" x14ac:dyDescent="0.45">
      <c r="B30" s="123"/>
      <c r="C30" s="31"/>
      <c r="D30" s="31"/>
      <c r="E30" s="31"/>
      <c r="F30" s="31"/>
      <c r="G30" s="96"/>
      <c r="H30" s="31"/>
      <c r="I30" s="31"/>
      <c r="J30" s="124" t="s">
        <v>152</v>
      </c>
      <c r="K30" s="52"/>
      <c r="L30" s="52"/>
      <c r="M30" s="52"/>
      <c r="N30" s="52"/>
      <c r="O30" s="52"/>
      <c r="P30" s="52"/>
      <c r="Q30" s="125"/>
      <c r="R30" s="52" t="s">
        <v>223</v>
      </c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125"/>
      <c r="AK30" s="98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1" ht="20.100000000000001" customHeight="1" x14ac:dyDescent="0.45">
      <c r="B31" s="123"/>
      <c r="C31" s="31"/>
      <c r="D31" s="31"/>
      <c r="E31" s="31"/>
      <c r="F31" s="31"/>
      <c r="G31" s="96"/>
      <c r="I31" s="31"/>
      <c r="J31" s="124" t="s">
        <v>153</v>
      </c>
      <c r="K31" s="52"/>
      <c r="L31" s="52"/>
      <c r="M31" s="52"/>
      <c r="N31" s="52"/>
      <c r="O31" s="52"/>
      <c r="P31" s="52"/>
      <c r="Q31" s="125"/>
      <c r="R31" s="52" t="s">
        <v>251</v>
      </c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125"/>
      <c r="AK31" s="98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99"/>
    </row>
    <row r="32" spans="2:61" ht="20.100000000000001" customHeight="1" x14ac:dyDescent="0.45">
      <c r="B32" s="123"/>
      <c r="C32" s="31"/>
      <c r="D32" s="31"/>
      <c r="E32" s="31"/>
      <c r="F32" s="31"/>
      <c r="G32" s="96"/>
      <c r="H32" s="100" t="s">
        <v>53</v>
      </c>
      <c r="I32" s="55"/>
      <c r="J32" s="100" t="s">
        <v>254</v>
      </c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101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55"/>
      <c r="BH32" s="55"/>
      <c r="BI32" s="102"/>
    </row>
    <row r="33" spans="2:61" ht="20.100000000000001" customHeight="1" x14ac:dyDescent="0.45">
      <c r="B33" s="123"/>
      <c r="C33" s="31"/>
      <c r="D33" s="31"/>
      <c r="E33" s="31"/>
      <c r="F33" s="31"/>
      <c r="G33" s="96"/>
      <c r="H33" s="97"/>
      <c r="I33" s="31"/>
      <c r="J33" s="97" t="s">
        <v>260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98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x14ac:dyDescent="0.45">
      <c r="B34" s="123"/>
      <c r="C34" s="31"/>
      <c r="D34" s="31"/>
      <c r="E34" s="31"/>
      <c r="F34" s="31"/>
      <c r="G34" s="96"/>
      <c r="H34" s="97"/>
      <c r="I34" s="31"/>
      <c r="J34" s="97" t="s">
        <v>258</v>
      </c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98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99"/>
    </row>
    <row r="35" spans="2:61" ht="20.100000000000001" customHeight="1" x14ac:dyDescent="0.45">
      <c r="B35" s="123"/>
      <c r="C35" s="31"/>
      <c r="D35" s="31"/>
      <c r="E35" s="31"/>
      <c r="F35" s="31"/>
      <c r="G35" s="96"/>
      <c r="H35" s="97"/>
      <c r="I35" s="31"/>
      <c r="J35" s="97" t="s">
        <v>257</v>
      </c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98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99"/>
    </row>
    <row r="36" spans="2:61" ht="20.100000000000001" customHeight="1" x14ac:dyDescent="0.45">
      <c r="B36" s="123"/>
      <c r="C36" s="31"/>
      <c r="D36" s="31"/>
      <c r="E36" s="31"/>
      <c r="F36" s="31"/>
      <c r="G36" s="96"/>
      <c r="H36" s="97"/>
      <c r="I36" s="31"/>
      <c r="J36" s="97" t="s">
        <v>259</v>
      </c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98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99"/>
    </row>
    <row r="37" spans="2:61" ht="20.100000000000001" customHeight="1" thickBot="1" x14ac:dyDescent="0.5">
      <c r="B37" s="95"/>
      <c r="C37" s="31"/>
      <c r="D37" s="31"/>
      <c r="E37" s="31"/>
      <c r="F37" s="31"/>
      <c r="G37" s="96"/>
      <c r="H37" s="131" t="s">
        <v>128</v>
      </c>
      <c r="I37" s="132"/>
      <c r="J37" s="131" t="s">
        <v>252</v>
      </c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  <c r="AF37" s="132"/>
      <c r="AG37" s="132"/>
      <c r="AH37" s="132"/>
      <c r="AI37" s="132"/>
      <c r="AJ37" s="133"/>
      <c r="AK37" s="103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6"/>
    </row>
    <row r="38" spans="2:61" ht="20.100000000000001" customHeight="1" x14ac:dyDescent="0.45">
      <c r="B38" s="89" t="s">
        <v>154</v>
      </c>
      <c r="C38" s="90"/>
      <c r="D38" s="90"/>
      <c r="E38" s="90"/>
      <c r="F38" s="90"/>
      <c r="G38" s="91"/>
      <c r="H38" s="92" t="s">
        <v>84</v>
      </c>
      <c r="I38" s="90"/>
      <c r="J38" s="120" t="s">
        <v>129</v>
      </c>
      <c r="K38" s="121"/>
      <c r="L38" s="121"/>
      <c r="M38" s="121"/>
      <c r="N38" s="121"/>
      <c r="O38" s="121"/>
      <c r="P38" s="121"/>
      <c r="Q38" s="122"/>
      <c r="R38" s="121" t="s">
        <v>155</v>
      </c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2"/>
      <c r="AK38" s="93" t="s">
        <v>269</v>
      </c>
      <c r="AL38" s="90"/>
      <c r="AM38" s="90"/>
      <c r="AN38" s="90"/>
      <c r="AO38" s="90"/>
      <c r="AP38" s="90"/>
      <c r="AQ38" s="90"/>
      <c r="AR38" s="90"/>
      <c r="AS38" s="90"/>
      <c r="AT38" s="90"/>
      <c r="AU38" s="90"/>
      <c r="AV38" s="90"/>
      <c r="AW38" s="90"/>
      <c r="AX38" s="90"/>
      <c r="AY38" s="90"/>
      <c r="AZ38" s="90"/>
      <c r="BA38" s="90"/>
      <c r="BB38" s="90"/>
      <c r="BC38" s="90"/>
      <c r="BD38" s="90"/>
      <c r="BE38" s="90"/>
      <c r="BF38" s="90"/>
      <c r="BG38" s="90"/>
      <c r="BH38" s="90"/>
      <c r="BI38" s="94"/>
    </row>
    <row r="39" spans="2:61" ht="20.100000000000001" customHeight="1" x14ac:dyDescent="0.45">
      <c r="B39" s="123"/>
      <c r="C39" s="31"/>
      <c r="D39" s="31"/>
      <c r="E39" s="31"/>
      <c r="F39" s="31"/>
      <c r="G39" s="96"/>
      <c r="H39" s="97"/>
      <c r="I39" s="31"/>
      <c r="J39" s="124" t="s">
        <v>130</v>
      </c>
      <c r="K39" s="52"/>
      <c r="L39" s="52"/>
      <c r="M39" s="52"/>
      <c r="N39" s="52"/>
      <c r="O39" s="52"/>
      <c r="P39" s="52"/>
      <c r="Q39" s="125"/>
      <c r="R39" s="52" t="s">
        <v>181</v>
      </c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125"/>
      <c r="AK39" s="98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99"/>
    </row>
    <row r="40" spans="2:61" ht="20.100000000000001" customHeight="1" x14ac:dyDescent="0.45">
      <c r="B40" s="123"/>
      <c r="C40" s="31"/>
      <c r="D40" s="31"/>
      <c r="E40" s="31"/>
      <c r="F40" s="31"/>
      <c r="G40" s="96"/>
      <c r="H40" s="97"/>
      <c r="I40" s="31"/>
      <c r="J40" s="124" t="s">
        <v>131</v>
      </c>
      <c r="K40" s="52"/>
      <c r="L40" s="52"/>
      <c r="M40" s="52"/>
      <c r="N40" s="52"/>
      <c r="O40" s="52"/>
      <c r="P40" s="52"/>
      <c r="Q40" s="125"/>
      <c r="R40" s="52" t="s">
        <v>182</v>
      </c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125"/>
      <c r="AK40" s="98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99"/>
    </row>
    <row r="41" spans="2:61" ht="20.100000000000001" customHeight="1" x14ac:dyDescent="0.45">
      <c r="B41" s="123"/>
      <c r="C41" s="31"/>
      <c r="D41" s="31"/>
      <c r="E41" s="31"/>
      <c r="F41" s="31"/>
      <c r="G41" s="96"/>
      <c r="H41" s="97"/>
      <c r="I41" s="31"/>
      <c r="J41" s="124" t="s">
        <v>132</v>
      </c>
      <c r="K41" s="52"/>
      <c r="L41" s="52"/>
      <c r="M41" s="52"/>
      <c r="N41" s="52"/>
      <c r="O41" s="52"/>
      <c r="P41" s="52"/>
      <c r="Q41" s="125"/>
      <c r="R41" s="52" t="s">
        <v>183</v>
      </c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125"/>
      <c r="AK41" s="98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99"/>
    </row>
    <row r="42" spans="2:61" ht="20.100000000000001" customHeight="1" x14ac:dyDescent="0.45">
      <c r="B42" s="123"/>
      <c r="C42" s="31"/>
      <c r="D42" s="31"/>
      <c r="E42" s="31"/>
      <c r="F42" s="31"/>
      <c r="G42" s="96"/>
      <c r="H42" s="31"/>
      <c r="I42" s="31"/>
      <c r="J42" s="124" t="s">
        <v>133</v>
      </c>
      <c r="K42" s="52"/>
      <c r="L42" s="52"/>
      <c r="M42" s="52"/>
      <c r="N42" s="52"/>
      <c r="O42" s="52"/>
      <c r="P42" s="52"/>
      <c r="Q42" s="125"/>
      <c r="R42" s="52" t="s">
        <v>184</v>
      </c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125"/>
      <c r="AK42" s="98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99"/>
    </row>
    <row r="43" spans="2:61" ht="20.100000000000001" customHeight="1" x14ac:dyDescent="0.45">
      <c r="B43" s="123"/>
      <c r="C43" s="31"/>
      <c r="D43" s="31"/>
      <c r="E43" s="31"/>
      <c r="F43" s="31"/>
      <c r="G43" s="96"/>
      <c r="H43" s="31"/>
      <c r="I43" s="31"/>
      <c r="J43" s="124" t="s">
        <v>134</v>
      </c>
      <c r="K43" s="52"/>
      <c r="L43" s="52"/>
      <c r="M43" s="52"/>
      <c r="N43" s="52"/>
      <c r="O43" s="52"/>
      <c r="P43" s="52"/>
      <c r="Q43" s="125"/>
      <c r="R43" s="52" t="s">
        <v>185</v>
      </c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125"/>
      <c r="AK43" s="98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99"/>
    </row>
    <row r="44" spans="2:61" ht="20.100000000000001" customHeight="1" x14ac:dyDescent="0.45">
      <c r="B44" s="123"/>
      <c r="C44" s="31"/>
      <c r="D44" s="31"/>
      <c r="E44" s="31"/>
      <c r="F44" s="31"/>
      <c r="G44" s="96"/>
      <c r="H44" s="31"/>
      <c r="I44" s="31"/>
      <c r="J44" s="124" t="s">
        <v>156</v>
      </c>
      <c r="K44" s="52"/>
      <c r="L44" s="52"/>
      <c r="M44" s="52"/>
      <c r="N44" s="52"/>
      <c r="O44" s="52"/>
      <c r="P44" s="52"/>
      <c r="Q44" s="125"/>
      <c r="R44" s="52" t="s">
        <v>186</v>
      </c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125"/>
      <c r="AK44" s="98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99"/>
    </row>
    <row r="45" spans="2:61" ht="20.100000000000001" customHeight="1" x14ac:dyDescent="0.45">
      <c r="B45" s="123"/>
      <c r="C45" s="31"/>
      <c r="D45" s="31"/>
      <c r="E45" s="31"/>
      <c r="F45" s="31"/>
      <c r="G45" s="96"/>
      <c r="I45" s="31"/>
      <c r="J45" s="124" t="s">
        <v>135</v>
      </c>
      <c r="K45" s="52"/>
      <c r="L45" s="52"/>
      <c r="M45" s="52"/>
      <c r="N45" s="52"/>
      <c r="O45" s="52"/>
      <c r="P45" s="52"/>
      <c r="Q45" s="125"/>
      <c r="R45" s="52" t="s">
        <v>187</v>
      </c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125"/>
      <c r="AK45" s="98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99"/>
    </row>
    <row r="46" spans="2:61" ht="20.100000000000001" customHeight="1" x14ac:dyDescent="0.45">
      <c r="B46" s="123"/>
      <c r="C46" s="31"/>
      <c r="D46" s="31"/>
      <c r="E46" s="31"/>
      <c r="F46" s="31"/>
      <c r="G46" s="96"/>
      <c r="H46" s="31"/>
      <c r="I46" s="31"/>
      <c r="J46" s="124" t="s">
        <v>136</v>
      </c>
      <c r="K46" s="52"/>
      <c r="L46" s="52"/>
      <c r="M46" s="52"/>
      <c r="N46" s="52"/>
      <c r="O46" s="52"/>
      <c r="P46" s="52"/>
      <c r="Q46" s="125"/>
      <c r="R46" s="52" t="s">
        <v>188</v>
      </c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125"/>
      <c r="AK46" s="98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99"/>
    </row>
    <row r="47" spans="2:61" ht="20.100000000000001" customHeight="1" x14ac:dyDescent="0.45">
      <c r="B47" s="123"/>
      <c r="C47" s="31"/>
      <c r="D47" s="31"/>
      <c r="E47" s="31"/>
      <c r="F47" s="31"/>
      <c r="G47" s="96"/>
      <c r="I47" s="31"/>
      <c r="J47" s="124" t="s">
        <v>137</v>
      </c>
      <c r="K47" s="52"/>
      <c r="L47" s="52"/>
      <c r="M47" s="52"/>
      <c r="N47" s="52"/>
      <c r="O47" s="52"/>
      <c r="P47" s="52"/>
      <c r="Q47" s="125"/>
      <c r="R47" s="52" t="s">
        <v>189</v>
      </c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125"/>
      <c r="AK47" s="98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99"/>
    </row>
    <row r="48" spans="2:61" ht="20.100000000000001" customHeight="1" x14ac:dyDescent="0.45">
      <c r="B48" s="123"/>
      <c r="C48" s="31"/>
      <c r="D48" s="31"/>
      <c r="E48" s="31"/>
      <c r="F48" s="31"/>
      <c r="G48" s="96"/>
      <c r="H48" s="31"/>
      <c r="I48" s="31"/>
      <c r="J48" s="124" t="s">
        <v>138</v>
      </c>
      <c r="K48" s="52"/>
      <c r="L48" s="52"/>
      <c r="M48" s="52"/>
      <c r="N48" s="52"/>
      <c r="O48" s="52"/>
      <c r="P48" s="52"/>
      <c r="Q48" s="125"/>
      <c r="R48" s="52" t="s">
        <v>192</v>
      </c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125"/>
      <c r="AK48" s="98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99"/>
    </row>
    <row r="49" spans="2:61" ht="20.100000000000001" customHeight="1" x14ac:dyDescent="0.45">
      <c r="B49" s="123"/>
      <c r="C49" s="31"/>
      <c r="D49" s="31"/>
      <c r="E49" s="31"/>
      <c r="F49" s="31"/>
      <c r="G49" s="96"/>
      <c r="I49" s="31"/>
      <c r="J49" s="124" t="s">
        <v>139</v>
      </c>
      <c r="K49" s="52"/>
      <c r="L49" s="52"/>
      <c r="M49" s="52"/>
      <c r="N49" s="52"/>
      <c r="O49" s="52"/>
      <c r="P49" s="52"/>
      <c r="Q49" s="125"/>
      <c r="R49" s="52" t="s">
        <v>193</v>
      </c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125"/>
      <c r="AK49" s="98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99"/>
    </row>
    <row r="50" spans="2:61" ht="20.100000000000001" customHeight="1" x14ac:dyDescent="0.45">
      <c r="B50" s="123"/>
      <c r="C50" s="31"/>
      <c r="D50" s="31"/>
      <c r="E50" s="31"/>
      <c r="F50" s="31"/>
      <c r="G50" s="96"/>
      <c r="H50" s="31"/>
      <c r="I50" s="31"/>
      <c r="J50" s="124" t="s">
        <v>140</v>
      </c>
      <c r="K50" s="52"/>
      <c r="L50" s="52"/>
      <c r="M50" s="52"/>
      <c r="N50" s="52"/>
      <c r="O50" s="52"/>
      <c r="P50" s="52"/>
      <c r="Q50" s="125"/>
      <c r="R50" s="52" t="s">
        <v>194</v>
      </c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125"/>
      <c r="AK50" s="98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99"/>
    </row>
    <row r="51" spans="2:61" ht="20.100000000000001" customHeight="1" x14ac:dyDescent="0.45">
      <c r="B51" s="123"/>
      <c r="C51" s="31"/>
      <c r="D51" s="31"/>
      <c r="E51" s="31"/>
      <c r="F51" s="31"/>
      <c r="G51" s="96"/>
      <c r="I51" s="31"/>
      <c r="J51" s="124" t="s">
        <v>141</v>
      </c>
      <c r="K51" s="52"/>
      <c r="L51" s="52"/>
      <c r="M51" s="52"/>
      <c r="N51" s="52"/>
      <c r="O51" s="52"/>
      <c r="P51" s="52"/>
      <c r="Q51" s="125"/>
      <c r="R51" s="52" t="s">
        <v>195</v>
      </c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125"/>
      <c r="AK51" s="98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99"/>
    </row>
    <row r="52" spans="2:61" ht="20.100000000000001" customHeight="1" x14ac:dyDescent="0.45">
      <c r="B52" s="123"/>
      <c r="C52" s="31"/>
      <c r="D52" s="31"/>
      <c r="E52" s="31"/>
      <c r="F52" s="31"/>
      <c r="G52" s="96"/>
      <c r="H52" s="31"/>
      <c r="I52" s="31"/>
      <c r="J52" s="124" t="s">
        <v>142</v>
      </c>
      <c r="K52" s="52"/>
      <c r="L52" s="52"/>
      <c r="M52" s="52"/>
      <c r="N52" s="52"/>
      <c r="O52" s="52"/>
      <c r="P52" s="52"/>
      <c r="Q52" s="125"/>
      <c r="R52" s="52" t="s">
        <v>196</v>
      </c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125"/>
      <c r="AK52" s="98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99"/>
    </row>
    <row r="53" spans="2:61" ht="20.100000000000001" customHeight="1" x14ac:dyDescent="0.45">
      <c r="B53" s="123"/>
      <c r="C53" s="31"/>
      <c r="D53" s="31"/>
      <c r="E53" s="31"/>
      <c r="F53" s="31"/>
      <c r="G53" s="96"/>
      <c r="I53" s="31"/>
      <c r="J53" s="124" t="s">
        <v>143</v>
      </c>
      <c r="K53" s="52"/>
      <c r="L53" s="52"/>
      <c r="M53" s="52"/>
      <c r="N53" s="52"/>
      <c r="O53" s="52"/>
      <c r="P53" s="52"/>
      <c r="Q53" s="125"/>
      <c r="R53" s="52" t="s">
        <v>197</v>
      </c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125"/>
      <c r="AK53" s="98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99"/>
    </row>
    <row r="54" spans="2:61" ht="20.100000000000001" customHeight="1" x14ac:dyDescent="0.45">
      <c r="B54" s="123"/>
      <c r="C54" s="31"/>
      <c r="D54" s="31"/>
      <c r="E54" s="31"/>
      <c r="F54" s="31"/>
      <c r="G54" s="96"/>
      <c r="H54" s="31"/>
      <c r="I54" s="31"/>
      <c r="J54" s="124" t="s">
        <v>144</v>
      </c>
      <c r="K54" s="52"/>
      <c r="L54" s="52"/>
      <c r="M54" s="52"/>
      <c r="N54" s="52"/>
      <c r="O54" s="52"/>
      <c r="P54" s="52"/>
      <c r="Q54" s="125"/>
      <c r="R54" s="52" t="s">
        <v>198</v>
      </c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125"/>
      <c r="AK54" s="98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99"/>
    </row>
    <row r="55" spans="2:61" ht="20.100000000000001" customHeight="1" x14ac:dyDescent="0.45">
      <c r="B55" s="123"/>
      <c r="C55" s="31"/>
      <c r="D55" s="31"/>
      <c r="E55" s="31"/>
      <c r="F55" s="31"/>
      <c r="G55" s="96"/>
      <c r="I55" s="31"/>
      <c r="J55" s="124" t="s">
        <v>145</v>
      </c>
      <c r="K55" s="52"/>
      <c r="L55" s="52"/>
      <c r="M55" s="52"/>
      <c r="N55" s="52"/>
      <c r="O55" s="52"/>
      <c r="P55" s="52"/>
      <c r="Q55" s="125"/>
      <c r="R55" s="52" t="s">
        <v>199</v>
      </c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125"/>
      <c r="AK55" s="98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99"/>
    </row>
    <row r="56" spans="2:61" ht="20.100000000000001" customHeight="1" x14ac:dyDescent="0.45">
      <c r="B56" s="123"/>
      <c r="C56" s="31"/>
      <c r="D56" s="31"/>
      <c r="E56" s="31"/>
      <c r="F56" s="31"/>
      <c r="G56" s="96"/>
      <c r="H56" s="31"/>
      <c r="I56" s="31"/>
      <c r="J56" s="124" t="s">
        <v>146</v>
      </c>
      <c r="K56" s="52"/>
      <c r="L56" s="52"/>
      <c r="M56" s="52"/>
      <c r="N56" s="52"/>
      <c r="O56" s="52"/>
      <c r="P56" s="52"/>
      <c r="Q56" s="125"/>
      <c r="R56" s="52" t="s">
        <v>200</v>
      </c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125"/>
      <c r="AK56" s="98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99"/>
    </row>
    <row r="57" spans="2:61" ht="20.100000000000001" customHeight="1" x14ac:dyDescent="0.45">
      <c r="B57" s="123"/>
      <c r="C57" s="31"/>
      <c r="D57" s="31"/>
      <c r="E57" s="31"/>
      <c r="F57" s="31"/>
      <c r="G57" s="96"/>
      <c r="I57" s="31"/>
      <c r="J57" s="124" t="s">
        <v>147</v>
      </c>
      <c r="K57" s="52"/>
      <c r="L57" s="52"/>
      <c r="M57" s="52"/>
      <c r="N57" s="52"/>
      <c r="O57" s="52"/>
      <c r="P57" s="52"/>
      <c r="Q57" s="125"/>
      <c r="R57" s="52" t="s">
        <v>201</v>
      </c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125"/>
      <c r="AK57" s="98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99"/>
    </row>
    <row r="58" spans="2:61" ht="20.100000000000001" customHeight="1" x14ac:dyDescent="0.45">
      <c r="B58" s="123"/>
      <c r="C58" s="31"/>
      <c r="D58" s="31"/>
      <c r="E58" s="31"/>
      <c r="F58" s="31"/>
      <c r="G58" s="96"/>
      <c r="H58" s="31"/>
      <c r="I58" s="31"/>
      <c r="J58" s="124" t="s">
        <v>148</v>
      </c>
      <c r="K58" s="52"/>
      <c r="L58" s="52"/>
      <c r="M58" s="52"/>
      <c r="N58" s="52"/>
      <c r="O58" s="52"/>
      <c r="P58" s="52"/>
      <c r="Q58" s="125"/>
      <c r="R58" s="52" t="s">
        <v>202</v>
      </c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125"/>
      <c r="AK58" s="98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99"/>
    </row>
    <row r="59" spans="2:61" ht="20.100000000000001" customHeight="1" x14ac:dyDescent="0.45">
      <c r="B59" s="123"/>
      <c r="C59" s="31"/>
      <c r="D59" s="31"/>
      <c r="E59" s="31"/>
      <c r="F59" s="31"/>
      <c r="G59" s="96"/>
      <c r="I59" s="31"/>
      <c r="J59" s="124" t="s">
        <v>149</v>
      </c>
      <c r="K59" s="52"/>
      <c r="L59" s="52"/>
      <c r="M59" s="52"/>
      <c r="N59" s="52"/>
      <c r="O59" s="52"/>
      <c r="P59" s="52"/>
      <c r="Q59" s="125"/>
      <c r="R59" s="52" t="s">
        <v>203</v>
      </c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125"/>
      <c r="AK59" s="98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99"/>
    </row>
    <row r="60" spans="2:61" ht="20.100000000000001" customHeight="1" x14ac:dyDescent="0.45">
      <c r="B60" s="123"/>
      <c r="C60" s="31"/>
      <c r="D60" s="31"/>
      <c r="E60" s="31"/>
      <c r="F60" s="31"/>
      <c r="G60" s="96"/>
      <c r="H60" s="31"/>
      <c r="I60" s="31"/>
      <c r="J60" s="124" t="s">
        <v>150</v>
      </c>
      <c r="K60" s="52"/>
      <c r="L60" s="52"/>
      <c r="M60" s="52"/>
      <c r="N60" s="52"/>
      <c r="O60" s="52"/>
      <c r="P60" s="52"/>
      <c r="Q60" s="125"/>
      <c r="R60" s="52" t="s">
        <v>204</v>
      </c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125"/>
      <c r="AK60" s="98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99"/>
    </row>
    <row r="61" spans="2:61" ht="20.100000000000001" customHeight="1" x14ac:dyDescent="0.45">
      <c r="B61" s="123"/>
      <c r="C61" s="31"/>
      <c r="D61" s="31"/>
      <c r="E61" s="31"/>
      <c r="F61" s="31"/>
      <c r="G61" s="96"/>
      <c r="I61" s="31"/>
      <c r="J61" s="124" t="s">
        <v>151</v>
      </c>
      <c r="K61" s="52"/>
      <c r="L61" s="52"/>
      <c r="M61" s="52"/>
      <c r="N61" s="52"/>
      <c r="O61" s="52"/>
      <c r="P61" s="52"/>
      <c r="Q61" s="125"/>
      <c r="R61" s="52" t="s">
        <v>205</v>
      </c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125"/>
      <c r="AK61" s="98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99"/>
    </row>
    <row r="62" spans="2:61" ht="20.100000000000001" customHeight="1" x14ac:dyDescent="0.45">
      <c r="B62" s="123"/>
      <c r="C62" s="31"/>
      <c r="D62" s="31"/>
      <c r="E62" s="31"/>
      <c r="F62" s="31"/>
      <c r="G62" s="96"/>
      <c r="H62" s="31"/>
      <c r="I62" s="31"/>
      <c r="J62" s="124" t="s">
        <v>152</v>
      </c>
      <c r="K62" s="52"/>
      <c r="L62" s="52"/>
      <c r="M62" s="52"/>
      <c r="N62" s="52"/>
      <c r="O62" s="52"/>
      <c r="P62" s="52"/>
      <c r="Q62" s="125"/>
      <c r="R62" s="52" t="s">
        <v>206</v>
      </c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125"/>
      <c r="AK62" s="98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99"/>
    </row>
    <row r="63" spans="2:61" ht="20.100000000000001" customHeight="1" x14ac:dyDescent="0.45">
      <c r="B63" s="123"/>
      <c r="C63" s="31"/>
      <c r="D63" s="31"/>
      <c r="E63" s="31"/>
      <c r="F63" s="31"/>
      <c r="G63" s="96"/>
      <c r="I63" s="31"/>
      <c r="J63" s="124" t="s">
        <v>153</v>
      </c>
      <c r="K63" s="52"/>
      <c r="L63" s="52"/>
      <c r="M63" s="52"/>
      <c r="N63" s="52"/>
      <c r="O63" s="52"/>
      <c r="P63" s="52"/>
      <c r="Q63" s="125"/>
      <c r="R63" s="52" t="s">
        <v>253</v>
      </c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125"/>
      <c r="AK63" s="98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99"/>
    </row>
    <row r="64" spans="2:61" ht="20.100000000000001" customHeight="1" x14ac:dyDescent="0.45">
      <c r="B64" s="123"/>
      <c r="C64" s="31"/>
      <c r="D64" s="31"/>
      <c r="E64" s="31"/>
      <c r="F64" s="31"/>
      <c r="G64" s="96"/>
      <c r="H64" s="100" t="s">
        <v>53</v>
      </c>
      <c r="I64" s="55"/>
      <c r="J64" s="100" t="s">
        <v>254</v>
      </c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101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55"/>
      <c r="BD64" s="55"/>
      <c r="BE64" s="55"/>
      <c r="BF64" s="55"/>
      <c r="BG64" s="55"/>
      <c r="BH64" s="55"/>
      <c r="BI64" s="102"/>
    </row>
    <row r="65" spans="2:61" ht="20.100000000000001" customHeight="1" x14ac:dyDescent="0.45">
      <c r="B65" s="123"/>
      <c r="C65" s="31"/>
      <c r="D65" s="31"/>
      <c r="E65" s="31"/>
      <c r="F65" s="31"/>
      <c r="G65" s="96"/>
      <c r="H65" s="97"/>
      <c r="I65" s="31"/>
      <c r="J65" s="97" t="s">
        <v>255</v>
      </c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98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99"/>
    </row>
    <row r="66" spans="2:61" ht="20.100000000000001" customHeight="1" x14ac:dyDescent="0.45">
      <c r="B66" s="95"/>
      <c r="C66" s="31"/>
      <c r="D66" s="31"/>
      <c r="E66" s="31"/>
      <c r="F66" s="31"/>
      <c r="G66" s="96"/>
      <c r="I66" s="31"/>
      <c r="J66" s="97" t="s">
        <v>256</v>
      </c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98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99"/>
    </row>
    <row r="67" spans="2:61" ht="20.100000000000001" customHeight="1" x14ac:dyDescent="0.45">
      <c r="B67" s="95"/>
      <c r="C67" s="31"/>
      <c r="D67" s="31"/>
      <c r="E67" s="31"/>
      <c r="F67" s="31"/>
      <c r="G67" s="96"/>
      <c r="H67" s="100" t="s">
        <v>54</v>
      </c>
      <c r="I67" s="55"/>
      <c r="J67" s="100" t="s">
        <v>158</v>
      </c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101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5"/>
      <c r="BE67" s="55"/>
      <c r="BF67" s="55"/>
      <c r="BG67" s="55"/>
      <c r="BH67" s="55"/>
      <c r="BI67" s="102"/>
    </row>
    <row r="68" spans="2:61" ht="20.100000000000001" customHeight="1" x14ac:dyDescent="0.45">
      <c r="B68" s="95"/>
      <c r="C68" s="31"/>
      <c r="D68" s="31"/>
      <c r="E68" s="31"/>
      <c r="F68" s="31"/>
      <c r="G68" s="96"/>
      <c r="H68" s="97"/>
      <c r="I68" s="31"/>
      <c r="J68" s="97"/>
      <c r="K68" s="31" t="s">
        <v>159</v>
      </c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98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99"/>
    </row>
    <row r="69" spans="2:61" ht="20.100000000000001" customHeight="1" x14ac:dyDescent="0.45">
      <c r="B69" s="95"/>
      <c r="C69" s="31"/>
      <c r="D69" s="31"/>
      <c r="E69" s="31"/>
      <c r="F69" s="31"/>
      <c r="G69" s="96"/>
      <c r="H69" s="97"/>
      <c r="I69" s="31"/>
      <c r="J69" s="97" t="s">
        <v>160</v>
      </c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98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99"/>
    </row>
    <row r="70" spans="2:61" ht="20.100000000000001" customHeight="1" x14ac:dyDescent="0.45">
      <c r="B70" s="95"/>
      <c r="C70" s="31"/>
      <c r="D70" s="31"/>
      <c r="E70" s="31"/>
      <c r="F70" s="31"/>
      <c r="G70" s="96"/>
      <c r="H70" s="103"/>
      <c r="I70" s="104"/>
      <c r="J70" s="103"/>
      <c r="K70" s="104" t="s">
        <v>161</v>
      </c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27"/>
      <c r="AK70" s="98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99"/>
    </row>
    <row r="71" spans="2:61" ht="20.100000000000001" customHeight="1" x14ac:dyDescent="0.45">
      <c r="B71" s="95"/>
      <c r="C71" s="31"/>
      <c r="D71" s="31"/>
      <c r="E71" s="31"/>
      <c r="F71" s="31"/>
      <c r="G71" s="96"/>
      <c r="H71" s="135" t="s">
        <v>55</v>
      </c>
      <c r="I71" s="134"/>
      <c r="J71" s="139" t="s">
        <v>304</v>
      </c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40" t="s">
        <v>262</v>
      </c>
      <c r="AL71" s="141"/>
      <c r="AM71" s="141"/>
      <c r="AN71" s="141"/>
      <c r="AO71" s="141"/>
      <c r="AP71" s="141"/>
      <c r="AQ71" s="141"/>
      <c r="AR71" s="141"/>
      <c r="AS71" s="141"/>
      <c r="AT71" s="141"/>
      <c r="AU71" s="141"/>
      <c r="AV71" s="141"/>
      <c r="AW71" s="141"/>
      <c r="AX71" s="141"/>
      <c r="AY71" s="141"/>
      <c r="AZ71" s="141"/>
      <c r="BA71" s="141"/>
      <c r="BB71" s="141"/>
      <c r="BC71" s="141"/>
      <c r="BD71" s="141"/>
      <c r="BE71" s="141"/>
      <c r="BF71" s="141"/>
      <c r="BG71" s="141"/>
      <c r="BH71" s="141"/>
      <c r="BI71" s="142"/>
    </row>
    <row r="72" spans="2:61" ht="20.100000000000001" customHeight="1" thickBot="1" x14ac:dyDescent="0.5">
      <c r="B72" s="95"/>
      <c r="C72" s="31"/>
      <c r="D72" s="31"/>
      <c r="E72" s="31"/>
      <c r="F72" s="31"/>
      <c r="G72" s="96"/>
      <c r="H72" s="135"/>
      <c r="I72" s="134"/>
      <c r="J72" s="135"/>
      <c r="K72" s="134" t="s">
        <v>267</v>
      </c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4"/>
      <c r="AH72" s="134"/>
      <c r="AI72" s="134"/>
      <c r="AJ72" s="134"/>
      <c r="AK72" s="135"/>
      <c r="AL72" s="134"/>
      <c r="AM72" s="134"/>
      <c r="AN72" s="134"/>
      <c r="AO72" s="134"/>
      <c r="AP72" s="134"/>
      <c r="AQ72" s="134"/>
      <c r="AR72" s="134"/>
      <c r="AS72" s="134"/>
      <c r="AT72" s="134"/>
      <c r="AU72" s="134"/>
      <c r="AV72" s="134"/>
      <c r="AW72" s="134"/>
      <c r="AX72" s="134"/>
      <c r="AY72" s="134"/>
      <c r="AZ72" s="134"/>
      <c r="BA72" s="134"/>
      <c r="BB72" s="134"/>
      <c r="BC72" s="134"/>
      <c r="BD72" s="134"/>
      <c r="BE72" s="134"/>
      <c r="BF72" s="134"/>
      <c r="BG72" s="134"/>
      <c r="BH72" s="134"/>
      <c r="BI72" s="137"/>
    </row>
    <row r="73" spans="2:61" ht="20.100000000000001" customHeight="1" x14ac:dyDescent="0.45">
      <c r="B73" s="89" t="s">
        <v>162</v>
      </c>
      <c r="C73" s="90"/>
      <c r="D73" s="90"/>
      <c r="E73" s="90"/>
      <c r="F73" s="90"/>
      <c r="G73" s="91"/>
      <c r="H73" s="92" t="s">
        <v>84</v>
      </c>
      <c r="I73" s="90"/>
      <c r="J73" s="120" t="s">
        <v>129</v>
      </c>
      <c r="K73" s="121"/>
      <c r="L73" s="121"/>
      <c r="M73" s="121"/>
      <c r="N73" s="121"/>
      <c r="O73" s="121"/>
      <c r="P73" s="121"/>
      <c r="Q73" s="122"/>
      <c r="R73" s="121" t="s">
        <v>163</v>
      </c>
      <c r="S73" s="121"/>
      <c r="T73" s="121"/>
      <c r="U73" s="121"/>
      <c r="V73" s="121"/>
      <c r="W73" s="121"/>
      <c r="X73" s="121"/>
      <c r="Y73" s="121"/>
      <c r="Z73" s="121"/>
      <c r="AA73" s="121"/>
      <c r="AB73" s="121"/>
      <c r="AC73" s="121"/>
      <c r="AD73" s="121"/>
      <c r="AE73" s="121"/>
      <c r="AF73" s="121"/>
      <c r="AG73" s="121"/>
      <c r="AH73" s="121"/>
      <c r="AI73" s="121"/>
      <c r="AJ73" s="122"/>
      <c r="AK73" s="93" t="s">
        <v>270</v>
      </c>
      <c r="AL73" s="90"/>
      <c r="AM73" s="90"/>
      <c r="AN73" s="90"/>
      <c r="AO73" s="90"/>
      <c r="AP73" s="90"/>
      <c r="AQ73" s="90"/>
      <c r="AR73" s="90"/>
      <c r="AS73" s="90"/>
      <c r="AT73" s="90"/>
      <c r="AU73" s="90"/>
      <c r="AV73" s="90"/>
      <c r="AW73" s="90"/>
      <c r="AX73" s="90"/>
      <c r="AY73" s="90"/>
      <c r="AZ73" s="90"/>
      <c r="BA73" s="90"/>
      <c r="BB73" s="90"/>
      <c r="BC73" s="90"/>
      <c r="BD73" s="90"/>
      <c r="BE73" s="90"/>
      <c r="BF73" s="90"/>
      <c r="BG73" s="90"/>
      <c r="BH73" s="90"/>
      <c r="BI73" s="94"/>
    </row>
    <row r="74" spans="2:61" ht="20.100000000000001" customHeight="1" x14ac:dyDescent="0.45">
      <c r="B74" s="123"/>
      <c r="C74" s="31"/>
      <c r="D74" s="31"/>
      <c r="E74" s="31"/>
      <c r="F74" s="31"/>
      <c r="G74" s="96"/>
      <c r="H74" s="97"/>
      <c r="I74" s="31"/>
      <c r="J74" s="124" t="s">
        <v>130</v>
      </c>
      <c r="K74" s="52"/>
      <c r="L74" s="52"/>
      <c r="M74" s="52"/>
      <c r="N74" s="52"/>
      <c r="O74" s="52"/>
      <c r="P74" s="52"/>
      <c r="Q74" s="125"/>
      <c r="R74" s="52" t="s">
        <v>181</v>
      </c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125"/>
      <c r="AK74" s="98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99"/>
    </row>
    <row r="75" spans="2:61" ht="20.100000000000001" customHeight="1" x14ac:dyDescent="0.45">
      <c r="B75" s="123"/>
      <c r="C75" s="31"/>
      <c r="D75" s="31"/>
      <c r="E75" s="31"/>
      <c r="F75" s="31"/>
      <c r="G75" s="96"/>
      <c r="H75" s="97"/>
      <c r="I75" s="31"/>
      <c r="J75" s="124" t="s">
        <v>131</v>
      </c>
      <c r="K75" s="52"/>
      <c r="L75" s="52"/>
      <c r="M75" s="52"/>
      <c r="N75" s="52"/>
      <c r="O75" s="52"/>
      <c r="P75" s="52"/>
      <c r="Q75" s="125"/>
      <c r="R75" s="52" t="s">
        <v>182</v>
      </c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125"/>
      <c r="AK75" s="98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99"/>
    </row>
    <row r="76" spans="2:61" ht="20.100000000000001" customHeight="1" x14ac:dyDescent="0.45">
      <c r="B76" s="123"/>
      <c r="C76" s="31"/>
      <c r="D76" s="31"/>
      <c r="E76" s="31"/>
      <c r="F76" s="31"/>
      <c r="G76" s="96"/>
      <c r="H76" s="97"/>
      <c r="I76" s="31"/>
      <c r="J76" s="124" t="s">
        <v>132</v>
      </c>
      <c r="K76" s="52"/>
      <c r="L76" s="52"/>
      <c r="M76" s="52"/>
      <c r="N76" s="52"/>
      <c r="O76" s="52"/>
      <c r="P76" s="52"/>
      <c r="Q76" s="125"/>
      <c r="R76" s="52" t="s">
        <v>183</v>
      </c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125"/>
      <c r="AK76" s="98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99"/>
    </row>
    <row r="77" spans="2:61" ht="20.100000000000001" customHeight="1" x14ac:dyDescent="0.45">
      <c r="B77" s="123"/>
      <c r="C77" s="31"/>
      <c r="D77" s="31"/>
      <c r="E77" s="31"/>
      <c r="F77" s="31"/>
      <c r="G77" s="96"/>
      <c r="H77" s="31"/>
      <c r="I77" s="31"/>
      <c r="J77" s="124" t="s">
        <v>133</v>
      </c>
      <c r="K77" s="52"/>
      <c r="L77" s="52"/>
      <c r="M77" s="52"/>
      <c r="N77" s="52"/>
      <c r="O77" s="52"/>
      <c r="P77" s="52"/>
      <c r="Q77" s="125"/>
      <c r="R77" s="52" t="s">
        <v>184</v>
      </c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125"/>
      <c r="AK77" s="98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99"/>
    </row>
    <row r="78" spans="2:61" ht="20.100000000000001" customHeight="1" x14ac:dyDescent="0.45">
      <c r="B78" s="123"/>
      <c r="C78" s="31"/>
      <c r="D78" s="31"/>
      <c r="E78" s="31"/>
      <c r="F78" s="31"/>
      <c r="G78" s="96"/>
      <c r="H78" s="31"/>
      <c r="I78" s="31"/>
      <c r="J78" s="124" t="s">
        <v>134</v>
      </c>
      <c r="K78" s="52"/>
      <c r="L78" s="52"/>
      <c r="M78" s="52"/>
      <c r="N78" s="52"/>
      <c r="O78" s="52"/>
      <c r="P78" s="52"/>
      <c r="Q78" s="125"/>
      <c r="R78" s="52" t="s">
        <v>185</v>
      </c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125"/>
      <c r="AK78" s="98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99"/>
    </row>
    <row r="79" spans="2:61" ht="20.100000000000001" customHeight="1" x14ac:dyDescent="0.45">
      <c r="B79" s="123"/>
      <c r="C79" s="31"/>
      <c r="D79" s="31"/>
      <c r="E79" s="31"/>
      <c r="F79" s="31"/>
      <c r="G79" s="96"/>
      <c r="H79" s="31"/>
      <c r="I79" s="31"/>
      <c r="J79" s="124" t="s">
        <v>156</v>
      </c>
      <c r="K79" s="52"/>
      <c r="L79" s="52"/>
      <c r="M79" s="52"/>
      <c r="N79" s="52"/>
      <c r="O79" s="52"/>
      <c r="P79" s="52"/>
      <c r="Q79" s="125"/>
      <c r="R79" s="52" t="s">
        <v>186</v>
      </c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125"/>
      <c r="AK79" s="98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99"/>
    </row>
    <row r="80" spans="2:61" ht="20.100000000000001" customHeight="1" x14ac:dyDescent="0.45">
      <c r="B80" s="123"/>
      <c r="C80" s="31"/>
      <c r="D80" s="31"/>
      <c r="E80" s="31"/>
      <c r="F80" s="31"/>
      <c r="G80" s="96"/>
      <c r="I80" s="31"/>
      <c r="J80" s="124" t="s">
        <v>135</v>
      </c>
      <c r="K80" s="52"/>
      <c r="L80" s="52"/>
      <c r="M80" s="52"/>
      <c r="N80" s="52"/>
      <c r="O80" s="52"/>
      <c r="P80" s="52"/>
      <c r="Q80" s="125"/>
      <c r="R80" s="52" t="s">
        <v>187</v>
      </c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125"/>
      <c r="AK80" s="98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99"/>
    </row>
    <row r="81" spans="2:61" ht="20.100000000000001" customHeight="1" x14ac:dyDescent="0.45">
      <c r="B81" s="123"/>
      <c r="C81" s="31"/>
      <c r="D81" s="31"/>
      <c r="E81" s="31"/>
      <c r="F81" s="31"/>
      <c r="G81" s="96"/>
      <c r="H81" s="31"/>
      <c r="I81" s="31"/>
      <c r="J81" s="124" t="s">
        <v>136</v>
      </c>
      <c r="K81" s="52"/>
      <c r="L81" s="52"/>
      <c r="M81" s="52"/>
      <c r="N81" s="52"/>
      <c r="O81" s="52"/>
      <c r="P81" s="52"/>
      <c r="Q81" s="125"/>
      <c r="R81" s="52" t="s">
        <v>188</v>
      </c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125"/>
      <c r="AK81" s="98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99"/>
    </row>
    <row r="82" spans="2:61" ht="20.100000000000001" customHeight="1" x14ac:dyDescent="0.45">
      <c r="B82" s="123"/>
      <c r="C82" s="31"/>
      <c r="D82" s="31"/>
      <c r="E82" s="31"/>
      <c r="F82" s="31"/>
      <c r="G82" s="96"/>
      <c r="I82" s="31"/>
      <c r="J82" s="124" t="s">
        <v>137</v>
      </c>
      <c r="K82" s="52"/>
      <c r="L82" s="52"/>
      <c r="M82" s="52"/>
      <c r="N82" s="52"/>
      <c r="O82" s="52"/>
      <c r="P82" s="52"/>
      <c r="Q82" s="125"/>
      <c r="R82" s="130" t="s">
        <v>164</v>
      </c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125"/>
      <c r="AK82" s="98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99"/>
    </row>
    <row r="83" spans="2:61" ht="20.100000000000001" customHeight="1" x14ac:dyDescent="0.45">
      <c r="B83" s="123"/>
      <c r="C83" s="31"/>
      <c r="D83" s="31"/>
      <c r="E83" s="31"/>
      <c r="F83" s="31"/>
      <c r="G83" s="96"/>
      <c r="H83" s="31"/>
      <c r="I83" s="31"/>
      <c r="J83" s="124" t="s">
        <v>138</v>
      </c>
      <c r="K83" s="52"/>
      <c r="L83" s="52"/>
      <c r="M83" s="52"/>
      <c r="N83" s="52"/>
      <c r="O83" s="52"/>
      <c r="P83" s="52"/>
      <c r="Q83" s="125"/>
      <c r="R83" s="130" t="s">
        <v>165</v>
      </c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125"/>
      <c r="AK83" s="98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99"/>
    </row>
    <row r="84" spans="2:61" ht="20.100000000000001" customHeight="1" x14ac:dyDescent="0.45">
      <c r="B84" s="123"/>
      <c r="C84" s="31"/>
      <c r="D84" s="31"/>
      <c r="E84" s="31"/>
      <c r="F84" s="31"/>
      <c r="G84" s="96"/>
      <c r="I84" s="31"/>
      <c r="J84" s="124" t="s">
        <v>139</v>
      </c>
      <c r="K84" s="52"/>
      <c r="L84" s="52"/>
      <c r="M84" s="52"/>
      <c r="N84" s="52"/>
      <c r="O84" s="52"/>
      <c r="P84" s="52"/>
      <c r="Q84" s="125"/>
      <c r="R84" s="130" t="s">
        <v>166</v>
      </c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125"/>
      <c r="AK84" s="98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99"/>
    </row>
    <row r="85" spans="2:61" ht="20.100000000000001" customHeight="1" x14ac:dyDescent="0.45">
      <c r="B85" s="123"/>
      <c r="C85" s="31"/>
      <c r="D85" s="31"/>
      <c r="E85" s="31"/>
      <c r="F85" s="31"/>
      <c r="G85" s="96"/>
      <c r="H85" s="31"/>
      <c r="I85" s="31"/>
      <c r="J85" s="124" t="s">
        <v>140</v>
      </c>
      <c r="K85" s="52"/>
      <c r="L85" s="52"/>
      <c r="M85" s="52"/>
      <c r="N85" s="52"/>
      <c r="O85" s="52"/>
      <c r="P85" s="52"/>
      <c r="Q85" s="125"/>
      <c r="R85" s="130" t="s">
        <v>167</v>
      </c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125"/>
      <c r="AK85" s="98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99"/>
    </row>
    <row r="86" spans="2:61" ht="20.100000000000001" customHeight="1" x14ac:dyDescent="0.45">
      <c r="B86" s="123"/>
      <c r="C86" s="31"/>
      <c r="D86" s="31"/>
      <c r="E86" s="31"/>
      <c r="F86" s="31"/>
      <c r="G86" s="96"/>
      <c r="I86" s="31"/>
      <c r="J86" s="124" t="s">
        <v>141</v>
      </c>
      <c r="K86" s="52"/>
      <c r="L86" s="52"/>
      <c r="M86" s="52"/>
      <c r="N86" s="52"/>
      <c r="O86" s="52"/>
      <c r="P86" s="52"/>
      <c r="Q86" s="125"/>
      <c r="R86" s="130" t="s">
        <v>168</v>
      </c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125"/>
      <c r="AK86" s="98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99"/>
    </row>
    <row r="87" spans="2:61" ht="20.100000000000001" customHeight="1" x14ac:dyDescent="0.45">
      <c r="B87" s="123"/>
      <c r="C87" s="31"/>
      <c r="D87" s="31"/>
      <c r="E87" s="31"/>
      <c r="F87" s="31"/>
      <c r="G87" s="96"/>
      <c r="H87" s="31"/>
      <c r="I87" s="31"/>
      <c r="J87" s="124" t="s">
        <v>142</v>
      </c>
      <c r="K87" s="52"/>
      <c r="L87" s="52"/>
      <c r="M87" s="52"/>
      <c r="N87" s="52"/>
      <c r="O87" s="52"/>
      <c r="P87" s="52"/>
      <c r="Q87" s="125"/>
      <c r="R87" s="130" t="s">
        <v>169</v>
      </c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125"/>
      <c r="AK87" s="98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99"/>
    </row>
    <row r="88" spans="2:61" ht="20.100000000000001" customHeight="1" x14ac:dyDescent="0.45">
      <c r="B88" s="123"/>
      <c r="C88" s="31"/>
      <c r="D88" s="31"/>
      <c r="E88" s="31"/>
      <c r="F88" s="31"/>
      <c r="G88" s="96"/>
      <c r="I88" s="31"/>
      <c r="J88" s="124" t="s">
        <v>143</v>
      </c>
      <c r="K88" s="52"/>
      <c r="L88" s="52"/>
      <c r="M88" s="52"/>
      <c r="N88" s="52"/>
      <c r="O88" s="52"/>
      <c r="P88" s="52"/>
      <c r="Q88" s="125"/>
      <c r="R88" s="130" t="s">
        <v>170</v>
      </c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125"/>
      <c r="AK88" s="98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99"/>
    </row>
    <row r="89" spans="2:61" ht="20.100000000000001" customHeight="1" x14ac:dyDescent="0.45">
      <c r="B89" s="123"/>
      <c r="C89" s="31"/>
      <c r="D89" s="31"/>
      <c r="E89" s="31"/>
      <c r="F89" s="31"/>
      <c r="G89" s="96"/>
      <c r="H89" s="31"/>
      <c r="I89" s="31"/>
      <c r="J89" s="124" t="s">
        <v>144</v>
      </c>
      <c r="K89" s="52"/>
      <c r="L89" s="52"/>
      <c r="M89" s="52"/>
      <c r="N89" s="52"/>
      <c r="O89" s="52"/>
      <c r="P89" s="52"/>
      <c r="Q89" s="125"/>
      <c r="R89" s="130" t="s">
        <v>171</v>
      </c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125"/>
      <c r="AK89" s="98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99"/>
    </row>
    <row r="90" spans="2:61" ht="20.100000000000001" customHeight="1" x14ac:dyDescent="0.45">
      <c r="B90" s="123"/>
      <c r="C90" s="31"/>
      <c r="D90" s="31"/>
      <c r="E90" s="31"/>
      <c r="F90" s="31"/>
      <c r="G90" s="96"/>
      <c r="I90" s="31"/>
      <c r="J90" s="124" t="s">
        <v>145</v>
      </c>
      <c r="K90" s="52"/>
      <c r="L90" s="52"/>
      <c r="M90" s="52"/>
      <c r="N90" s="52"/>
      <c r="O90" s="52"/>
      <c r="P90" s="52"/>
      <c r="Q90" s="125"/>
      <c r="R90" s="130" t="s">
        <v>172</v>
      </c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125"/>
      <c r="AK90" s="98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99"/>
    </row>
    <row r="91" spans="2:61" ht="20.100000000000001" customHeight="1" x14ac:dyDescent="0.45">
      <c r="B91" s="123"/>
      <c r="C91" s="31"/>
      <c r="D91" s="31"/>
      <c r="E91" s="31"/>
      <c r="F91" s="31"/>
      <c r="G91" s="96"/>
      <c r="H91" s="31"/>
      <c r="I91" s="31"/>
      <c r="J91" s="124" t="s">
        <v>146</v>
      </c>
      <c r="K91" s="52"/>
      <c r="L91" s="52"/>
      <c r="M91" s="52"/>
      <c r="N91" s="52"/>
      <c r="O91" s="52"/>
      <c r="P91" s="52"/>
      <c r="Q91" s="125"/>
      <c r="R91" s="130" t="s">
        <v>173</v>
      </c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125"/>
      <c r="AK91" s="98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99"/>
    </row>
    <row r="92" spans="2:61" ht="20.100000000000001" customHeight="1" x14ac:dyDescent="0.45">
      <c r="B92" s="123"/>
      <c r="C92" s="31"/>
      <c r="D92" s="31"/>
      <c r="E92" s="31"/>
      <c r="F92" s="31"/>
      <c r="G92" s="96"/>
      <c r="I92" s="31"/>
      <c r="J92" s="124" t="s">
        <v>147</v>
      </c>
      <c r="K92" s="52"/>
      <c r="L92" s="52"/>
      <c r="M92" s="52"/>
      <c r="N92" s="52"/>
      <c r="O92" s="52"/>
      <c r="P92" s="52"/>
      <c r="Q92" s="125"/>
      <c r="R92" s="130" t="s">
        <v>174</v>
      </c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125"/>
      <c r="AK92" s="98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99"/>
    </row>
    <row r="93" spans="2:61" ht="20.100000000000001" customHeight="1" x14ac:dyDescent="0.45">
      <c r="B93" s="123"/>
      <c r="C93" s="31"/>
      <c r="D93" s="31"/>
      <c r="E93" s="31"/>
      <c r="F93" s="31"/>
      <c r="G93" s="96"/>
      <c r="H93" s="31"/>
      <c r="I93" s="31"/>
      <c r="J93" s="124" t="s">
        <v>148</v>
      </c>
      <c r="K93" s="52"/>
      <c r="L93" s="52"/>
      <c r="M93" s="52"/>
      <c r="N93" s="52"/>
      <c r="O93" s="52"/>
      <c r="P93" s="52"/>
      <c r="Q93" s="125"/>
      <c r="R93" s="52" t="s">
        <v>175</v>
      </c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125"/>
      <c r="AK93" s="98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99"/>
    </row>
    <row r="94" spans="2:61" ht="20.100000000000001" customHeight="1" x14ac:dyDescent="0.45">
      <c r="B94" s="123"/>
      <c r="C94" s="31"/>
      <c r="D94" s="31"/>
      <c r="E94" s="31"/>
      <c r="F94" s="31"/>
      <c r="G94" s="96"/>
      <c r="I94" s="31"/>
      <c r="J94" s="124" t="s">
        <v>149</v>
      </c>
      <c r="K94" s="52"/>
      <c r="L94" s="52"/>
      <c r="M94" s="52"/>
      <c r="N94" s="52"/>
      <c r="O94" s="52"/>
      <c r="P94" s="52"/>
      <c r="Q94" s="125"/>
      <c r="R94" s="130" t="s">
        <v>176</v>
      </c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125"/>
      <c r="AK94" s="98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99"/>
    </row>
    <row r="95" spans="2:61" ht="20.100000000000001" customHeight="1" x14ac:dyDescent="0.45">
      <c r="B95" s="123"/>
      <c r="C95" s="31"/>
      <c r="D95" s="31"/>
      <c r="E95" s="31"/>
      <c r="F95" s="31"/>
      <c r="G95" s="96"/>
      <c r="H95" s="31"/>
      <c r="I95" s="31"/>
      <c r="J95" s="124" t="s">
        <v>150</v>
      </c>
      <c r="K95" s="52"/>
      <c r="L95" s="52"/>
      <c r="M95" s="52"/>
      <c r="N95" s="52"/>
      <c r="O95" s="52"/>
      <c r="P95" s="52"/>
      <c r="Q95" s="125"/>
      <c r="R95" s="52" t="s">
        <v>177</v>
      </c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125"/>
      <c r="AK95" s="98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99"/>
    </row>
    <row r="96" spans="2:61" ht="20.100000000000001" customHeight="1" x14ac:dyDescent="0.45">
      <c r="B96" s="123"/>
      <c r="C96" s="31"/>
      <c r="D96" s="31"/>
      <c r="E96" s="31"/>
      <c r="F96" s="31"/>
      <c r="G96" s="96"/>
      <c r="I96" s="31"/>
      <c r="J96" s="124" t="s">
        <v>151</v>
      </c>
      <c r="K96" s="52"/>
      <c r="L96" s="52"/>
      <c r="M96" s="52"/>
      <c r="N96" s="52"/>
      <c r="O96" s="52"/>
      <c r="P96" s="52"/>
      <c r="Q96" s="125"/>
      <c r="R96" s="52" t="s">
        <v>207</v>
      </c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125"/>
      <c r="AK96" s="98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99"/>
    </row>
    <row r="97" spans="2:61" ht="20.100000000000001" customHeight="1" x14ac:dyDescent="0.45">
      <c r="B97" s="123"/>
      <c r="C97" s="31"/>
      <c r="D97" s="31"/>
      <c r="E97" s="31"/>
      <c r="F97" s="31"/>
      <c r="G97" s="96"/>
      <c r="H97" s="31"/>
      <c r="I97" s="31"/>
      <c r="J97" s="124" t="s">
        <v>152</v>
      </c>
      <c r="K97" s="52"/>
      <c r="L97" s="52"/>
      <c r="M97" s="52"/>
      <c r="N97" s="52"/>
      <c r="O97" s="52"/>
      <c r="P97" s="52"/>
      <c r="Q97" s="125"/>
      <c r="R97" s="130" t="s">
        <v>178</v>
      </c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125"/>
      <c r="AK97" s="98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99"/>
    </row>
    <row r="98" spans="2:61" ht="20.100000000000001" customHeight="1" x14ac:dyDescent="0.45">
      <c r="B98" s="123"/>
      <c r="C98" s="31"/>
      <c r="D98" s="31"/>
      <c r="E98" s="31"/>
      <c r="F98" s="31"/>
      <c r="G98" s="96"/>
      <c r="I98" s="31"/>
      <c r="J98" s="124" t="s">
        <v>153</v>
      </c>
      <c r="K98" s="52"/>
      <c r="L98" s="52"/>
      <c r="M98" s="52"/>
      <c r="N98" s="52"/>
      <c r="O98" s="52"/>
      <c r="P98" s="52"/>
      <c r="Q98" s="125"/>
      <c r="R98" s="52" t="s">
        <v>179</v>
      </c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125"/>
      <c r="AK98" s="98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99"/>
    </row>
    <row r="99" spans="2:61" ht="20.100000000000001" customHeight="1" x14ac:dyDescent="0.45">
      <c r="B99" s="123"/>
      <c r="C99" s="31"/>
      <c r="D99" s="31"/>
      <c r="E99" s="31"/>
      <c r="F99" s="31"/>
      <c r="G99" s="96"/>
      <c r="H99" s="100" t="s">
        <v>53</v>
      </c>
      <c r="I99" s="55"/>
      <c r="J99" s="100" t="s">
        <v>157</v>
      </c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101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  <c r="BA99" s="55"/>
      <c r="BB99" s="55"/>
      <c r="BC99" s="55"/>
      <c r="BD99" s="55"/>
      <c r="BE99" s="55"/>
      <c r="BF99" s="55"/>
      <c r="BG99" s="55"/>
      <c r="BH99" s="55"/>
      <c r="BI99" s="102"/>
    </row>
    <row r="100" spans="2:61" ht="20.100000000000001" customHeight="1" x14ac:dyDescent="0.45">
      <c r="B100" s="95"/>
      <c r="C100" s="31"/>
      <c r="D100" s="31"/>
      <c r="E100" s="31"/>
      <c r="F100" s="31"/>
      <c r="G100" s="96"/>
      <c r="H100" s="100" t="s">
        <v>54</v>
      </c>
      <c r="I100" s="55"/>
      <c r="J100" s="100" t="s">
        <v>158</v>
      </c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101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5"/>
      <c r="BD100" s="55"/>
      <c r="BE100" s="55"/>
      <c r="BF100" s="55"/>
      <c r="BG100" s="55"/>
      <c r="BH100" s="55"/>
      <c r="BI100" s="102"/>
    </row>
    <row r="101" spans="2:61" ht="20.100000000000001" customHeight="1" x14ac:dyDescent="0.45">
      <c r="B101" s="95"/>
      <c r="C101" s="31"/>
      <c r="D101" s="31"/>
      <c r="E101" s="31"/>
      <c r="F101" s="31"/>
      <c r="G101" s="96"/>
      <c r="H101" s="103"/>
      <c r="I101" s="104"/>
      <c r="J101" s="103"/>
      <c r="K101" s="104" t="s">
        <v>159</v>
      </c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  <c r="AD101" s="104"/>
      <c r="AE101" s="104"/>
      <c r="AF101" s="104"/>
      <c r="AG101" s="104"/>
      <c r="AH101" s="104"/>
      <c r="AI101" s="104"/>
      <c r="AJ101" s="127"/>
      <c r="AK101" s="105"/>
      <c r="AL101" s="104"/>
      <c r="AM101" s="104"/>
      <c r="AN101" s="104"/>
      <c r="AO101" s="104"/>
      <c r="AP101" s="104"/>
      <c r="AQ101" s="104"/>
      <c r="AR101" s="104"/>
      <c r="AS101" s="104"/>
      <c r="AT101" s="104"/>
      <c r="AU101" s="104"/>
      <c r="AV101" s="104"/>
      <c r="AW101" s="104"/>
      <c r="AX101" s="104"/>
      <c r="AY101" s="104"/>
      <c r="AZ101" s="104"/>
      <c r="BA101" s="104"/>
      <c r="BB101" s="104"/>
      <c r="BC101" s="104"/>
      <c r="BD101" s="104"/>
      <c r="BE101" s="104"/>
      <c r="BF101" s="104"/>
      <c r="BG101" s="104"/>
      <c r="BH101" s="104"/>
      <c r="BI101" s="106"/>
    </row>
    <row r="102" spans="2:61" ht="20.100000000000001" customHeight="1" x14ac:dyDescent="0.45">
      <c r="B102" s="95"/>
      <c r="C102" s="31"/>
      <c r="D102" s="31"/>
      <c r="E102" s="31"/>
      <c r="F102" s="31"/>
      <c r="G102" s="96"/>
      <c r="H102" s="135" t="s">
        <v>55</v>
      </c>
      <c r="I102" s="134"/>
      <c r="J102" s="139" t="s">
        <v>304</v>
      </c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8"/>
      <c r="V102" s="134"/>
      <c r="W102" s="134"/>
      <c r="X102" s="134"/>
      <c r="Y102" s="134"/>
      <c r="Z102" s="134"/>
      <c r="AA102" s="134"/>
      <c r="AB102" s="134"/>
      <c r="AC102" s="134"/>
      <c r="AD102" s="134"/>
      <c r="AE102" s="134"/>
      <c r="AF102" s="134"/>
      <c r="AG102" s="134"/>
      <c r="AH102" s="134"/>
      <c r="AI102" s="134"/>
      <c r="AJ102" s="134"/>
      <c r="AK102" s="136" t="s">
        <v>261</v>
      </c>
      <c r="AL102" s="134"/>
      <c r="AM102" s="134"/>
      <c r="AN102" s="134"/>
      <c r="AO102" s="134"/>
      <c r="AP102" s="134"/>
      <c r="AQ102" s="134"/>
      <c r="AR102" s="134"/>
      <c r="AS102" s="134"/>
      <c r="AT102" s="134"/>
      <c r="AU102" s="134"/>
      <c r="AV102" s="134"/>
      <c r="AW102" s="134"/>
      <c r="AX102" s="134"/>
      <c r="AY102" s="134"/>
      <c r="AZ102" s="134"/>
      <c r="BA102" s="134"/>
      <c r="BB102" s="134"/>
      <c r="BC102" s="134"/>
      <c r="BD102" s="134"/>
      <c r="BE102" s="134"/>
      <c r="BF102" s="134"/>
      <c r="BG102" s="134"/>
      <c r="BH102" s="134"/>
      <c r="BI102" s="137"/>
    </row>
    <row r="103" spans="2:61" ht="20.100000000000001" customHeight="1" x14ac:dyDescent="0.45">
      <c r="B103" s="95"/>
      <c r="C103" s="31"/>
      <c r="D103" s="31"/>
      <c r="E103" s="31"/>
      <c r="F103" s="31"/>
      <c r="G103" s="96"/>
      <c r="H103" s="135"/>
      <c r="I103" s="134"/>
      <c r="J103" s="135" t="s">
        <v>267</v>
      </c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  <c r="AA103" s="134"/>
      <c r="AB103" s="134"/>
      <c r="AC103" s="134"/>
      <c r="AD103" s="134"/>
      <c r="AE103" s="134"/>
      <c r="AF103" s="134"/>
      <c r="AG103" s="134"/>
      <c r="AH103" s="134"/>
      <c r="AI103" s="134"/>
      <c r="AJ103" s="134"/>
      <c r="AK103" s="136"/>
      <c r="AL103" s="134"/>
      <c r="AM103" s="134"/>
      <c r="AN103" s="134"/>
      <c r="AO103" s="134"/>
      <c r="AP103" s="134"/>
      <c r="AQ103" s="134"/>
      <c r="AR103" s="134"/>
      <c r="AS103" s="134"/>
      <c r="AT103" s="134"/>
      <c r="AU103" s="134"/>
      <c r="AV103" s="134"/>
      <c r="AW103" s="134"/>
      <c r="AX103" s="134"/>
      <c r="AY103" s="134"/>
      <c r="AZ103" s="134"/>
      <c r="BA103" s="134"/>
      <c r="BB103" s="134"/>
      <c r="BC103" s="134"/>
      <c r="BD103" s="134"/>
      <c r="BE103" s="134"/>
      <c r="BF103" s="134"/>
      <c r="BG103" s="134"/>
      <c r="BH103" s="134"/>
      <c r="BI103" s="137"/>
    </row>
    <row r="104" spans="2:61" ht="20.100000000000001" customHeight="1" thickBot="1" x14ac:dyDescent="0.5">
      <c r="B104" s="95"/>
      <c r="C104" s="31"/>
      <c r="D104" s="31"/>
      <c r="E104" s="31"/>
      <c r="F104" s="31"/>
      <c r="G104" s="96"/>
      <c r="H104" s="97"/>
      <c r="I104" s="31"/>
      <c r="J104" s="144" t="s">
        <v>268</v>
      </c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98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99"/>
    </row>
    <row r="105" spans="2:61" ht="5.0999999999999996" customHeight="1" x14ac:dyDescent="0.45"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90"/>
      <c r="AN105" s="90"/>
      <c r="AO105" s="90"/>
      <c r="AP105" s="90"/>
      <c r="AQ105" s="90"/>
      <c r="AR105" s="90"/>
      <c r="AS105" s="90"/>
      <c r="AT105" s="90"/>
      <c r="AU105" s="90"/>
      <c r="AV105" s="90"/>
      <c r="AW105" s="90"/>
      <c r="AX105" s="90"/>
      <c r="AY105" s="90"/>
      <c r="AZ105" s="90"/>
      <c r="BA105" s="90"/>
      <c r="BB105" s="90"/>
      <c r="BC105" s="90"/>
      <c r="BD105" s="90"/>
      <c r="BE105" s="90"/>
      <c r="BF105" s="90"/>
      <c r="BG105" s="90"/>
      <c r="BH105" s="90"/>
      <c r="BI105" s="90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36"/>
  <sheetViews>
    <sheetView showGridLines="0"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16" t="s">
        <v>0</v>
      </c>
      <c r="C2" s="211"/>
      <c r="D2" s="211"/>
      <c r="E2" s="211"/>
      <c r="F2" s="211"/>
      <c r="G2" s="211"/>
      <c r="H2" s="211" t="s">
        <v>17</v>
      </c>
      <c r="I2" s="211"/>
      <c r="J2" s="211"/>
      <c r="K2" s="211"/>
      <c r="L2" s="211" t="s">
        <v>1</v>
      </c>
      <c r="M2" s="211"/>
      <c r="N2" s="211"/>
      <c r="O2" s="211"/>
      <c r="P2" s="211"/>
      <c r="Q2" s="211"/>
      <c r="R2" s="211" t="s">
        <v>2</v>
      </c>
      <c r="S2" s="211"/>
      <c r="T2" s="211"/>
      <c r="U2" s="211"/>
      <c r="V2" s="211"/>
      <c r="W2" s="211"/>
      <c r="X2" s="217" t="s">
        <v>3</v>
      </c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9"/>
      <c r="AK2" s="217" t="s">
        <v>32</v>
      </c>
      <c r="AL2" s="218"/>
      <c r="AM2" s="218"/>
      <c r="AN2" s="218"/>
      <c r="AO2" s="218"/>
      <c r="AP2" s="218"/>
      <c r="AQ2" s="218"/>
      <c r="AR2" s="218"/>
      <c r="AS2" s="218"/>
      <c r="AT2" s="218"/>
      <c r="AU2" s="218"/>
      <c r="AV2" s="218"/>
      <c r="AW2" s="219"/>
      <c r="AX2" s="211" t="s">
        <v>5</v>
      </c>
      <c r="AY2" s="211"/>
      <c r="AZ2" s="211"/>
      <c r="BA2" s="211"/>
      <c r="BB2" s="211" t="s">
        <v>4</v>
      </c>
      <c r="BC2" s="211"/>
      <c r="BD2" s="211"/>
      <c r="BE2" s="211"/>
      <c r="BF2" s="211" t="s">
        <v>6</v>
      </c>
      <c r="BG2" s="211"/>
      <c r="BH2" s="211"/>
      <c r="BI2" s="211"/>
      <c r="BJ2" s="211" t="s">
        <v>7</v>
      </c>
      <c r="BK2" s="211"/>
      <c r="BL2" s="211"/>
      <c r="BM2" s="212"/>
    </row>
    <row r="3" spans="2:65" ht="20.100000000000001" customHeight="1" x14ac:dyDescent="0.45">
      <c r="B3" s="220" t="str">
        <f>変更履歴!B3</f>
        <v>受発注システム</v>
      </c>
      <c r="C3" s="153"/>
      <c r="D3" s="153"/>
      <c r="E3" s="153"/>
      <c r="F3" s="153"/>
      <c r="G3" s="153"/>
      <c r="H3" s="153" t="str">
        <f ca="1">変更履歴!H3</f>
        <v>SS0300</v>
      </c>
      <c r="I3" s="153"/>
      <c r="J3" s="153"/>
      <c r="K3" s="153"/>
      <c r="L3" s="153" t="str">
        <f>変更履歴!L3</f>
        <v>受発注</v>
      </c>
      <c r="M3" s="153"/>
      <c r="N3" s="153"/>
      <c r="O3" s="153"/>
      <c r="P3" s="153"/>
      <c r="Q3" s="153"/>
      <c r="R3" s="153" t="str">
        <f ca="1">変更履歴!R3</f>
        <v>帳票設計書</v>
      </c>
      <c r="S3" s="153"/>
      <c r="T3" s="153"/>
      <c r="U3" s="153"/>
      <c r="V3" s="153"/>
      <c r="W3" s="153"/>
      <c r="X3" s="157" t="str">
        <f ca="1">変更履歴!X3</f>
        <v>SS0300_仕入日計表_帳票設計書</v>
      </c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54"/>
      <c r="AK3" s="157" t="str">
        <f ca="1">変更履歴!AK3</f>
        <v>仕入日計表</v>
      </c>
      <c r="AL3" s="158"/>
      <c r="AM3" s="158"/>
      <c r="AN3" s="158"/>
      <c r="AO3" s="158"/>
      <c r="AP3" s="158"/>
      <c r="AQ3" s="158"/>
      <c r="AR3" s="158"/>
      <c r="AS3" s="158"/>
      <c r="AT3" s="158"/>
      <c r="AU3" s="158"/>
      <c r="AV3" s="158"/>
      <c r="AW3" s="154"/>
      <c r="AX3" s="164">
        <f>変更履歴!AX3</f>
        <v>45583</v>
      </c>
      <c r="AY3" s="164"/>
      <c r="AZ3" s="164"/>
      <c r="BA3" s="164"/>
      <c r="BB3" s="153" t="str">
        <f>変更履歴!BB3</f>
        <v>大谷</v>
      </c>
      <c r="BC3" s="153"/>
      <c r="BD3" s="153"/>
      <c r="BE3" s="153"/>
      <c r="BF3" s="164">
        <f>変更履歴!BF3</f>
        <v>45583</v>
      </c>
      <c r="BG3" s="164"/>
      <c r="BH3" s="164"/>
      <c r="BI3" s="164"/>
      <c r="BJ3" s="153" t="str">
        <f>変更履歴!BJ3</f>
        <v>大谷</v>
      </c>
      <c r="BK3" s="153"/>
      <c r="BL3" s="153"/>
      <c r="BM3" s="209"/>
    </row>
    <row r="4" spans="2:65" ht="20.100000000000001" customHeight="1" thickBot="1" x14ac:dyDescent="0.5">
      <c r="B4" s="221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8"/>
      <c r="T4" s="208"/>
      <c r="U4" s="208"/>
      <c r="V4" s="208"/>
      <c r="W4" s="208"/>
      <c r="X4" s="213"/>
      <c r="Y4" s="214"/>
      <c r="Z4" s="214"/>
      <c r="AA4" s="214"/>
      <c r="AB4" s="214"/>
      <c r="AC4" s="214"/>
      <c r="AD4" s="214"/>
      <c r="AE4" s="214"/>
      <c r="AF4" s="214"/>
      <c r="AG4" s="214"/>
      <c r="AH4" s="214"/>
      <c r="AI4" s="214"/>
      <c r="AJ4" s="215"/>
      <c r="AK4" s="213"/>
      <c r="AL4" s="214"/>
      <c r="AM4" s="214"/>
      <c r="AN4" s="214"/>
      <c r="AO4" s="214"/>
      <c r="AP4" s="214"/>
      <c r="AQ4" s="214"/>
      <c r="AR4" s="214"/>
      <c r="AS4" s="214"/>
      <c r="AT4" s="214"/>
      <c r="AU4" s="214"/>
      <c r="AV4" s="214"/>
      <c r="AW4" s="215"/>
      <c r="AX4" s="207"/>
      <c r="AY4" s="207"/>
      <c r="AZ4" s="207"/>
      <c r="BA4" s="207"/>
      <c r="BB4" s="208"/>
      <c r="BC4" s="208"/>
      <c r="BD4" s="208"/>
      <c r="BE4" s="208"/>
      <c r="BF4" s="207"/>
      <c r="BG4" s="207"/>
      <c r="BH4" s="207"/>
      <c r="BI4" s="207"/>
      <c r="BJ4" s="208"/>
      <c r="BK4" s="208"/>
      <c r="BL4" s="208"/>
      <c r="BM4" s="210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89" t="s">
        <v>56</v>
      </c>
      <c r="C7" s="90"/>
      <c r="D7" s="90"/>
      <c r="E7" s="90"/>
      <c r="F7" s="90"/>
      <c r="G7" s="90"/>
      <c r="H7" s="92" t="s">
        <v>84</v>
      </c>
      <c r="I7" s="91"/>
      <c r="J7" s="126" t="s">
        <v>20</v>
      </c>
      <c r="K7" s="121"/>
      <c r="L7" s="121"/>
      <c r="M7" s="121"/>
      <c r="N7" s="121"/>
      <c r="O7" s="121"/>
      <c r="P7" s="121"/>
      <c r="Q7" s="121"/>
      <c r="R7" s="126" t="s">
        <v>85</v>
      </c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2"/>
      <c r="AK7" s="93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4"/>
      <c r="BJ7" s="29"/>
      <c r="BK7" s="29"/>
      <c r="BL7" s="29"/>
      <c r="BM7" s="29"/>
    </row>
    <row r="8" spans="2:65" ht="20.100000000000001" customHeight="1" x14ac:dyDescent="0.45">
      <c r="B8" s="123"/>
      <c r="C8" s="31"/>
      <c r="D8" s="31"/>
      <c r="E8" s="31"/>
      <c r="F8" s="31"/>
      <c r="G8" s="31"/>
      <c r="H8" s="97"/>
      <c r="I8" s="96"/>
      <c r="J8" s="124" t="s">
        <v>86</v>
      </c>
      <c r="K8" s="52"/>
      <c r="L8" s="52"/>
      <c r="M8" s="52"/>
      <c r="N8" s="52"/>
      <c r="O8" s="52"/>
      <c r="P8" s="52"/>
      <c r="Q8" s="52"/>
      <c r="R8" s="124" t="s">
        <v>87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  <c r="BJ8" s="29"/>
      <c r="BK8" s="29"/>
      <c r="BL8" s="29"/>
      <c r="BM8" s="29"/>
    </row>
    <row r="9" spans="2:65" ht="20.100000000000001" customHeight="1" x14ac:dyDescent="0.45">
      <c r="B9" s="123"/>
      <c r="C9" s="31"/>
      <c r="D9" s="31"/>
      <c r="E9" s="31"/>
      <c r="F9" s="31"/>
      <c r="G9" s="31"/>
      <c r="H9" s="103"/>
      <c r="I9" s="127"/>
      <c r="J9" s="124" t="s">
        <v>88</v>
      </c>
      <c r="K9" s="52"/>
      <c r="L9" s="52"/>
      <c r="M9" s="52"/>
      <c r="N9" s="52"/>
      <c r="O9" s="52"/>
      <c r="P9" s="52"/>
      <c r="Q9" s="52"/>
      <c r="R9" s="124" t="s">
        <v>89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105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6"/>
      <c r="BJ9" s="29"/>
      <c r="BK9" s="29"/>
      <c r="BL9" s="29"/>
      <c r="BM9" s="2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97" t="s">
        <v>57</v>
      </c>
      <c r="I10" s="31"/>
      <c r="J10" s="111" t="s">
        <v>58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  <c r="BJ10" s="29"/>
      <c r="BK10" s="29"/>
      <c r="BL10" s="29"/>
      <c r="BM10" s="29"/>
    </row>
    <row r="11" spans="2:65" ht="20.100000000000001" customHeight="1" x14ac:dyDescent="0.45">
      <c r="B11" s="95"/>
      <c r="C11" s="31"/>
      <c r="D11" s="31"/>
      <c r="E11" s="31"/>
      <c r="F11" s="31"/>
      <c r="G11" s="96"/>
      <c r="H11" s="97"/>
      <c r="I11" s="31"/>
      <c r="J11" s="97" t="s">
        <v>59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  <c r="BJ11" s="29"/>
      <c r="BK11" s="29"/>
      <c r="BL11" s="29"/>
      <c r="BM11" s="29"/>
    </row>
    <row r="12" spans="2:65" ht="20.100000000000001" customHeight="1" x14ac:dyDescent="0.45">
      <c r="B12" s="95"/>
      <c r="C12" s="31"/>
      <c r="D12" s="31"/>
      <c r="E12" s="31"/>
      <c r="F12" s="31"/>
      <c r="G12" s="96"/>
      <c r="H12" s="97"/>
      <c r="I12" s="31"/>
      <c r="J12" s="97" t="s">
        <v>60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  <c r="BJ12" s="29"/>
      <c r="BK12" s="29"/>
      <c r="BL12" s="29"/>
      <c r="BM12" s="29"/>
    </row>
    <row r="13" spans="2:65" ht="20.100000000000001" customHeight="1" x14ac:dyDescent="0.45">
      <c r="B13" s="95"/>
      <c r="C13" s="31"/>
      <c r="D13" s="31"/>
      <c r="E13" s="31"/>
      <c r="F13" s="31"/>
      <c r="G13" s="96"/>
      <c r="H13" s="97"/>
      <c r="I13" s="31"/>
      <c r="J13" s="97" t="s">
        <v>61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  <c r="BJ13" s="29"/>
      <c r="BK13" s="29"/>
      <c r="BL13" s="29"/>
      <c r="BM13" s="29"/>
    </row>
    <row r="14" spans="2:65" ht="20.100000000000001" customHeight="1" x14ac:dyDescent="0.45">
      <c r="B14" s="95"/>
      <c r="C14" s="31"/>
      <c r="D14" s="31"/>
      <c r="E14" s="31"/>
      <c r="F14" s="31"/>
      <c r="G14" s="96"/>
      <c r="H14" s="100" t="s">
        <v>62</v>
      </c>
      <c r="I14" s="55"/>
      <c r="J14" s="107" t="s">
        <v>63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01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02"/>
      <c r="BJ14" s="29"/>
      <c r="BK14" s="29"/>
      <c r="BL14" s="29"/>
      <c r="BM14" s="29"/>
    </row>
    <row r="15" spans="2:65" ht="20.100000000000001" customHeight="1" x14ac:dyDescent="0.45">
      <c r="B15" s="95"/>
      <c r="C15" s="31"/>
      <c r="D15" s="31"/>
      <c r="E15" s="31"/>
      <c r="F15" s="31"/>
      <c r="G15" s="96"/>
      <c r="H15" s="97"/>
      <c r="I15" s="31"/>
      <c r="J15" s="108"/>
      <c r="K15" s="109" t="s">
        <v>64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  <c r="BJ15" s="29"/>
      <c r="BK15" s="29"/>
      <c r="BL15" s="29"/>
      <c r="BM15" s="29"/>
    </row>
    <row r="16" spans="2:65" ht="20.100000000000001" customHeight="1" x14ac:dyDescent="0.45">
      <c r="B16" s="95"/>
      <c r="C16" s="31"/>
      <c r="D16" s="31"/>
      <c r="E16" s="31"/>
      <c r="F16" s="31"/>
      <c r="G16" s="96"/>
      <c r="H16" s="97"/>
      <c r="I16" s="31"/>
      <c r="J16" s="97"/>
      <c r="K16" s="29"/>
      <c r="L16" s="110"/>
      <c r="M16" s="109" t="s">
        <v>65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  <c r="BJ16" s="29"/>
      <c r="BK16" s="29"/>
      <c r="BL16" s="29"/>
      <c r="BM16" s="29"/>
    </row>
    <row r="17" spans="2:65" ht="20.100000000000001" customHeight="1" x14ac:dyDescent="0.45">
      <c r="B17" s="95"/>
      <c r="C17" s="31"/>
      <c r="D17" s="31"/>
      <c r="E17" s="31"/>
      <c r="F17" s="31"/>
      <c r="G17" s="96"/>
      <c r="H17" s="97"/>
      <c r="I17" s="31"/>
      <c r="J17" s="97"/>
      <c r="K17" s="29"/>
      <c r="L17" s="110" t="s">
        <v>66</v>
      </c>
      <c r="M17" s="109" t="s">
        <v>65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  <c r="BJ17" s="29"/>
      <c r="BK17" s="29"/>
      <c r="BL17" s="29"/>
      <c r="BM17" s="29"/>
    </row>
    <row r="18" spans="2:65" ht="20.100000000000001" customHeight="1" x14ac:dyDescent="0.45">
      <c r="B18" s="95"/>
      <c r="C18" s="31"/>
      <c r="D18" s="31"/>
      <c r="E18" s="31"/>
      <c r="F18" s="31"/>
      <c r="G18" s="96"/>
      <c r="H18" s="97"/>
      <c r="I18" s="31"/>
      <c r="J18" s="97"/>
      <c r="K18" s="29"/>
      <c r="L18" s="110" t="s">
        <v>67</v>
      </c>
      <c r="M18" s="109" t="s">
        <v>65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  <c r="BJ18" s="29"/>
      <c r="BK18" s="29"/>
      <c r="BL18" s="29"/>
      <c r="BM18" s="29"/>
    </row>
    <row r="19" spans="2:65" ht="20.100000000000001" customHeight="1" x14ac:dyDescent="0.45">
      <c r="B19" s="95"/>
      <c r="C19" s="31"/>
      <c r="D19" s="31"/>
      <c r="E19" s="31"/>
      <c r="F19" s="31"/>
      <c r="G19" s="96"/>
      <c r="H19" s="97"/>
      <c r="I19" s="31"/>
      <c r="J19" s="97" t="s">
        <v>68</v>
      </c>
      <c r="K19" s="110"/>
      <c r="L19" s="109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  <c r="BJ19" s="29"/>
      <c r="BK19" s="29"/>
      <c r="BL19" s="29"/>
      <c r="BM19" s="29"/>
    </row>
    <row r="20" spans="2:65" ht="20.100000000000001" customHeight="1" x14ac:dyDescent="0.45">
      <c r="B20" s="95"/>
      <c r="C20" s="31"/>
      <c r="D20" s="31"/>
      <c r="E20" s="31"/>
      <c r="F20" s="31"/>
      <c r="G20" s="96"/>
      <c r="H20" s="97"/>
      <c r="I20" s="31"/>
      <c r="J20" s="97"/>
      <c r="K20" s="31" t="s">
        <v>69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  <c r="BJ20" s="29"/>
      <c r="BK20" s="29"/>
      <c r="BL20" s="29"/>
      <c r="BM20" s="29"/>
    </row>
    <row r="21" spans="2:65" ht="20.100000000000001" customHeight="1" x14ac:dyDescent="0.45">
      <c r="B21" s="95"/>
      <c r="C21" s="31"/>
      <c r="D21" s="31"/>
      <c r="E21" s="31"/>
      <c r="F21" s="31"/>
      <c r="G21" s="96"/>
      <c r="H21" s="97"/>
      <c r="I21" s="31"/>
      <c r="J21" s="97"/>
      <c r="K21" s="29"/>
      <c r="L21" s="31"/>
      <c r="M21" s="31" t="s">
        <v>70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5" ht="20.100000000000001" customHeight="1" x14ac:dyDescent="0.45">
      <c r="B22" s="95"/>
      <c r="C22" s="31"/>
      <c r="D22" s="31"/>
      <c r="E22" s="31"/>
      <c r="F22" s="31"/>
      <c r="G22" s="96"/>
      <c r="H22" s="103"/>
      <c r="I22" s="104"/>
      <c r="J22" s="103"/>
      <c r="K22" s="104"/>
      <c r="L22" s="104" t="s">
        <v>66</v>
      </c>
      <c r="M22" s="104" t="s">
        <v>71</v>
      </c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5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6"/>
    </row>
    <row r="23" spans="2:65" ht="20.100000000000001" customHeight="1" x14ac:dyDescent="0.45">
      <c r="B23" s="95"/>
      <c r="C23" s="31"/>
      <c r="D23" s="31"/>
      <c r="E23" s="31"/>
      <c r="F23" s="31"/>
      <c r="G23" s="96"/>
      <c r="H23" s="97" t="s">
        <v>72</v>
      </c>
      <c r="I23" s="31"/>
      <c r="J23" s="111"/>
      <c r="K23" s="109" t="s">
        <v>73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12" t="s">
        <v>74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5" ht="20.100000000000001" customHeight="1" x14ac:dyDescent="0.45">
      <c r="B24" s="95"/>
      <c r="C24" s="31"/>
      <c r="D24" s="31"/>
      <c r="E24" s="31"/>
      <c r="F24" s="31"/>
      <c r="G24" s="96"/>
      <c r="H24" s="97"/>
      <c r="I24" s="31"/>
      <c r="J24" s="111" t="s">
        <v>66</v>
      </c>
      <c r="K24" s="109" t="s">
        <v>75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5" ht="20.100000000000001" customHeight="1" x14ac:dyDescent="0.45">
      <c r="B25" s="95"/>
      <c r="C25" s="31"/>
      <c r="D25" s="31"/>
      <c r="E25" s="31"/>
      <c r="F25" s="31"/>
      <c r="G25" s="96"/>
      <c r="H25" s="97"/>
      <c r="I25" s="31"/>
      <c r="J25" s="111" t="s">
        <v>67</v>
      </c>
      <c r="K25" s="109" t="s">
        <v>75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5" ht="20.100000000000001" customHeight="1" x14ac:dyDescent="0.45">
      <c r="B26" s="95"/>
      <c r="C26" s="31"/>
      <c r="D26" s="31"/>
      <c r="E26" s="31"/>
      <c r="F26" s="31"/>
      <c r="G26" s="96"/>
      <c r="H26" s="97"/>
      <c r="I26" s="31"/>
      <c r="J26" s="111" t="s">
        <v>76</v>
      </c>
      <c r="K26" s="109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98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5" ht="20.100000000000001" customHeight="1" x14ac:dyDescent="0.45">
      <c r="B27" s="95"/>
      <c r="C27" s="31"/>
      <c r="D27" s="31"/>
      <c r="E27" s="31"/>
      <c r="F27" s="31"/>
      <c r="G27" s="96"/>
      <c r="H27" s="97"/>
      <c r="I27" s="31"/>
      <c r="J27" s="97"/>
      <c r="K27" s="31" t="s">
        <v>77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13" t="s">
        <v>78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5" ht="20.100000000000001" customHeight="1" x14ac:dyDescent="0.45">
      <c r="B28" s="95"/>
      <c r="C28" s="31"/>
      <c r="D28" s="31"/>
      <c r="E28" s="31"/>
      <c r="F28" s="31"/>
      <c r="G28" s="96"/>
      <c r="H28" s="97"/>
      <c r="I28" s="31"/>
      <c r="J28" s="97" t="s">
        <v>66</v>
      </c>
      <c r="K28" s="31" t="s">
        <v>79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7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5" ht="20.100000000000001" customHeight="1" x14ac:dyDescent="0.45">
      <c r="B29" s="95"/>
      <c r="C29" s="31"/>
      <c r="D29" s="31"/>
      <c r="E29" s="31"/>
      <c r="F29" s="31"/>
      <c r="G29" s="96"/>
      <c r="H29" s="97"/>
      <c r="I29" s="31"/>
      <c r="J29" s="11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97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5" ht="20.100000000000001" customHeight="1" x14ac:dyDescent="0.45">
      <c r="B30" s="95"/>
      <c r="C30" s="31"/>
      <c r="D30" s="31"/>
      <c r="E30" s="31"/>
      <c r="F30" s="31"/>
      <c r="G30" s="96"/>
      <c r="H30" s="97"/>
      <c r="I30" s="31"/>
      <c r="J30" s="97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97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5" ht="20.100000000000001" customHeight="1" x14ac:dyDescent="0.45">
      <c r="B31" s="95"/>
      <c r="C31" s="31"/>
      <c r="D31" s="31"/>
      <c r="E31" s="31"/>
      <c r="F31" s="31"/>
      <c r="G31" s="96"/>
      <c r="H31" s="103"/>
      <c r="I31" s="104"/>
      <c r="J31" s="103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3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6"/>
    </row>
    <row r="32" spans="2:65" ht="20.100000000000001" customHeight="1" x14ac:dyDescent="0.45">
      <c r="B32" s="95"/>
      <c r="C32" s="31"/>
      <c r="D32" s="31"/>
      <c r="E32" s="31"/>
      <c r="F32" s="31"/>
      <c r="G32" s="96"/>
      <c r="H32" s="97" t="s">
        <v>80</v>
      </c>
      <c r="I32" s="31"/>
      <c r="J32" s="111" t="s">
        <v>81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97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x14ac:dyDescent="0.45">
      <c r="B33" s="95"/>
      <c r="C33" s="31"/>
      <c r="D33" s="31"/>
      <c r="E33" s="31"/>
      <c r="F33" s="31"/>
      <c r="G33" s="96"/>
      <c r="H33" s="97"/>
      <c r="I33" s="31"/>
      <c r="J33" s="111" t="s">
        <v>82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97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thickBot="1" x14ac:dyDescent="0.5">
      <c r="B34" s="114"/>
      <c r="C34" s="115"/>
      <c r="D34" s="115"/>
      <c r="E34" s="115"/>
      <c r="F34" s="115"/>
      <c r="G34" s="116"/>
      <c r="H34" s="117"/>
      <c r="I34" s="115"/>
      <c r="J34" s="117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7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8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19" t="s">
        <v>83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G55"/>
  <sheetViews>
    <sheetView workbookViewId="0"/>
  </sheetViews>
  <sheetFormatPr defaultRowHeight="18" x14ac:dyDescent="0.45"/>
  <cols>
    <col min="1" max="2" width="8.796875" style="29"/>
    <col min="3" max="3" width="14.3984375" style="29" bestFit="1" customWidth="1"/>
    <col min="4" max="4" width="47.19921875" style="29" bestFit="1" customWidth="1"/>
    <col min="5" max="5" width="55.5" style="29" bestFit="1" customWidth="1"/>
    <col min="6" max="6" width="13.59765625" style="29" customWidth="1"/>
    <col min="7" max="16384" width="8.796875" style="29"/>
  </cols>
  <sheetData>
    <row r="2" spans="2:7" ht="19.2" thickBot="1" x14ac:dyDescent="0.5">
      <c r="B2" s="87" t="s">
        <v>48</v>
      </c>
    </row>
    <row r="3" spans="2:7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145" t="s">
        <v>295</v>
      </c>
      <c r="G3" s="78" t="s">
        <v>51</v>
      </c>
    </row>
    <row r="4" spans="2:7" x14ac:dyDescent="0.45">
      <c r="B4" s="37">
        <v>1</v>
      </c>
      <c r="C4" s="79" t="s">
        <v>190</v>
      </c>
      <c r="D4" s="79" t="s">
        <v>292</v>
      </c>
      <c r="E4" s="80" t="s">
        <v>191</v>
      </c>
      <c r="F4" s="80" t="s">
        <v>296</v>
      </c>
      <c r="G4" s="81" t="s">
        <v>294</v>
      </c>
    </row>
    <row r="5" spans="2:7" x14ac:dyDescent="0.45">
      <c r="B5" s="37">
        <v>2</v>
      </c>
      <c r="C5" s="79" t="s">
        <v>293</v>
      </c>
      <c r="D5" s="79" t="s">
        <v>271</v>
      </c>
      <c r="E5" s="82" t="s">
        <v>272</v>
      </c>
      <c r="F5" s="82" t="s">
        <v>297</v>
      </c>
      <c r="G5" s="81" t="s">
        <v>294</v>
      </c>
    </row>
    <row r="6" spans="2:7" x14ac:dyDescent="0.45">
      <c r="B6" s="37">
        <v>3</v>
      </c>
      <c r="C6" s="79" t="s">
        <v>190</v>
      </c>
      <c r="D6" s="79" t="s">
        <v>273</v>
      </c>
      <c r="E6" s="82" t="s">
        <v>276</v>
      </c>
      <c r="F6" s="80" t="s">
        <v>296</v>
      </c>
      <c r="G6" s="81" t="s">
        <v>294</v>
      </c>
    </row>
    <row r="7" spans="2:7" x14ac:dyDescent="0.45">
      <c r="B7" s="37">
        <v>4</v>
      </c>
      <c r="C7" s="79" t="s">
        <v>190</v>
      </c>
      <c r="D7" s="79" t="s">
        <v>274</v>
      </c>
      <c r="E7" s="82" t="s">
        <v>277</v>
      </c>
      <c r="F7" s="80" t="s">
        <v>296</v>
      </c>
      <c r="G7" s="81" t="s">
        <v>294</v>
      </c>
    </row>
    <row r="8" spans="2:7" x14ac:dyDescent="0.45">
      <c r="B8" s="37">
        <v>5</v>
      </c>
      <c r="C8" s="79" t="s">
        <v>190</v>
      </c>
      <c r="D8" s="79" t="s">
        <v>275</v>
      </c>
      <c r="E8" s="82" t="s">
        <v>278</v>
      </c>
      <c r="F8" s="80" t="s">
        <v>296</v>
      </c>
      <c r="G8" s="81" t="s">
        <v>294</v>
      </c>
    </row>
    <row r="9" spans="2:7" x14ac:dyDescent="0.45">
      <c r="B9" s="37">
        <v>6</v>
      </c>
      <c r="C9" s="79"/>
      <c r="D9" s="79"/>
      <c r="E9" s="79"/>
      <c r="F9" s="82"/>
      <c r="G9" s="81"/>
    </row>
    <row r="10" spans="2:7" x14ac:dyDescent="0.45">
      <c r="B10" s="37">
        <v>7</v>
      </c>
      <c r="C10" s="79"/>
      <c r="D10" s="79"/>
      <c r="E10" s="79"/>
      <c r="F10" s="82"/>
      <c r="G10" s="81"/>
    </row>
    <row r="11" spans="2:7" x14ac:dyDescent="0.45">
      <c r="B11" s="37">
        <v>8</v>
      </c>
      <c r="C11" s="79"/>
      <c r="D11" s="79"/>
      <c r="E11" s="79"/>
      <c r="F11" s="82"/>
      <c r="G11" s="81"/>
    </row>
    <row r="12" spans="2:7" x14ac:dyDescent="0.45">
      <c r="B12" s="37">
        <v>9</v>
      </c>
      <c r="C12" s="79"/>
      <c r="D12" s="79"/>
      <c r="E12" s="82"/>
      <c r="F12" s="82"/>
      <c r="G12" s="81"/>
    </row>
    <row r="13" spans="2:7" x14ac:dyDescent="0.45">
      <c r="B13" s="37">
        <v>10</v>
      </c>
      <c r="C13" s="79"/>
      <c r="D13" s="79"/>
      <c r="E13" s="82"/>
      <c r="F13" s="82"/>
      <c r="G13" s="81"/>
    </row>
    <row r="14" spans="2:7" x14ac:dyDescent="0.45">
      <c r="B14" s="37">
        <v>11</v>
      </c>
      <c r="C14" s="79"/>
      <c r="D14" s="79"/>
      <c r="E14" s="82"/>
      <c r="F14" s="82"/>
      <c r="G14" s="81"/>
    </row>
    <row r="15" spans="2:7" x14ac:dyDescent="0.45">
      <c r="B15" s="37">
        <v>12</v>
      </c>
      <c r="C15" s="79"/>
      <c r="D15" s="79"/>
      <c r="E15" s="82"/>
      <c r="F15" s="82"/>
      <c r="G15" s="81"/>
    </row>
    <row r="16" spans="2:7" x14ac:dyDescent="0.45">
      <c r="B16" s="37">
        <v>13</v>
      </c>
      <c r="C16" s="79"/>
      <c r="D16" s="79"/>
      <c r="E16" s="82"/>
      <c r="F16" s="82"/>
      <c r="G16" s="81"/>
    </row>
    <row r="17" spans="2:7" x14ac:dyDescent="0.45">
      <c r="B17" s="37">
        <v>14</v>
      </c>
      <c r="C17" s="79"/>
      <c r="D17" s="79"/>
      <c r="E17" s="82"/>
      <c r="F17" s="82"/>
      <c r="G17" s="81"/>
    </row>
    <row r="18" spans="2:7" x14ac:dyDescent="0.45">
      <c r="B18" s="37">
        <v>15</v>
      </c>
      <c r="C18" s="79"/>
      <c r="D18" s="79"/>
      <c r="E18" s="82"/>
      <c r="F18" s="82"/>
      <c r="G18" s="81"/>
    </row>
    <row r="19" spans="2:7" x14ac:dyDescent="0.45">
      <c r="B19" s="37">
        <v>16</v>
      </c>
      <c r="C19" s="79"/>
      <c r="D19" s="79"/>
      <c r="E19" s="82"/>
      <c r="F19" s="82"/>
      <c r="G19" s="81"/>
    </row>
    <row r="20" spans="2:7" x14ac:dyDescent="0.45">
      <c r="B20" s="37">
        <v>17</v>
      </c>
      <c r="C20" s="79"/>
      <c r="D20" s="79"/>
      <c r="E20" s="82"/>
      <c r="F20" s="82"/>
      <c r="G20" s="81"/>
    </row>
    <row r="21" spans="2:7" x14ac:dyDescent="0.45">
      <c r="B21" s="37">
        <v>18</v>
      </c>
      <c r="C21" s="79"/>
      <c r="D21" s="79"/>
      <c r="E21" s="82"/>
      <c r="F21" s="82"/>
      <c r="G21" s="81"/>
    </row>
    <row r="22" spans="2:7" x14ac:dyDescent="0.45">
      <c r="B22" s="37">
        <v>19</v>
      </c>
      <c r="C22" s="79"/>
      <c r="D22" s="79"/>
      <c r="E22" s="82"/>
      <c r="F22" s="82"/>
      <c r="G22" s="81"/>
    </row>
    <row r="23" spans="2:7" x14ac:dyDescent="0.45">
      <c r="B23" s="37">
        <v>20</v>
      </c>
      <c r="C23" s="79"/>
      <c r="D23" s="79"/>
      <c r="E23" s="82"/>
      <c r="F23" s="82"/>
      <c r="G23" s="81"/>
    </row>
    <row r="24" spans="2:7" x14ac:dyDescent="0.45">
      <c r="B24" s="37">
        <v>21</v>
      </c>
      <c r="C24" s="79"/>
      <c r="D24" s="79"/>
      <c r="E24" s="82"/>
      <c r="F24" s="82"/>
      <c r="G24" s="81"/>
    </row>
    <row r="25" spans="2:7" x14ac:dyDescent="0.45">
      <c r="B25" s="37">
        <v>22</v>
      </c>
      <c r="C25" s="79"/>
      <c r="D25" s="79"/>
      <c r="E25" s="82"/>
      <c r="F25" s="82"/>
      <c r="G25" s="81"/>
    </row>
    <row r="26" spans="2:7" x14ac:dyDescent="0.45">
      <c r="B26" s="37">
        <v>23</v>
      </c>
      <c r="C26" s="79"/>
      <c r="D26" s="79"/>
      <c r="E26" s="82"/>
      <c r="F26" s="82"/>
      <c r="G26" s="81"/>
    </row>
    <row r="27" spans="2:7" x14ac:dyDescent="0.45">
      <c r="B27" s="37">
        <v>24</v>
      </c>
      <c r="C27" s="79"/>
      <c r="D27" s="79"/>
      <c r="E27" s="82"/>
      <c r="F27" s="82"/>
      <c r="G27" s="81"/>
    </row>
    <row r="28" spans="2:7" x14ac:dyDescent="0.45">
      <c r="B28" s="37">
        <v>25</v>
      </c>
      <c r="C28" s="79"/>
      <c r="D28" s="79"/>
      <c r="E28" s="82"/>
      <c r="F28" s="82"/>
      <c r="G28" s="81"/>
    </row>
    <row r="29" spans="2:7" x14ac:dyDescent="0.45">
      <c r="B29" s="37">
        <v>26</v>
      </c>
      <c r="C29" s="79"/>
      <c r="D29" s="79"/>
      <c r="E29" s="82"/>
      <c r="F29" s="82"/>
      <c r="G29" s="81"/>
    </row>
    <row r="30" spans="2:7" x14ac:dyDescent="0.45">
      <c r="B30" s="37">
        <v>27</v>
      </c>
      <c r="C30" s="79"/>
      <c r="D30" s="79"/>
      <c r="E30" s="82"/>
      <c r="F30" s="82"/>
      <c r="G30" s="81"/>
    </row>
    <row r="31" spans="2:7" x14ac:dyDescent="0.45">
      <c r="B31" s="37">
        <v>28</v>
      </c>
      <c r="C31" s="79"/>
      <c r="D31" s="79"/>
      <c r="E31" s="82"/>
      <c r="F31" s="82"/>
      <c r="G31" s="81"/>
    </row>
    <row r="32" spans="2:7" x14ac:dyDescent="0.45">
      <c r="B32" s="37">
        <v>29</v>
      </c>
      <c r="C32" s="79"/>
      <c r="D32" s="79"/>
      <c r="E32" s="82"/>
      <c r="F32" s="82"/>
      <c r="G32" s="81"/>
    </row>
    <row r="33" spans="2:7" x14ac:dyDescent="0.45">
      <c r="B33" s="37">
        <v>30</v>
      </c>
      <c r="C33" s="79"/>
      <c r="D33" s="79"/>
      <c r="E33" s="82"/>
      <c r="F33" s="82"/>
      <c r="G33" s="81"/>
    </row>
    <row r="34" spans="2:7" x14ac:dyDescent="0.45">
      <c r="B34" s="37">
        <v>31</v>
      </c>
      <c r="C34" s="79"/>
      <c r="D34" s="79"/>
      <c r="E34" s="82"/>
      <c r="F34" s="82"/>
      <c r="G34" s="81"/>
    </row>
    <row r="35" spans="2:7" x14ac:dyDescent="0.45">
      <c r="B35" s="37">
        <v>32</v>
      </c>
      <c r="C35" s="79"/>
      <c r="D35" s="79"/>
      <c r="E35" s="82"/>
      <c r="F35" s="82"/>
      <c r="G35" s="81"/>
    </row>
    <row r="36" spans="2:7" x14ac:dyDescent="0.45">
      <c r="B36" s="37">
        <v>33</v>
      </c>
      <c r="C36" s="79"/>
      <c r="D36" s="79"/>
      <c r="E36" s="82"/>
      <c r="F36" s="82"/>
      <c r="G36" s="81"/>
    </row>
    <row r="37" spans="2:7" x14ac:dyDescent="0.45">
      <c r="B37" s="37">
        <v>34</v>
      </c>
      <c r="C37" s="79"/>
      <c r="D37" s="79"/>
      <c r="E37" s="82"/>
      <c r="F37" s="82"/>
      <c r="G37" s="81"/>
    </row>
    <row r="38" spans="2:7" x14ac:dyDescent="0.45">
      <c r="B38" s="37">
        <v>35</v>
      </c>
      <c r="C38" s="79"/>
      <c r="D38" s="79"/>
      <c r="E38" s="82"/>
      <c r="F38" s="82"/>
      <c r="G38" s="81"/>
    </row>
    <row r="39" spans="2:7" x14ac:dyDescent="0.45">
      <c r="B39" s="37">
        <v>36</v>
      </c>
      <c r="C39" s="79"/>
      <c r="D39" s="79"/>
      <c r="E39" s="82"/>
      <c r="F39" s="82"/>
      <c r="G39" s="81"/>
    </row>
    <row r="40" spans="2:7" x14ac:dyDescent="0.45">
      <c r="B40" s="37">
        <v>37</v>
      </c>
      <c r="C40" s="79"/>
      <c r="D40" s="79"/>
      <c r="E40" s="82"/>
      <c r="F40" s="82"/>
      <c r="G40" s="81"/>
    </row>
    <row r="41" spans="2:7" x14ac:dyDescent="0.45">
      <c r="B41" s="37">
        <v>38</v>
      </c>
      <c r="C41" s="79"/>
      <c r="D41" s="79"/>
      <c r="E41" s="82"/>
      <c r="F41" s="82"/>
      <c r="G41" s="81"/>
    </row>
    <row r="42" spans="2:7" x14ac:dyDescent="0.45">
      <c r="B42" s="37">
        <v>39</v>
      </c>
      <c r="C42" s="79"/>
      <c r="D42" s="79"/>
      <c r="E42" s="82"/>
      <c r="F42" s="82"/>
      <c r="G42" s="81"/>
    </row>
    <row r="43" spans="2:7" x14ac:dyDescent="0.45">
      <c r="B43" s="37">
        <v>40</v>
      </c>
      <c r="C43" s="79"/>
      <c r="D43" s="79"/>
      <c r="E43" s="82"/>
      <c r="F43" s="82"/>
      <c r="G43" s="81"/>
    </row>
    <row r="44" spans="2:7" x14ac:dyDescent="0.45">
      <c r="B44" s="37">
        <v>41</v>
      </c>
      <c r="C44" s="79"/>
      <c r="D44" s="79"/>
      <c r="E44" s="82"/>
      <c r="F44" s="82"/>
      <c r="G44" s="81"/>
    </row>
    <row r="45" spans="2:7" x14ac:dyDescent="0.45">
      <c r="B45" s="37">
        <v>42</v>
      </c>
      <c r="C45" s="79"/>
      <c r="D45" s="79"/>
      <c r="E45" s="82"/>
      <c r="F45" s="82"/>
      <c r="G45" s="81"/>
    </row>
    <row r="46" spans="2:7" x14ac:dyDescent="0.45">
      <c r="B46" s="37">
        <v>43</v>
      </c>
      <c r="C46" s="79"/>
      <c r="D46" s="79"/>
      <c r="E46" s="82"/>
      <c r="F46" s="82"/>
      <c r="G46" s="81"/>
    </row>
    <row r="47" spans="2:7" x14ac:dyDescent="0.45">
      <c r="B47" s="37">
        <v>44</v>
      </c>
      <c r="C47" s="79"/>
      <c r="D47" s="79"/>
      <c r="E47" s="82"/>
      <c r="F47" s="82"/>
      <c r="G47" s="81"/>
    </row>
    <row r="48" spans="2:7" x14ac:dyDescent="0.45">
      <c r="B48" s="37">
        <v>45</v>
      </c>
      <c r="C48" s="79"/>
      <c r="D48" s="79"/>
      <c r="E48" s="82"/>
      <c r="F48" s="82"/>
      <c r="G48" s="81"/>
    </row>
    <row r="49" spans="2:7" x14ac:dyDescent="0.45">
      <c r="B49" s="37">
        <v>46</v>
      </c>
      <c r="C49" s="79"/>
      <c r="D49" s="79"/>
      <c r="E49" s="82"/>
      <c r="F49" s="82"/>
      <c r="G49" s="81"/>
    </row>
    <row r="50" spans="2:7" x14ac:dyDescent="0.45">
      <c r="B50" s="37">
        <v>47</v>
      </c>
      <c r="C50" s="79"/>
      <c r="D50" s="79"/>
      <c r="E50" s="82"/>
      <c r="F50" s="82"/>
      <c r="G50" s="81"/>
    </row>
    <row r="51" spans="2:7" x14ac:dyDescent="0.45">
      <c r="B51" s="37">
        <v>48</v>
      </c>
      <c r="C51" s="79"/>
      <c r="D51" s="79"/>
      <c r="E51" s="82"/>
      <c r="F51" s="82"/>
      <c r="G51" s="81"/>
    </row>
    <row r="52" spans="2:7" x14ac:dyDescent="0.45">
      <c r="B52" s="37">
        <v>49</v>
      </c>
      <c r="C52" s="79"/>
      <c r="D52" s="79"/>
      <c r="E52" s="82"/>
      <c r="F52" s="82"/>
      <c r="G52" s="81"/>
    </row>
    <row r="53" spans="2:7" x14ac:dyDescent="0.45">
      <c r="B53" s="37">
        <v>50</v>
      </c>
      <c r="C53" s="79"/>
      <c r="D53" s="79"/>
      <c r="E53" s="82"/>
      <c r="F53" s="82"/>
      <c r="G53" s="81"/>
    </row>
    <row r="54" spans="2:7" ht="18.600000000000001" thickBot="1" x14ac:dyDescent="0.5">
      <c r="B54" s="83">
        <v>51</v>
      </c>
      <c r="C54" s="84"/>
      <c r="D54" s="84"/>
      <c r="E54" s="85"/>
      <c r="F54" s="85"/>
      <c r="G54" s="86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12</vt:i4>
      </vt:variant>
    </vt:vector>
  </HeadingPairs>
  <TitlesOfParts>
    <vt:vector size="22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現行レイアウト</vt:lpstr>
      <vt:lpstr>別紙_印刷レイアウト</vt:lpstr>
      <vt:lpstr>参照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NT-240014</cp:lastModifiedBy>
  <cp:lastPrinted>2021-08-19T04:42:28Z</cp:lastPrinted>
  <dcterms:created xsi:type="dcterms:W3CDTF">2021-04-12T04:47:05Z</dcterms:created>
  <dcterms:modified xsi:type="dcterms:W3CDTF">2025-06-10T06:41:44Z</dcterms:modified>
</cp:coreProperties>
</file>