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別紙_印刷レイアウト" sheetId="20" r:id="rId8"/>
    <sheet name="参照" sheetId="12" state="hidden" r:id="rId9"/>
  </sheets>
  <definedNames>
    <definedName name="_xlnm.Print_Area" localSheetId="1">概要!$A$1:$BN$31</definedName>
    <definedName name="_xlnm.Print_Area" localSheetId="3">項目一覧!$A$1:$BX$52</definedName>
    <definedName name="_xlnm.Print_Area" localSheetId="4">処理詳細!$A$1:$BR$79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<sst xmlns="http://schemas.openxmlformats.org/spreadsheetml/2006/main" count="360" uniqueCount="243">
  <si>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</si>
  <si>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</si>
  <si>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</si>
  <si>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</si>
  <si>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</si>
  <si>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</si>
  <si>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</si>
  <si>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</si>
  <si>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</si>
  <si>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</si>
  <si>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</si>
  <si>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</si>
  <si>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</si>
  <si>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</si>
  <si>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</si>
  <si>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</si>
  <si>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</si>
  <si>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</si>
  <si>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</si>
  <si>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</si>
  <si>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</si>
  <si>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</si>
  <si>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</si>
  <si>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</si>
  <si>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</si>
  <si>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</si>
  <si>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</si>
  <si>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</si>
  <si>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</si>
  <si>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</si>
  <si>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</si>
  <si>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</si>
  <si>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</si>
  <si>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</si>
  <si>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</si>
  <si>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</si>
  <si>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</si>
  <si>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</si>
  <si>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</si>
  <si>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</si>
  <si>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</si>
  <si>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</si>
  <si>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</si>
  <si>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</si>
  <si>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</si>
  <si>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</si>
  <si>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</si>
  <si>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</si>
  <si>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</si>
  <si>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</si>
  <si>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</si>
  <si>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</si>
  <si>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</si>
  <si>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</si>
  <si>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</si>
  <si>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</si>
  <si>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</si>
  <si>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</si>
  <si>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</si>
  <si>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</si>
  <si>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</si>
  <si>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</si>
  <si>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</si>
  <si>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</si>
  <si>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</si>
  <si>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</si>
  <si>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</si>
  <si>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</si>
  <si>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</si>
  <si>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</si>
  <si>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</si>
  <si>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</si>
  <si>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</si>
  <si>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</si>
  <si>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</si>
  <si>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</si>
  <si>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</si>
  <si>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</si>
  <si>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</si>
  <si>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</si>
  <si>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</si>
  <si>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</si>
  <si>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</si>
  <si>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</si>
  <si>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</si>
  <si>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</si>
  <si>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</si>
  <si>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</si>
  <si>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</si>
  <si>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</si>
  <si>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入金開始日付</t>
    <rPh sb="0" eb="6">
      <t>ニュウキンカイシヒヅケ</t>
    </rPh>
    <phoneticPr fontId="1"/>
  </si>
  <si>
    <t>入金終了日付</t>
    <rPh sb="0" eb="6">
      <t>ニュウキンシュウリョウヒヅケ</t>
    </rPh>
    <phoneticPr fontId="1"/>
  </si>
  <si>
    <t>開始得意先CD</t>
    <rPh sb="0" eb="5">
      <t>カイシトクイサキ</t>
    </rPh>
    <phoneticPr fontId="1"/>
  </si>
  <si>
    <t>終了得意先CD</t>
    <rPh sb="0" eb="5">
      <t>シュウリョウトクイサキ</t>
    </rPh>
    <phoneticPr fontId="1"/>
  </si>
  <si>
    <t>作成日</t>
    <rPh sb="0" eb="3">
      <t>サクセイビ</t>
    </rPh>
    <phoneticPr fontId="1"/>
  </si>
  <si>
    <t>入金日付</t>
  </si>
  <si>
    <t>入金日付</t>
    <rPh sb="0" eb="4">
      <t>ニュウキンヒヅケ</t>
    </rPh>
    <phoneticPr fontId="1"/>
  </si>
  <si>
    <t>入金番号</t>
  </si>
  <si>
    <t>入金番号</t>
    <rPh sb="0" eb="4">
      <t>ニュウキンバンゴウ</t>
    </rPh>
    <phoneticPr fontId="1"/>
  </si>
  <si>
    <t>得意先CD</t>
  </si>
  <si>
    <t>得意先CD</t>
    <rPh sb="0" eb="3">
      <t>トクイサキ</t>
    </rPh>
    <phoneticPr fontId="1"/>
  </si>
  <si>
    <t>得意先名1</t>
  </si>
  <si>
    <t>得意先名1</t>
    <rPh sb="0" eb="4">
      <t>トクイサキメイ</t>
    </rPh>
    <phoneticPr fontId="1"/>
  </si>
  <si>
    <t>得意先名2</t>
  </si>
  <si>
    <t>得意先名2</t>
    <rPh sb="0" eb="4">
      <t>トクイサキメイ</t>
    </rPh>
    <phoneticPr fontId="1"/>
  </si>
  <si>
    <t>入金金額</t>
  </si>
  <si>
    <t>入金金額</t>
    <rPh sb="0" eb="4">
      <t>ニュウキンキンガク</t>
    </rPh>
    <phoneticPr fontId="1"/>
  </si>
  <si>
    <t>入金済金額</t>
    <rPh sb="0" eb="3">
      <t>ニュウキンズ</t>
    </rPh>
    <rPh sb="3" eb="5">
      <t>キンガク</t>
    </rPh>
    <phoneticPr fontId="1"/>
  </si>
  <si>
    <t>売上日付</t>
  </si>
  <si>
    <t>売上日付</t>
    <rPh sb="0" eb="4">
      <t>ウリアゲヒヅケ</t>
    </rPh>
    <phoneticPr fontId="1"/>
  </si>
  <si>
    <t>請求日付</t>
  </si>
  <si>
    <t>請求日付</t>
    <rPh sb="0" eb="4">
      <t>セイキュウヒヅケ</t>
    </rPh>
    <phoneticPr fontId="1"/>
  </si>
  <si>
    <t>売上番号</t>
    <rPh sb="0" eb="4">
      <t>ウリアゲバンゴウ</t>
    </rPh>
    <phoneticPr fontId="1"/>
  </si>
  <si>
    <t>売上金額</t>
    <rPh sb="2" eb="4">
      <t>キンガク</t>
    </rPh>
    <phoneticPr fontId="1"/>
  </si>
  <si>
    <t>消込金額</t>
    <rPh sb="0" eb="4">
      <t>ケシコミキンガク</t>
    </rPh>
    <phoneticPr fontId="1"/>
  </si>
  <si>
    <t>見積番号</t>
  </si>
  <si>
    <t>売上消込合計</t>
  </si>
  <si>
    <t>画面.開始日付</t>
    <rPh sb="0" eb="2">
      <t>ガメン</t>
    </rPh>
    <rPh sb="3" eb="7">
      <t>カイシヒヅケ</t>
    </rPh>
    <phoneticPr fontId="1"/>
  </si>
  <si>
    <t>画面.終了日付</t>
    <rPh sb="0" eb="2">
      <t>ガメン</t>
    </rPh>
    <rPh sb="3" eb="5">
      <t>シュウリョウ</t>
    </rPh>
    <rPh sb="5" eb="7">
      <t>ヒヅケ</t>
    </rPh>
    <phoneticPr fontId="1"/>
  </si>
  <si>
    <t>画面.開始得意先CD</t>
    <rPh sb="0" eb="2">
      <t>ガメン</t>
    </rPh>
    <rPh sb="3" eb="8">
      <t>カイシトクイサキ</t>
    </rPh>
    <phoneticPr fontId="1"/>
  </si>
  <si>
    <t>画面.終了得意先CD</t>
    <rPh sb="0" eb="2">
      <t>ガメン</t>
    </rPh>
    <rPh sb="3" eb="5">
      <t>シュウリョウ</t>
    </rPh>
    <rPh sb="5" eb="8">
      <t>トクイサキ</t>
    </rPh>
    <phoneticPr fontId="1"/>
  </si>
  <si>
    <t>yyyy年mm月dd日</t>
    <phoneticPr fontId="1"/>
  </si>
  <si>
    <t>"[999999]"</t>
    <phoneticPr fontId="1"/>
  </si>
  <si>
    <t>画面からの入力データが空の場合は"[最初]"を表示</t>
    <rPh sb="0" eb="2">
      <t>ガメン</t>
    </rPh>
    <rPh sb="5" eb="7">
      <t>ニュウリョク</t>
    </rPh>
    <rPh sb="11" eb="12">
      <t>カラ</t>
    </rPh>
    <rPh sb="13" eb="15">
      <t>バアイ</t>
    </rPh>
    <rPh sb="18" eb="20">
      <t>サイショ</t>
    </rPh>
    <rPh sb="23" eb="25">
      <t>ヒョウジ</t>
    </rPh>
    <phoneticPr fontId="1"/>
  </si>
  <si>
    <t>画面からの入力データが空の場合は"[最後]"を表示</t>
    <rPh sb="0" eb="2">
      <t>ガメン</t>
    </rPh>
    <rPh sb="5" eb="7">
      <t>ニュウリョク</t>
    </rPh>
    <rPh sb="11" eb="12">
      <t>カラ</t>
    </rPh>
    <rPh sb="13" eb="15">
      <t>バアイ</t>
    </rPh>
    <rPh sb="18" eb="20">
      <t>サイゴ</t>
    </rPh>
    <rPh sb="23" eb="25">
      <t>ヒョウジ</t>
    </rPh>
    <phoneticPr fontId="1"/>
  </si>
  <si>
    <t>SQL1.現在日付</t>
  </si>
  <si>
    <t>SQL1.入金日付</t>
  </si>
  <si>
    <t>SQL1.入金番号</t>
  </si>
  <si>
    <t>SQL1.得意先CD</t>
  </si>
  <si>
    <t>SQL1.得意先名1</t>
  </si>
  <si>
    <t>SQL1.得意先名2</t>
  </si>
  <si>
    <t>SQL1.入金金額</t>
  </si>
  <si>
    <t>SQL1.入金済金額</t>
  </si>
  <si>
    <t>SQL1.売上日付</t>
  </si>
  <si>
    <t>SQL1.請求日付</t>
  </si>
  <si>
    <t>SQL1.見積番号</t>
  </si>
  <si>
    <t>SQL1.税込金額</t>
    <phoneticPr fontId="1"/>
  </si>
  <si>
    <t>SQL1.売上消込合計</t>
    <phoneticPr fontId="1"/>
  </si>
  <si>
    <t>[SQL1.税込金額]＞[SQL1.売上消込合計]の場合[SQL1.税込金額]を赤文字で表示
それ以外の場合は[SQL1.税込金額]を黒文字で表示</t>
    <rPh sb="26" eb="28">
      <t>バアイ</t>
    </rPh>
    <rPh sb="40" eb="43">
      <t>アカモジ</t>
    </rPh>
    <rPh sb="44" eb="46">
      <t>ヒョウジ</t>
    </rPh>
    <rPh sb="49" eb="51">
      <t>イガイ</t>
    </rPh>
    <rPh sb="52" eb="54">
      <t>バアイ</t>
    </rPh>
    <rPh sb="67" eb="68">
      <t>クロ</t>
    </rPh>
    <phoneticPr fontId="1"/>
  </si>
  <si>
    <t>[SQL1.税込金額]＜[SQL1.売上消込合計]の場合[SQL1.売上消込合計]を赤文字で表示
それ以外の場合は[SQL1.売上消込合計]を黒文字で表示</t>
    <rPh sb="26" eb="28">
      <t>バアイ</t>
    </rPh>
    <rPh sb="42" eb="45">
      <t>アカモジ</t>
    </rPh>
    <rPh sb="46" eb="48">
      <t>ヒョウジ</t>
    </rPh>
    <rPh sb="51" eb="53">
      <t>イガイ</t>
    </rPh>
    <rPh sb="54" eb="56">
      <t>バアイ</t>
    </rPh>
    <rPh sb="71" eb="72">
      <t>クロ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</si>
  <si>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</si>
  <si>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</si>
  <si>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入金済金額</t>
    <phoneticPr fontId="2"/>
  </si>
  <si>
    <t>税込金額</t>
    <phoneticPr fontId="2"/>
  </si>
  <si>
    <t>SQL2</t>
    <phoneticPr fontId="2"/>
  </si>
  <si>
    <t>TD入金消込</t>
    <phoneticPr fontId="2"/>
  </si>
  <si>
    <t>TD売上請求H</t>
    <phoneticPr fontId="2"/>
  </si>
  <si>
    <t>TD見積</t>
    <phoneticPr fontId="2"/>
  </si>
  <si>
    <t>SQL3</t>
    <phoneticPr fontId="2"/>
  </si>
  <si>
    <t>SQL4</t>
    <phoneticPr fontId="2"/>
  </si>
  <si>
    <t>SQL5</t>
    <phoneticPr fontId="2"/>
  </si>
  <si>
    <t>INNER JOIN</t>
    <phoneticPr fontId="2"/>
  </si>
  <si>
    <t>TD入金消込</t>
    <phoneticPr fontId="2"/>
  </si>
  <si>
    <t>INNER JOIN</t>
    <phoneticPr fontId="2"/>
  </si>
  <si>
    <t>SQL3</t>
    <phoneticPr fontId="2"/>
  </si>
  <si>
    <t>SQL4</t>
    <phoneticPr fontId="2"/>
  </si>
  <si>
    <t>SQL5</t>
    <phoneticPr fontId="2"/>
  </si>
  <si>
    <t>AND</t>
    <phoneticPr fontId="2"/>
  </si>
  <si>
    <t>SQL1</t>
    <phoneticPr fontId="2"/>
  </si>
  <si>
    <t>入金金額</t>
    <phoneticPr fontId="2"/>
  </si>
  <si>
    <t>order by</t>
    <phoneticPr fontId="2"/>
  </si>
  <si>
    <t>入金番号</t>
    <phoneticPr fontId="2"/>
  </si>
  <si>
    <t>入金日付</t>
    <phoneticPr fontId="2"/>
  </si>
  <si>
    <t>得意先CD</t>
    <phoneticPr fontId="2"/>
  </si>
  <si>
    <t>得意先名1</t>
    <phoneticPr fontId="2"/>
  </si>
  <si>
    <t>得意先名2</t>
    <phoneticPr fontId="2"/>
  </si>
  <si>
    <t>AND</t>
    <phoneticPr fontId="2"/>
  </si>
  <si>
    <t>group by</t>
    <phoneticPr fontId="2"/>
  </si>
  <si>
    <t>SQL2.入金番号</t>
  </si>
  <si>
    <t>SQL2.入金日付</t>
  </si>
  <si>
    <t>SQL2.得意先CD</t>
  </si>
  <si>
    <t>SQL2.得意先名1</t>
  </si>
  <si>
    <t>SQL2.得意先名2</t>
  </si>
  <si>
    <t>SQL2.入金金額</t>
  </si>
  <si>
    <t>SQL2.入金番号 = KS.入金番号</t>
  </si>
  <si>
    <t>[SQL2.得意先CD]の昇順</t>
    <rPh sb="13" eb="15">
      <t>ショウジュン</t>
    </rPh>
    <phoneticPr fontId="2"/>
  </si>
  <si>
    <t>[SQL2.入金日付]の昇順</t>
    <rPh sb="12" eb="14">
      <t>ショウジュン</t>
    </rPh>
    <phoneticPr fontId="2"/>
  </si>
  <si>
    <t>[SQL2.入金番号]の昇順</t>
    <rPh sb="12" eb="14">
      <t>ショウジュン</t>
    </rPh>
    <phoneticPr fontId="2"/>
  </si>
  <si>
    <t>SQL3.売上日付</t>
  </si>
  <si>
    <t>TD売上請求H.請求日付</t>
  </si>
  <si>
    <t>TD売上請求H.見積番号</t>
  </si>
  <si>
    <t>TD売上請求H.合計金額 + TD売上請求H.外税額</t>
  </si>
  <si>
    <t>KS.売上番号 = TD売上請求H.見積番号</t>
  </si>
  <si>
    <t>TD売上請求H.見積番号 = MH.見積番号</t>
  </si>
  <si>
    <t>TD売上請求H.見積番号 = SQL3.見積番号</t>
  </si>
  <si>
    <t>[TD売上請求H.請求日付]の昇順</t>
    <rPh sb="15" eb="17">
      <t>ショウジュン</t>
    </rPh>
    <phoneticPr fontId="2"/>
  </si>
  <si>
    <t>[TD売上請求H.見積番号]の昇順</t>
    <rPh sb="15" eb="17">
      <t>ショウジュン</t>
    </rPh>
    <phoneticPr fontId="2"/>
  </si>
  <si>
    <t>SQL4.入金消込合計</t>
  </si>
  <si>
    <t>SQL2.入金番号 = SQL4.入金番号</t>
  </si>
  <si>
    <t xml:space="preserve">SQL5.売上消込合計 </t>
  </si>
  <si>
    <t>TD売上請求H.見積番号 = SQL5.売上番号</t>
  </si>
  <si>
    <t>SQL2.入金番号 = SQL5.入金番号</t>
  </si>
  <si>
    <t>SQL3</t>
    <phoneticPr fontId="2"/>
  </si>
  <si>
    <t>見積番号</t>
    <phoneticPr fontId="2"/>
  </si>
  <si>
    <t>売上日付</t>
    <phoneticPr fontId="2"/>
  </si>
  <si>
    <t>TD入金.入金番号</t>
    <phoneticPr fontId="2"/>
  </si>
  <si>
    <t>TD入金.入金日付</t>
    <phoneticPr fontId="2"/>
  </si>
  <si>
    <t>TD入金.得意先CD</t>
    <phoneticPr fontId="2"/>
  </si>
  <si>
    <t>TD入金.得意先名1</t>
    <phoneticPr fontId="2"/>
  </si>
  <si>
    <t>TD入金.得意先名2</t>
    <phoneticPr fontId="2"/>
  </si>
  <si>
    <t>SUM(TD入金.入金金額)</t>
    <phoneticPr fontId="2"/>
  </si>
  <si>
    <t>TD入金</t>
    <phoneticPr fontId="2"/>
  </si>
  <si>
    <t>TD入金.入金日付 &gt;= @iDateFrom</t>
  </si>
  <si>
    <t>TD入金.入金日付 &lt;= @iDateTo</t>
  </si>
  <si>
    <t>TD入金.得意先CD = coalesce(@is得意先CD,TD入金.得意先CD)</t>
  </si>
  <si>
    <t>TD入金.得意先CD = coalesce(@ie得意先CD,TD入金.得意先CD)</t>
  </si>
  <si>
    <t>[TD入金.入金番号]昇順</t>
    <rPh sb="11" eb="13">
      <t>ショウジュン</t>
    </rPh>
    <phoneticPr fontId="2"/>
  </si>
  <si>
    <t>[TD入金.入金日付]昇順</t>
    <rPh sb="11" eb="13">
      <t>ショウジュン</t>
    </rPh>
    <phoneticPr fontId="2"/>
  </si>
  <si>
    <t>[TD入金.得意先CD]昇順</t>
    <rPh sb="12" eb="14">
      <t>ショウジュン</t>
    </rPh>
    <phoneticPr fontId="2"/>
  </si>
  <si>
    <t>[TD入金.得意先名1]昇順</t>
    <rPh sb="12" eb="14">
      <t>ショウジュン</t>
    </rPh>
    <phoneticPr fontId="2"/>
  </si>
  <si>
    <t>[TD入金.得意先名2]昇順</t>
    <rPh sb="12" eb="14">
      <t>ショウジュン</t>
    </rPh>
    <phoneticPr fontId="2"/>
  </si>
  <si>
    <t>TD売上V2</t>
    <phoneticPr fontId="2"/>
  </si>
  <si>
    <t>TD売上V2.見積番号</t>
    <rPh sb="7" eb="11">
      <t>ミツモリバンゴウ</t>
    </rPh>
    <phoneticPr fontId="2"/>
  </si>
  <si>
    <t>MAX(TD売上V2.売上日付)</t>
    <phoneticPr fontId="2"/>
  </si>
  <si>
    <t>TD売上V2.見積番号</t>
    <phoneticPr fontId="2"/>
  </si>
  <si>
    <t>入金番号</t>
    <phoneticPr fontId="2"/>
  </si>
  <si>
    <t>入金消込合計</t>
    <phoneticPr fontId="2"/>
  </si>
  <si>
    <t>TD入金消込.入金番号</t>
    <rPh sb="7" eb="9">
      <t>ニュウキン</t>
    </rPh>
    <rPh sb="9" eb="11">
      <t>バンゴウ</t>
    </rPh>
    <phoneticPr fontId="2"/>
  </si>
  <si>
    <t>SUM(TD入金消込.入金金額)</t>
    <phoneticPr fontId="2"/>
  </si>
  <si>
    <t>TD入金消込</t>
    <phoneticPr fontId="2"/>
  </si>
  <si>
    <t>TD入金消込.入金番号</t>
    <phoneticPr fontId="2"/>
  </si>
  <si>
    <t>SQL5</t>
    <phoneticPr fontId="2"/>
  </si>
  <si>
    <t>売上消込合計</t>
    <phoneticPr fontId="2"/>
  </si>
  <si>
    <t>TD入金消込</t>
    <phoneticPr fontId="2"/>
  </si>
  <si>
    <t>売上番号</t>
    <phoneticPr fontId="2"/>
  </si>
  <si>
    <t>TD入金消込.売上番号</t>
    <rPh sb="2" eb="4">
      <t>ニュウキン</t>
    </rPh>
    <rPh sb="4" eb="6">
      <t>ケシコミ</t>
    </rPh>
    <phoneticPr fontId="2"/>
  </si>
  <si>
    <t>入金番号</t>
    <phoneticPr fontId="2"/>
  </si>
  <si>
    <t>TD入金消込.入金番号</t>
    <phoneticPr fontId="2"/>
  </si>
  <si>
    <t>SUM(TD入金消込.売上番号)</t>
    <phoneticPr fontId="2"/>
  </si>
  <si>
    <t>TD入金消込.売上番号</t>
    <phoneticPr fontId="2"/>
  </si>
  <si>
    <t>TD入金消込.入金番号</t>
    <phoneticPr fontId="2"/>
  </si>
  <si>
    <t>-</t>
    <phoneticPr fontId="2"/>
  </si>
  <si>
    <t>PDF</t>
    <phoneticPr fontId="2"/>
  </si>
  <si>
    <t>pdf</t>
    <phoneticPr fontId="2"/>
  </si>
  <si>
    <t>-</t>
    <phoneticPr fontId="2"/>
  </si>
  <si>
    <t>-</t>
    <phoneticPr fontId="2"/>
  </si>
  <si>
    <t>-</t>
    <phoneticPr fontId="2"/>
  </si>
  <si>
    <t>-</t>
    <phoneticPr fontId="2"/>
  </si>
  <si>
    <t>A3縦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</si>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</sst>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207819</xdr:colOff>
      <xdr:row>8</xdr:row>
      <xdr:rowOff>59494</xdr:rowOff>
    </xdr:from>
    <xdr:to>
      <xdr:col>64</xdr:col>
      <xdr:colOff>27342</xdr:colOff>
      <xdr:row>33</xdr:row>
      <xdr:rowOff>207818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639" y="1690174"/>
          <a:ext cx="17581743" cy="6434824"/>
        </a:xfrm>
        <a:prstGeom prst="rect">
          <a:avLst/>
        </a:prstGeom>
      </xdr:spPr>
    </xdr:pic>
    <xdr:clientData/>
  </xdr:twoCellAnchor>
  <xdr:twoCellAnchor>
    <xdr:from>
      <xdr:col>33</xdr:col>
      <xdr:colOff>95922</xdr:colOff>
      <xdr:row>14</xdr:row>
      <xdr:rowOff>121472</xdr:rowOff>
    </xdr:from>
    <xdr:to>
      <xdr:col>34</xdr:col>
      <xdr:colOff>158675</xdr:colOff>
      <xdr:row>15</xdr:row>
      <xdr:rowOff>193638</xdr:rowOff>
    </xdr:to>
    <xdr:sp macro="" textlink="">
      <xdr:nvSpPr>
        <xdr:cNvPr id="3" name="正方形/長方形 2"/>
        <xdr:cNvSpPr/>
      </xdr:nvSpPr>
      <xdr:spPr>
        <a:xfrm>
          <a:off x="9069593" y="3259119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73959</xdr:colOff>
      <xdr:row>10</xdr:row>
      <xdr:rowOff>13448</xdr:rowOff>
    </xdr:from>
    <xdr:to>
      <xdr:col>48</xdr:col>
      <xdr:colOff>136711</xdr:colOff>
      <xdr:row>11</xdr:row>
      <xdr:rowOff>85615</xdr:rowOff>
    </xdr:to>
    <xdr:sp macro="" textlink="">
      <xdr:nvSpPr>
        <xdr:cNvPr id="5" name="正方形/長方形 4"/>
        <xdr:cNvSpPr/>
      </xdr:nvSpPr>
      <xdr:spPr>
        <a:xfrm>
          <a:off x="12938312" y="2147048"/>
          <a:ext cx="340658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253254</xdr:colOff>
      <xdr:row>11</xdr:row>
      <xdr:rowOff>165847</xdr:rowOff>
    </xdr:from>
    <xdr:to>
      <xdr:col>19</xdr:col>
      <xdr:colOff>38100</xdr:colOff>
      <xdr:row>12</xdr:row>
      <xdr:rowOff>238014</xdr:rowOff>
    </xdr:to>
    <xdr:sp macro="" textlink="">
      <xdr:nvSpPr>
        <xdr:cNvPr id="6" name="正方形/長方形 5"/>
        <xdr:cNvSpPr/>
      </xdr:nvSpPr>
      <xdr:spPr>
        <a:xfrm>
          <a:off x="4780430" y="2550459"/>
          <a:ext cx="340658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78890</xdr:colOff>
      <xdr:row>11</xdr:row>
      <xdr:rowOff>165399</xdr:rowOff>
    </xdr:from>
    <xdr:to>
      <xdr:col>11</xdr:col>
      <xdr:colOff>141642</xdr:colOff>
      <xdr:row>12</xdr:row>
      <xdr:rowOff>237566</xdr:rowOff>
    </xdr:to>
    <xdr:sp macro="" textlink="">
      <xdr:nvSpPr>
        <xdr:cNvPr id="7" name="正方形/長方形 6"/>
        <xdr:cNvSpPr/>
      </xdr:nvSpPr>
      <xdr:spPr>
        <a:xfrm>
          <a:off x="2660725" y="2550011"/>
          <a:ext cx="340658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51996</xdr:colOff>
      <xdr:row>9</xdr:row>
      <xdr:rowOff>237117</xdr:rowOff>
    </xdr:from>
    <xdr:to>
      <xdr:col>21</xdr:col>
      <xdr:colOff>114748</xdr:colOff>
      <xdr:row>11</xdr:row>
      <xdr:rowOff>57824</xdr:rowOff>
    </xdr:to>
    <xdr:sp macro="" textlink="">
      <xdr:nvSpPr>
        <xdr:cNvPr id="8" name="正方形/長方形 7"/>
        <xdr:cNvSpPr/>
      </xdr:nvSpPr>
      <xdr:spPr>
        <a:xfrm>
          <a:off x="5412890" y="2119705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83821</xdr:colOff>
      <xdr:row>9</xdr:row>
      <xdr:rowOff>236670</xdr:rowOff>
    </xdr:from>
    <xdr:to>
      <xdr:col>11</xdr:col>
      <xdr:colOff>146573</xdr:colOff>
      <xdr:row>11</xdr:row>
      <xdr:rowOff>57825</xdr:rowOff>
    </xdr:to>
    <xdr:sp macro="" textlink="">
      <xdr:nvSpPr>
        <xdr:cNvPr id="9" name="正方形/長方形 8"/>
        <xdr:cNvSpPr/>
      </xdr:nvSpPr>
      <xdr:spPr>
        <a:xfrm>
          <a:off x="2665656" y="2119258"/>
          <a:ext cx="340658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27343</xdr:colOff>
      <xdr:row>17</xdr:row>
      <xdr:rowOff>227705</xdr:rowOff>
    </xdr:from>
    <xdr:to>
      <xdr:col>38</xdr:col>
      <xdr:colOff>90095</xdr:colOff>
      <xdr:row>19</xdr:row>
      <xdr:rowOff>48859</xdr:rowOff>
    </xdr:to>
    <xdr:sp macro="" textlink="">
      <xdr:nvSpPr>
        <xdr:cNvPr id="12" name="正方形/長方形 11"/>
        <xdr:cNvSpPr/>
      </xdr:nvSpPr>
      <xdr:spPr>
        <a:xfrm>
          <a:off x="10112637" y="4118387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152849</xdr:colOff>
      <xdr:row>14</xdr:row>
      <xdr:rowOff>129093</xdr:rowOff>
    </xdr:from>
    <xdr:to>
      <xdr:col>22</xdr:col>
      <xdr:colOff>215601</xdr:colOff>
      <xdr:row>15</xdr:row>
      <xdr:rowOff>201259</xdr:rowOff>
    </xdr:to>
    <xdr:sp macro="" textlink="">
      <xdr:nvSpPr>
        <xdr:cNvPr id="13" name="正方形/長方形 12"/>
        <xdr:cNvSpPr/>
      </xdr:nvSpPr>
      <xdr:spPr>
        <a:xfrm>
          <a:off x="5791649" y="3266740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81131</xdr:colOff>
      <xdr:row>14</xdr:row>
      <xdr:rowOff>120128</xdr:rowOff>
    </xdr:from>
    <xdr:to>
      <xdr:col>17</xdr:col>
      <xdr:colOff>143884</xdr:colOff>
      <xdr:row>15</xdr:row>
      <xdr:rowOff>192294</xdr:rowOff>
    </xdr:to>
    <xdr:sp macro="" textlink="">
      <xdr:nvSpPr>
        <xdr:cNvPr id="14" name="正方形/長方形 13"/>
        <xdr:cNvSpPr/>
      </xdr:nvSpPr>
      <xdr:spPr>
        <a:xfrm>
          <a:off x="4330402" y="3257775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108025</xdr:colOff>
      <xdr:row>14</xdr:row>
      <xdr:rowOff>111163</xdr:rowOff>
    </xdr:from>
    <xdr:to>
      <xdr:col>11</xdr:col>
      <xdr:colOff>170777</xdr:colOff>
      <xdr:row>15</xdr:row>
      <xdr:rowOff>183329</xdr:rowOff>
    </xdr:to>
    <xdr:sp macro="" textlink="">
      <xdr:nvSpPr>
        <xdr:cNvPr id="15" name="正方形/長方形 14"/>
        <xdr:cNvSpPr/>
      </xdr:nvSpPr>
      <xdr:spPr>
        <a:xfrm>
          <a:off x="2689860" y="3248810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170778</xdr:colOff>
      <xdr:row>14</xdr:row>
      <xdr:rowOff>120128</xdr:rowOff>
    </xdr:from>
    <xdr:to>
      <xdr:col>4</xdr:col>
      <xdr:colOff>233530</xdr:colOff>
      <xdr:row>15</xdr:row>
      <xdr:rowOff>192294</xdr:rowOff>
    </xdr:to>
    <xdr:sp macro="" textlink="">
      <xdr:nvSpPr>
        <xdr:cNvPr id="16" name="正方形/長方形 15"/>
        <xdr:cNvSpPr/>
      </xdr:nvSpPr>
      <xdr:spPr>
        <a:xfrm>
          <a:off x="807272" y="3257775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260426</xdr:colOff>
      <xdr:row>17</xdr:row>
      <xdr:rowOff>218740</xdr:rowOff>
    </xdr:from>
    <xdr:to>
      <xdr:col>31</xdr:col>
      <xdr:colOff>45272</xdr:colOff>
      <xdr:row>19</xdr:row>
      <xdr:rowOff>39894</xdr:rowOff>
    </xdr:to>
    <xdr:sp macro="" textlink="">
      <xdr:nvSpPr>
        <xdr:cNvPr id="17" name="正方形/長方形 16"/>
        <xdr:cNvSpPr/>
      </xdr:nvSpPr>
      <xdr:spPr>
        <a:xfrm>
          <a:off x="8122473" y="4109422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152849</xdr:colOff>
      <xdr:row>17</xdr:row>
      <xdr:rowOff>218739</xdr:rowOff>
    </xdr:from>
    <xdr:to>
      <xdr:col>21</xdr:col>
      <xdr:colOff>215601</xdr:colOff>
      <xdr:row>19</xdr:row>
      <xdr:rowOff>39893</xdr:rowOff>
    </xdr:to>
    <xdr:sp macro="" textlink="">
      <xdr:nvSpPr>
        <xdr:cNvPr id="18" name="正方形/長方形 17"/>
        <xdr:cNvSpPr/>
      </xdr:nvSpPr>
      <xdr:spPr>
        <a:xfrm>
          <a:off x="5513743" y="4109421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125955</xdr:colOff>
      <xdr:row>17</xdr:row>
      <xdr:rowOff>218740</xdr:rowOff>
    </xdr:from>
    <xdr:to>
      <xdr:col>13</xdr:col>
      <xdr:colOff>188707</xdr:colOff>
      <xdr:row>19</xdr:row>
      <xdr:rowOff>39894</xdr:rowOff>
    </xdr:to>
    <xdr:sp macro="" textlink="">
      <xdr:nvSpPr>
        <xdr:cNvPr id="19" name="正方形/長方形 18"/>
        <xdr:cNvSpPr/>
      </xdr:nvSpPr>
      <xdr:spPr>
        <a:xfrm>
          <a:off x="3263602" y="4109422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251461</xdr:colOff>
      <xdr:row>17</xdr:row>
      <xdr:rowOff>227704</xdr:rowOff>
    </xdr:from>
    <xdr:to>
      <xdr:col>6</xdr:col>
      <xdr:colOff>36307</xdr:colOff>
      <xdr:row>19</xdr:row>
      <xdr:rowOff>48858</xdr:rowOff>
    </xdr:to>
    <xdr:sp macro="" textlink="">
      <xdr:nvSpPr>
        <xdr:cNvPr id="20" name="正方形/長方形 19"/>
        <xdr:cNvSpPr/>
      </xdr:nvSpPr>
      <xdr:spPr>
        <a:xfrm>
          <a:off x="1165861" y="4118386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58</xdr:col>
      <xdr:colOff>62753</xdr:colOff>
      <xdr:row>14</xdr:row>
      <xdr:rowOff>116542</xdr:rowOff>
    </xdr:from>
    <xdr:to>
      <xdr:col>59</xdr:col>
      <xdr:colOff>125505</xdr:colOff>
      <xdr:row>15</xdr:row>
      <xdr:rowOff>188708</xdr:rowOff>
    </xdr:to>
    <xdr:sp macro="" textlink="">
      <xdr:nvSpPr>
        <xdr:cNvPr id="22" name="正方形/長方形 21"/>
        <xdr:cNvSpPr/>
      </xdr:nvSpPr>
      <xdr:spPr>
        <a:xfrm>
          <a:off x="15984071" y="3254189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134471</xdr:colOff>
      <xdr:row>14</xdr:row>
      <xdr:rowOff>125505</xdr:rowOff>
    </xdr:from>
    <xdr:to>
      <xdr:col>52</xdr:col>
      <xdr:colOff>197223</xdr:colOff>
      <xdr:row>15</xdr:row>
      <xdr:rowOff>197671</xdr:rowOff>
    </xdr:to>
    <xdr:sp macro="" textlink="">
      <xdr:nvSpPr>
        <xdr:cNvPr id="23" name="正方形/長方形 22"/>
        <xdr:cNvSpPr/>
      </xdr:nvSpPr>
      <xdr:spPr>
        <a:xfrm>
          <a:off x="14110447" y="3263152"/>
          <a:ext cx="340658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622708</xdr:colOff>
      <xdr:row>38</xdr:row>
      <xdr:rowOff>96444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2022228" cy="8554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31" t="s">
        <v>0</v>
      </c>
      <c r="C2" s="132"/>
      <c r="D2" s="132"/>
      <c r="E2" s="132"/>
      <c r="F2" s="132"/>
      <c r="G2" s="132"/>
      <c r="H2" s="132" t="s">
        <v>17</v>
      </c>
      <c r="I2" s="132"/>
      <c r="J2" s="132"/>
      <c r="K2" s="132"/>
      <c r="L2" s="132" t="s">
        <v>241</v>
      </c>
      <c r="M2" s="132"/>
      <c r="N2" s="132"/>
      <c r="O2" s="132"/>
      <c r="P2" s="132"/>
      <c r="Q2" s="132"/>
      <c r="R2" s="132" t="s">
        <v>2</v>
      </c>
      <c r="S2" s="132"/>
      <c r="T2" s="132"/>
      <c r="U2" s="132"/>
      <c r="V2" s="132"/>
      <c r="W2" s="132"/>
      <c r="X2" s="133" t="s">
        <v>3</v>
      </c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5"/>
      <c r="AK2" s="133" t="s">
        <v>31</v>
      </c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5"/>
      <c r="AX2" s="132" t="s">
        <v>5</v>
      </c>
      <c r="AY2" s="132"/>
      <c r="AZ2" s="132"/>
      <c r="BA2" s="132"/>
      <c r="BB2" s="132" t="s">
        <v>4</v>
      </c>
      <c r="BC2" s="132"/>
      <c r="BD2" s="132"/>
      <c r="BE2" s="132"/>
      <c r="BF2" s="132" t="s">
        <v>6</v>
      </c>
      <c r="BG2" s="132"/>
      <c r="BH2" s="132"/>
      <c r="BI2" s="132"/>
      <c r="BJ2" s="132" t="s">
        <v>7</v>
      </c>
      <c r="BK2" s="132"/>
      <c r="BL2" s="132"/>
      <c r="BM2" s="146"/>
      <c r="BN2" s="14"/>
    </row>
    <row r="3" spans="1:66" ht="20.100000000000001" customHeight="1" x14ac:dyDescent="0.45">
      <c r="A3" s="8"/>
      <c r="B3" s="136" t="s">
        <v>239</v>
      </c>
      <c r="C3" s="137"/>
      <c r="D3" s="137"/>
      <c r="E3" s="137"/>
      <c r="F3" s="137"/>
      <c r="G3" s="137"/>
      <c r="H3" s="137" t="str">
        <f ca="1">LEFT($X$3,FIND("_",$X$3)-1)</f>
        <v>UN0700</v>
      </c>
      <c r="I3" s="137"/>
      <c r="J3" s="137"/>
      <c r="K3" s="137"/>
      <c r="L3" s="137" t="s">
        <v>240</v>
      </c>
      <c r="M3" s="137"/>
      <c r="N3" s="137"/>
      <c r="O3" s="137"/>
      <c r="P3" s="137"/>
      <c r="Q3" s="137"/>
      <c r="R3" s="140" t="str">
        <f ca="1">MID($X$3,FIND("_",$X$3,FIND("_",$X$3)+1)+1,LEN($X$3)-FIND("_",$X$3,FIND("_",$X$3)+1))</f>
        <v>帳票設計書</v>
      </c>
      <c r="S3" s="137"/>
      <c r="T3" s="137"/>
      <c r="U3" s="137"/>
      <c r="V3" s="137"/>
      <c r="W3" s="137"/>
      <c r="X3" s="141" t="str">
        <f ca="1">REPLACE(LEFT(CELL("filename",$B$2),FIND(".x",CELL("filename",$B$2))-1),1,FIND("[",CELL("filename",$B$2)),)</f>
        <v>UN0700_消込済一覧表_帳票設計書</v>
      </c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38"/>
      <c r="AK3" s="141" t="str">
        <f ca="1">MID($X$3,FIND("_",$X$3)+1,FIND("_",$X$3,FIND("_",$X$3)+1)-FIND("_",$X$3)-1)</f>
        <v>消込済一覧表</v>
      </c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38"/>
      <c r="AX3" s="148">
        <v>45583</v>
      </c>
      <c r="AY3" s="137"/>
      <c r="AZ3" s="137"/>
      <c r="BA3" s="137"/>
      <c r="BB3" s="137" t="s">
        <v>242</v>
      </c>
      <c r="BC3" s="137"/>
      <c r="BD3" s="137"/>
      <c r="BE3" s="137"/>
      <c r="BF3" s="148">
        <v>45583</v>
      </c>
      <c r="BG3" s="137"/>
      <c r="BH3" s="137"/>
      <c r="BI3" s="137"/>
      <c r="BJ3" s="137" t="s">
        <v>242</v>
      </c>
      <c r="BK3" s="137"/>
      <c r="BL3" s="137"/>
      <c r="BM3" s="149"/>
      <c r="BN3" s="14"/>
    </row>
    <row r="4" spans="1:66" ht="20.100000000000001" customHeight="1" thickBot="1" x14ac:dyDescent="0.5">
      <c r="A4" s="8"/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43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5"/>
      <c r="AK4" s="143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5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41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7" t="s">
        <v>8</v>
      </c>
      <c r="D8" s="147"/>
      <c r="E8" s="147"/>
      <c r="F8" s="147"/>
      <c r="G8" s="147" t="s">
        <v>9</v>
      </c>
      <c r="H8" s="147"/>
      <c r="I8" s="147"/>
      <c r="J8" s="147"/>
      <c r="K8" s="147" t="s">
        <v>10</v>
      </c>
      <c r="L8" s="147"/>
      <c r="M8" s="147"/>
      <c r="N8" s="147"/>
      <c r="O8" s="147" t="s">
        <v>11</v>
      </c>
      <c r="P8" s="147"/>
      <c r="Q8" s="147"/>
      <c r="R8" s="147"/>
      <c r="S8" s="147"/>
      <c r="T8" s="147"/>
      <c r="U8" s="147"/>
      <c r="V8" s="147"/>
      <c r="W8" s="147"/>
      <c r="X8" s="147"/>
      <c r="Y8" s="147" t="s">
        <v>12</v>
      </c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7"/>
      <c r="BN8" s="14"/>
    </row>
    <row r="9" spans="1:66" ht="20.100000000000001" customHeight="1" x14ac:dyDescent="0.45">
      <c r="A9" s="8"/>
      <c r="B9" s="7"/>
      <c r="C9" s="150">
        <v>45583</v>
      </c>
      <c r="D9" s="151"/>
      <c r="E9" s="151"/>
      <c r="F9" s="152"/>
      <c r="G9" s="153" t="s">
        <v>16</v>
      </c>
      <c r="H9" s="154"/>
      <c r="I9" s="154"/>
      <c r="J9" s="155"/>
      <c r="K9" s="156" t="s">
        <v>242</v>
      </c>
      <c r="L9" s="151"/>
      <c r="M9" s="151"/>
      <c r="N9" s="152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50"/>
      <c r="D10" s="151"/>
      <c r="E10" s="151"/>
      <c r="F10" s="152"/>
      <c r="G10" s="153"/>
      <c r="H10" s="154"/>
      <c r="I10" s="154"/>
      <c r="J10" s="155"/>
      <c r="K10" s="156"/>
      <c r="L10" s="151"/>
      <c r="M10" s="151"/>
      <c r="N10" s="152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50"/>
      <c r="D11" s="151"/>
      <c r="E11" s="151"/>
      <c r="F11" s="152"/>
      <c r="G11" s="153"/>
      <c r="H11" s="154"/>
      <c r="I11" s="154"/>
      <c r="J11" s="155"/>
      <c r="K11" s="156"/>
      <c r="L11" s="151"/>
      <c r="M11" s="151"/>
      <c r="N11" s="152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50"/>
      <c r="D36" s="151"/>
      <c r="E36" s="151"/>
      <c r="F36" s="152"/>
      <c r="G36" s="153"/>
      <c r="H36" s="154"/>
      <c r="I36" s="154"/>
      <c r="J36" s="155"/>
      <c r="K36" s="156"/>
      <c r="L36" s="151"/>
      <c r="M36" s="151"/>
      <c r="N36" s="152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50"/>
      <c r="D37" s="151"/>
      <c r="E37" s="151"/>
      <c r="F37" s="152"/>
      <c r="G37" s="153"/>
      <c r="H37" s="154"/>
      <c r="I37" s="154"/>
      <c r="J37" s="155"/>
      <c r="K37" s="156"/>
      <c r="L37" s="151"/>
      <c r="M37" s="151"/>
      <c r="N37" s="152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50"/>
      <c r="D38" s="151"/>
      <c r="E38" s="151"/>
      <c r="F38" s="152"/>
      <c r="G38" s="153"/>
      <c r="H38" s="154"/>
      <c r="I38" s="154"/>
      <c r="J38" s="155"/>
      <c r="K38" s="156"/>
      <c r="L38" s="151"/>
      <c r="M38" s="151"/>
      <c r="N38" s="152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50"/>
      <c r="D39" s="151"/>
      <c r="E39" s="151"/>
      <c r="F39" s="152"/>
      <c r="G39" s="153"/>
      <c r="H39" s="154"/>
      <c r="I39" s="154"/>
      <c r="J39" s="155"/>
      <c r="K39" s="156"/>
      <c r="L39" s="151"/>
      <c r="M39" s="151"/>
      <c r="N39" s="152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50"/>
      <c r="D40" s="151"/>
      <c r="E40" s="151"/>
      <c r="F40" s="152"/>
      <c r="G40" s="153"/>
      <c r="H40" s="154"/>
      <c r="I40" s="154"/>
      <c r="J40" s="155"/>
      <c r="K40" s="156"/>
      <c r="L40" s="151"/>
      <c r="M40" s="151"/>
      <c r="N40" s="152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50"/>
      <c r="D41" s="151"/>
      <c r="E41" s="151"/>
      <c r="F41" s="152"/>
      <c r="G41" s="153"/>
      <c r="H41" s="154"/>
      <c r="I41" s="154"/>
      <c r="J41" s="155"/>
      <c r="K41" s="156"/>
      <c r="L41" s="151"/>
      <c r="M41" s="151"/>
      <c r="N41" s="152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50"/>
      <c r="D42" s="151"/>
      <c r="E42" s="151"/>
      <c r="F42" s="152"/>
      <c r="G42" s="153"/>
      <c r="H42" s="154"/>
      <c r="I42" s="154"/>
      <c r="J42" s="155"/>
      <c r="K42" s="156"/>
      <c r="L42" s="151"/>
      <c r="M42" s="151"/>
      <c r="N42" s="152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50"/>
      <c r="D43" s="151"/>
      <c r="E43" s="151"/>
      <c r="F43" s="152"/>
      <c r="G43" s="153"/>
      <c r="H43" s="154"/>
      <c r="I43" s="154"/>
      <c r="J43" s="155"/>
      <c r="K43" s="156"/>
      <c r="L43" s="151"/>
      <c r="M43" s="151"/>
      <c r="N43" s="152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50"/>
      <c r="D44" s="151"/>
      <c r="E44" s="151"/>
      <c r="F44" s="152"/>
      <c r="G44" s="153"/>
      <c r="H44" s="154"/>
      <c r="I44" s="154"/>
      <c r="J44" s="155"/>
      <c r="K44" s="156"/>
      <c r="L44" s="151"/>
      <c r="M44" s="151"/>
      <c r="N44" s="152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50"/>
      <c r="D45" s="151"/>
      <c r="E45" s="151"/>
      <c r="F45" s="152"/>
      <c r="G45" s="153"/>
      <c r="H45" s="154"/>
      <c r="I45" s="154"/>
      <c r="J45" s="155"/>
      <c r="K45" s="156"/>
      <c r="L45" s="151"/>
      <c r="M45" s="151"/>
      <c r="N45" s="152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50"/>
      <c r="D46" s="151"/>
      <c r="E46" s="151"/>
      <c r="F46" s="152"/>
      <c r="G46" s="153"/>
      <c r="H46" s="154"/>
      <c r="I46" s="154"/>
      <c r="J46" s="155"/>
      <c r="K46" s="156"/>
      <c r="L46" s="151"/>
      <c r="M46" s="151"/>
      <c r="N46" s="152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50"/>
      <c r="D47" s="151"/>
      <c r="E47" s="151"/>
      <c r="F47" s="152"/>
      <c r="G47" s="153"/>
      <c r="H47" s="154"/>
      <c r="I47" s="154"/>
      <c r="J47" s="155"/>
      <c r="K47" s="156"/>
      <c r="L47" s="151"/>
      <c r="M47" s="151"/>
      <c r="N47" s="152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31" t="s">
        <v>0</v>
      </c>
      <c r="C2" s="132"/>
      <c r="D2" s="132"/>
      <c r="E2" s="132"/>
      <c r="F2" s="132"/>
      <c r="G2" s="132"/>
      <c r="H2" s="132" t="s">
        <v>17</v>
      </c>
      <c r="I2" s="132"/>
      <c r="J2" s="132"/>
      <c r="K2" s="132"/>
      <c r="L2" s="132" t="s">
        <v>241</v>
      </c>
      <c r="M2" s="132"/>
      <c r="N2" s="132"/>
      <c r="O2" s="132"/>
      <c r="P2" s="132"/>
      <c r="Q2" s="132"/>
      <c r="R2" s="132" t="s">
        <v>2</v>
      </c>
      <c r="S2" s="132"/>
      <c r="T2" s="132"/>
      <c r="U2" s="132"/>
      <c r="V2" s="132"/>
      <c r="W2" s="132"/>
      <c r="X2" s="133" t="s">
        <v>3</v>
      </c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5"/>
      <c r="AK2" s="133" t="s">
        <v>32</v>
      </c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5"/>
      <c r="AX2" s="132" t="s">
        <v>5</v>
      </c>
      <c r="AY2" s="132"/>
      <c r="AZ2" s="132"/>
      <c r="BA2" s="132"/>
      <c r="BB2" s="132" t="s">
        <v>4</v>
      </c>
      <c r="BC2" s="132"/>
      <c r="BD2" s="132"/>
      <c r="BE2" s="132"/>
      <c r="BF2" s="132" t="s">
        <v>6</v>
      </c>
      <c r="BG2" s="132"/>
      <c r="BH2" s="132"/>
      <c r="BI2" s="132"/>
      <c r="BJ2" s="132" t="s">
        <v>7</v>
      </c>
      <c r="BK2" s="132"/>
      <c r="BL2" s="132"/>
      <c r="BM2" s="146"/>
      <c r="BN2" s="35"/>
    </row>
    <row r="3" spans="1:66" ht="20.100000000000001" customHeight="1" x14ac:dyDescent="0.45">
      <c r="A3" s="32"/>
      <c r="B3" s="136" t="str">
        <f>変更履歴!B3</f>
        <v>受発注システム</v>
      </c>
      <c r="C3" s="137"/>
      <c r="D3" s="137"/>
      <c r="E3" s="137"/>
      <c r="F3" s="137"/>
      <c r="G3" s="137"/>
      <c r="H3" s="137" t="str">
        <f ca="1">変更履歴!H3</f>
        <v>UN0700</v>
      </c>
      <c r="I3" s="137"/>
      <c r="J3" s="137"/>
      <c r="K3" s="137"/>
      <c r="L3" s="137" t="str">
        <f>変更履歴!L3</f>
        <v>受発注</v>
      </c>
      <c r="M3" s="137"/>
      <c r="N3" s="137"/>
      <c r="O3" s="137"/>
      <c r="P3" s="137"/>
      <c r="Q3" s="137"/>
      <c r="R3" s="137" t="str">
        <f ca="1">変更履歴!R3</f>
        <v>帳票設計書</v>
      </c>
      <c r="S3" s="137"/>
      <c r="T3" s="137"/>
      <c r="U3" s="137"/>
      <c r="V3" s="137"/>
      <c r="W3" s="137"/>
      <c r="X3" s="141" t="str">
        <f ca="1">変更履歴!X3</f>
        <v>UN0700_消込済一覧表_帳票設計書</v>
      </c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38"/>
      <c r="AK3" s="141" t="str">
        <f ca="1">変更履歴!AK3</f>
        <v>消込済一覧表</v>
      </c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38"/>
      <c r="AX3" s="148">
        <f>変更履歴!AX3</f>
        <v>45583</v>
      </c>
      <c r="AY3" s="148"/>
      <c r="AZ3" s="148"/>
      <c r="BA3" s="148"/>
      <c r="BB3" s="137" t="str">
        <f>変更履歴!BB3</f>
        <v>大谷</v>
      </c>
      <c r="BC3" s="137"/>
      <c r="BD3" s="137"/>
      <c r="BE3" s="137"/>
      <c r="BF3" s="148">
        <f>変更履歴!BF3</f>
        <v>45583</v>
      </c>
      <c r="BG3" s="148"/>
      <c r="BH3" s="148"/>
      <c r="BI3" s="148"/>
      <c r="BJ3" s="137" t="str">
        <f>変更履歴!BJ3</f>
        <v>大谷</v>
      </c>
      <c r="BK3" s="137"/>
      <c r="BL3" s="137"/>
      <c r="BM3" s="149"/>
      <c r="BN3" s="35"/>
    </row>
    <row r="4" spans="1:66" ht="20.100000000000001" customHeight="1" thickBot="1" x14ac:dyDescent="0.5">
      <c r="A4" s="32"/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43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5"/>
      <c r="AK4" s="143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5"/>
      <c r="AX4" s="157"/>
      <c r="AY4" s="157"/>
      <c r="AZ4" s="157"/>
      <c r="BA4" s="157"/>
      <c r="BB4" s="139"/>
      <c r="BC4" s="139"/>
      <c r="BD4" s="139"/>
      <c r="BE4" s="139"/>
      <c r="BF4" s="157"/>
      <c r="BG4" s="157"/>
      <c r="BH4" s="157"/>
      <c r="BI4" s="157"/>
      <c r="BJ4" s="139"/>
      <c r="BK4" s="139"/>
      <c r="BL4" s="139"/>
      <c r="BM4" s="141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消込済一覧表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231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232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233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234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235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236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237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238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1" t="s">
        <v>0</v>
      </c>
      <c r="C2" s="132"/>
      <c r="D2" s="132"/>
      <c r="E2" s="132"/>
      <c r="F2" s="132"/>
      <c r="G2" s="132"/>
      <c r="H2" s="132" t="s">
        <v>17</v>
      </c>
      <c r="I2" s="132"/>
      <c r="J2" s="132"/>
      <c r="K2" s="132"/>
      <c r="L2" s="132" t="s">
        <v>241</v>
      </c>
      <c r="M2" s="132"/>
      <c r="N2" s="132"/>
      <c r="O2" s="132"/>
      <c r="P2" s="132"/>
      <c r="Q2" s="132"/>
      <c r="R2" s="132" t="s">
        <v>2</v>
      </c>
      <c r="S2" s="132"/>
      <c r="T2" s="132"/>
      <c r="U2" s="132"/>
      <c r="V2" s="132"/>
      <c r="W2" s="132"/>
      <c r="X2" s="133" t="s">
        <v>3</v>
      </c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5"/>
      <c r="AK2" s="133" t="s">
        <v>32</v>
      </c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5"/>
      <c r="AX2" s="132" t="s">
        <v>5</v>
      </c>
      <c r="AY2" s="132"/>
      <c r="AZ2" s="132"/>
      <c r="BA2" s="132"/>
      <c r="BB2" s="132" t="s">
        <v>4</v>
      </c>
      <c r="BC2" s="132"/>
      <c r="BD2" s="132"/>
      <c r="BE2" s="132"/>
      <c r="BF2" s="132" t="s">
        <v>6</v>
      </c>
      <c r="BG2" s="132"/>
      <c r="BH2" s="132"/>
      <c r="BI2" s="132"/>
      <c r="BJ2" s="132" t="s">
        <v>7</v>
      </c>
      <c r="BK2" s="132"/>
      <c r="BL2" s="132"/>
      <c r="BM2" s="146"/>
      <c r="BN2" s="15"/>
    </row>
    <row r="3" spans="1:66" ht="20.100000000000001" customHeight="1" x14ac:dyDescent="0.45">
      <c r="A3" s="9"/>
      <c r="B3" s="136" t="str">
        <f>変更履歴!B3</f>
        <v>受発注システム</v>
      </c>
      <c r="C3" s="137"/>
      <c r="D3" s="137"/>
      <c r="E3" s="137"/>
      <c r="F3" s="137"/>
      <c r="G3" s="137"/>
      <c r="H3" s="137" t="str">
        <f ca="1">変更履歴!H3</f>
        <v>UN0700</v>
      </c>
      <c r="I3" s="137"/>
      <c r="J3" s="137"/>
      <c r="K3" s="137"/>
      <c r="L3" s="137" t="str">
        <f>変更履歴!L3</f>
        <v>受発注</v>
      </c>
      <c r="M3" s="137"/>
      <c r="N3" s="137"/>
      <c r="O3" s="137"/>
      <c r="P3" s="137"/>
      <c r="Q3" s="137"/>
      <c r="R3" s="137" t="str">
        <f ca="1">変更履歴!R3</f>
        <v>帳票設計書</v>
      </c>
      <c r="S3" s="137"/>
      <c r="T3" s="137"/>
      <c r="U3" s="137"/>
      <c r="V3" s="137"/>
      <c r="W3" s="137"/>
      <c r="X3" s="141" t="str">
        <f ca="1">変更履歴!X3</f>
        <v>UN0700_消込済一覧表_帳票設計書</v>
      </c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38"/>
      <c r="AK3" s="141" t="str">
        <f ca="1">変更履歴!AK3</f>
        <v>消込済一覧表</v>
      </c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38"/>
      <c r="AX3" s="148">
        <f>変更履歴!AX3</f>
        <v>45583</v>
      </c>
      <c r="AY3" s="148"/>
      <c r="AZ3" s="148"/>
      <c r="BA3" s="148"/>
      <c r="BB3" s="137" t="str">
        <f>変更履歴!BB3</f>
        <v>大谷</v>
      </c>
      <c r="BC3" s="137"/>
      <c r="BD3" s="137"/>
      <c r="BE3" s="137"/>
      <c r="BF3" s="148">
        <f>変更履歴!BF3</f>
        <v>45583</v>
      </c>
      <c r="BG3" s="148"/>
      <c r="BH3" s="148"/>
      <c r="BI3" s="148"/>
      <c r="BJ3" s="137" t="str">
        <f>変更履歴!BJ3</f>
        <v>大谷</v>
      </c>
      <c r="BK3" s="137"/>
      <c r="BL3" s="137"/>
      <c r="BM3" s="149"/>
      <c r="BN3" s="15"/>
    </row>
    <row r="4" spans="1:66" ht="20.100000000000001" customHeight="1" thickBot="1" x14ac:dyDescent="0.5">
      <c r="A4" s="9"/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43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5"/>
      <c r="AK4" s="143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5"/>
      <c r="AX4" s="157"/>
      <c r="AY4" s="157"/>
      <c r="AZ4" s="157"/>
      <c r="BA4" s="157"/>
      <c r="BB4" s="139"/>
      <c r="BC4" s="139"/>
      <c r="BD4" s="139"/>
      <c r="BE4" s="139"/>
      <c r="BF4" s="157"/>
      <c r="BG4" s="157"/>
      <c r="BH4" s="157"/>
      <c r="BI4" s="157"/>
      <c r="BJ4" s="139"/>
      <c r="BK4" s="139"/>
      <c r="BL4" s="139"/>
      <c r="BM4" s="141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31" t="s">
        <v>0</v>
      </c>
      <c r="C2" s="132"/>
      <c r="D2" s="132"/>
      <c r="E2" s="132"/>
      <c r="F2" s="132"/>
      <c r="G2" s="132"/>
      <c r="H2" s="132" t="s">
        <v>17</v>
      </c>
      <c r="I2" s="132"/>
      <c r="J2" s="132"/>
      <c r="K2" s="132"/>
      <c r="L2" s="132" t="s">
        <v>241</v>
      </c>
      <c r="M2" s="132"/>
      <c r="N2" s="132"/>
      <c r="O2" s="132"/>
      <c r="P2" s="132"/>
      <c r="Q2" s="132"/>
      <c r="R2" s="132" t="s">
        <v>2</v>
      </c>
      <c r="S2" s="132"/>
      <c r="T2" s="132"/>
      <c r="U2" s="132"/>
      <c r="V2" s="132"/>
      <c r="W2" s="132"/>
      <c r="X2" s="133" t="s">
        <v>3</v>
      </c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5"/>
      <c r="AK2" s="133" t="s">
        <v>32</v>
      </c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5"/>
      <c r="AX2" s="132" t="s">
        <v>5</v>
      </c>
      <c r="AY2" s="132"/>
      <c r="AZ2" s="132"/>
      <c r="BA2" s="132"/>
      <c r="BB2" s="132" t="s">
        <v>4</v>
      </c>
      <c r="BC2" s="132"/>
      <c r="BD2" s="132"/>
      <c r="BE2" s="132"/>
      <c r="BF2" s="132" t="s">
        <v>6</v>
      </c>
      <c r="BG2" s="132"/>
      <c r="BH2" s="132"/>
      <c r="BI2" s="132"/>
      <c r="BJ2" s="132" t="s">
        <v>7</v>
      </c>
      <c r="BK2" s="132"/>
      <c r="BL2" s="132"/>
      <c r="BM2" s="146"/>
      <c r="BN2" s="15"/>
    </row>
    <row r="3" spans="1:85" ht="20.100000000000001" customHeight="1" x14ac:dyDescent="0.45">
      <c r="A3" s="9"/>
      <c r="B3" s="136" t="str">
        <f>変更履歴!B3</f>
        <v>受発注システム</v>
      </c>
      <c r="C3" s="137"/>
      <c r="D3" s="137"/>
      <c r="E3" s="137"/>
      <c r="F3" s="137"/>
      <c r="G3" s="137"/>
      <c r="H3" s="137" t="str">
        <f ca="1">変更履歴!H3</f>
        <v>UN0700</v>
      </c>
      <c r="I3" s="137"/>
      <c r="J3" s="137"/>
      <c r="K3" s="137"/>
      <c r="L3" s="137" t="str">
        <f>変更履歴!L3</f>
        <v>受発注</v>
      </c>
      <c r="M3" s="137"/>
      <c r="N3" s="137"/>
      <c r="O3" s="137"/>
      <c r="P3" s="137"/>
      <c r="Q3" s="137"/>
      <c r="R3" s="137" t="str">
        <f ca="1">変更履歴!R3</f>
        <v>帳票設計書</v>
      </c>
      <c r="S3" s="137"/>
      <c r="T3" s="137"/>
      <c r="U3" s="137"/>
      <c r="V3" s="137"/>
      <c r="W3" s="137"/>
      <c r="X3" s="141" t="str">
        <f ca="1">変更履歴!X3</f>
        <v>UN0700_消込済一覧表_帳票設計書</v>
      </c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38"/>
      <c r="AK3" s="141" t="str">
        <f ca="1">変更履歴!AK3</f>
        <v>消込済一覧表</v>
      </c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38"/>
      <c r="AX3" s="148">
        <f>変更履歴!AX3</f>
        <v>45583</v>
      </c>
      <c r="AY3" s="148"/>
      <c r="AZ3" s="148"/>
      <c r="BA3" s="148"/>
      <c r="BB3" s="137" t="str">
        <f>変更履歴!BB3</f>
        <v>大谷</v>
      </c>
      <c r="BC3" s="137"/>
      <c r="BD3" s="137"/>
      <c r="BE3" s="137"/>
      <c r="BF3" s="148">
        <f>変更履歴!BF3</f>
        <v>45583</v>
      </c>
      <c r="BG3" s="148"/>
      <c r="BH3" s="148"/>
      <c r="BI3" s="148"/>
      <c r="BJ3" s="137" t="str">
        <f>変更履歴!BJ3</f>
        <v>大谷</v>
      </c>
      <c r="BK3" s="137"/>
      <c r="BL3" s="137"/>
      <c r="BM3" s="149"/>
      <c r="BN3" s="15"/>
    </row>
    <row r="4" spans="1:85" ht="20.100000000000001" customHeight="1" thickBot="1" x14ac:dyDescent="0.5">
      <c r="A4" s="9"/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43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5"/>
      <c r="AK4" s="143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5"/>
      <c r="AX4" s="157"/>
      <c r="AY4" s="157"/>
      <c r="AZ4" s="157"/>
      <c r="BA4" s="157"/>
      <c r="BB4" s="139"/>
      <c r="BC4" s="139"/>
      <c r="BD4" s="139"/>
      <c r="BE4" s="139"/>
      <c r="BF4" s="157"/>
      <c r="BG4" s="157"/>
      <c r="BH4" s="157"/>
      <c r="BI4" s="157"/>
      <c r="BJ4" s="139"/>
      <c r="BK4" s="139"/>
      <c r="BL4" s="139"/>
      <c r="BM4" s="141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4" t="s">
        <v>20</v>
      </c>
      <c r="F10" s="185"/>
      <c r="G10" s="185"/>
      <c r="H10" s="185"/>
      <c r="I10" s="185"/>
      <c r="J10" s="185"/>
      <c r="K10" s="185"/>
      <c r="L10" s="186"/>
      <c r="M10" s="161" t="s">
        <v>24</v>
      </c>
      <c r="N10" s="162"/>
      <c r="O10" s="162"/>
      <c r="P10" s="161" t="s">
        <v>33</v>
      </c>
      <c r="Q10" s="162"/>
      <c r="R10" s="162"/>
      <c r="S10" s="161" t="s">
        <v>34</v>
      </c>
      <c r="T10" s="162"/>
      <c r="U10" s="162"/>
      <c r="V10" s="161" t="s">
        <v>36</v>
      </c>
      <c r="W10" s="162"/>
      <c r="X10" s="162"/>
      <c r="Y10" s="162"/>
      <c r="Z10" s="162"/>
      <c r="AA10" s="163"/>
      <c r="AB10" s="161" t="s">
        <v>35</v>
      </c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3"/>
      <c r="AR10" s="161" t="s">
        <v>42</v>
      </c>
      <c r="AS10" s="162"/>
      <c r="AT10" s="162"/>
      <c r="AU10" s="162"/>
      <c r="AV10" s="162"/>
      <c r="AW10" s="163"/>
      <c r="AX10" s="161" t="s">
        <v>43</v>
      </c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78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1" t="s">
        <v>90</v>
      </c>
      <c r="F11" s="182"/>
      <c r="G11" s="182"/>
      <c r="H11" s="182"/>
      <c r="I11" s="182"/>
      <c r="J11" s="182"/>
      <c r="K11" s="182"/>
      <c r="L11" s="183"/>
      <c r="M11" s="156" t="s">
        <v>8</v>
      </c>
      <c r="N11" s="151"/>
      <c r="O11" s="151"/>
      <c r="P11" s="156" t="s">
        <v>140</v>
      </c>
      <c r="Q11" s="151"/>
      <c r="R11" s="151"/>
      <c r="S11" s="156"/>
      <c r="T11" s="151"/>
      <c r="U11" s="151"/>
      <c r="V11" s="175" t="s">
        <v>117</v>
      </c>
      <c r="W11" s="176"/>
      <c r="X11" s="176"/>
      <c r="Y11" s="176"/>
      <c r="Z11" s="176"/>
      <c r="AA11" s="179"/>
      <c r="AB11" s="165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7"/>
      <c r="AR11" s="156" t="s">
        <v>121</v>
      </c>
      <c r="AS11" s="151"/>
      <c r="AT11" s="151"/>
      <c r="AU11" s="151"/>
      <c r="AV11" s="151"/>
      <c r="AW11" s="152"/>
      <c r="AX11" s="175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7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81" t="s">
        <v>91</v>
      </c>
      <c r="F12" s="182"/>
      <c r="G12" s="182"/>
      <c r="H12" s="182"/>
      <c r="I12" s="182"/>
      <c r="J12" s="182"/>
      <c r="K12" s="182"/>
      <c r="L12" s="183"/>
      <c r="M12" s="156" t="s">
        <v>8</v>
      </c>
      <c r="N12" s="151"/>
      <c r="O12" s="151"/>
      <c r="P12" s="156" t="s">
        <v>140</v>
      </c>
      <c r="Q12" s="151"/>
      <c r="R12" s="151"/>
      <c r="S12" s="156"/>
      <c r="T12" s="151"/>
      <c r="U12" s="151"/>
      <c r="V12" s="175" t="s">
        <v>118</v>
      </c>
      <c r="W12" s="176"/>
      <c r="X12" s="176"/>
      <c r="Y12" s="176"/>
      <c r="Z12" s="176"/>
      <c r="AA12" s="179"/>
      <c r="AB12" s="165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7"/>
      <c r="AR12" s="156" t="s">
        <v>121</v>
      </c>
      <c r="AS12" s="151"/>
      <c r="AT12" s="151"/>
      <c r="AU12" s="151"/>
      <c r="AV12" s="151"/>
      <c r="AW12" s="152"/>
      <c r="AX12" s="175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6"/>
      <c r="BN12" s="176"/>
      <c r="BO12" s="176"/>
      <c r="BP12" s="176"/>
      <c r="BQ12" s="176"/>
      <c r="BR12" s="176"/>
      <c r="BS12" s="176"/>
      <c r="BT12" s="177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81" t="s">
        <v>92</v>
      </c>
      <c r="F13" s="182"/>
      <c r="G13" s="182"/>
      <c r="H13" s="182"/>
      <c r="I13" s="182"/>
      <c r="J13" s="182"/>
      <c r="K13" s="182"/>
      <c r="L13" s="183"/>
      <c r="M13" s="156" t="s">
        <v>47</v>
      </c>
      <c r="N13" s="151"/>
      <c r="O13" s="151"/>
      <c r="P13" s="156" t="s">
        <v>140</v>
      </c>
      <c r="Q13" s="151"/>
      <c r="R13" s="151"/>
      <c r="S13" s="156"/>
      <c r="T13" s="151"/>
      <c r="U13" s="151"/>
      <c r="V13" s="175" t="s">
        <v>119</v>
      </c>
      <c r="W13" s="176"/>
      <c r="X13" s="176"/>
      <c r="Y13" s="176"/>
      <c r="Z13" s="176"/>
      <c r="AA13" s="179"/>
      <c r="AB13" s="165" t="s">
        <v>123</v>
      </c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7"/>
      <c r="AR13" s="156" t="s">
        <v>122</v>
      </c>
      <c r="AS13" s="151"/>
      <c r="AT13" s="151"/>
      <c r="AU13" s="151"/>
      <c r="AV13" s="151"/>
      <c r="AW13" s="152"/>
      <c r="AX13" s="175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6"/>
      <c r="BN13" s="176"/>
      <c r="BO13" s="176"/>
      <c r="BP13" s="176"/>
      <c r="BQ13" s="176"/>
      <c r="BR13" s="176"/>
      <c r="BS13" s="176"/>
      <c r="BT13" s="177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1" t="s">
        <v>93</v>
      </c>
      <c r="F14" s="182"/>
      <c r="G14" s="182"/>
      <c r="H14" s="182"/>
      <c r="I14" s="182"/>
      <c r="J14" s="182"/>
      <c r="K14" s="182"/>
      <c r="L14" s="183"/>
      <c r="M14" s="156" t="s">
        <v>47</v>
      </c>
      <c r="N14" s="151"/>
      <c r="O14" s="151"/>
      <c r="P14" s="156" t="s">
        <v>140</v>
      </c>
      <c r="Q14" s="151"/>
      <c r="R14" s="151"/>
      <c r="S14" s="156"/>
      <c r="T14" s="151"/>
      <c r="U14" s="151"/>
      <c r="V14" s="175" t="s">
        <v>120</v>
      </c>
      <c r="W14" s="176"/>
      <c r="X14" s="176"/>
      <c r="Y14" s="176"/>
      <c r="Z14" s="176"/>
      <c r="AA14" s="179"/>
      <c r="AB14" s="165" t="s">
        <v>124</v>
      </c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7"/>
      <c r="AR14" s="156" t="s">
        <v>122</v>
      </c>
      <c r="AS14" s="151"/>
      <c r="AT14" s="151"/>
      <c r="AU14" s="151"/>
      <c r="AV14" s="151"/>
      <c r="AW14" s="152"/>
      <c r="AX14" s="175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6"/>
      <c r="BN14" s="176"/>
      <c r="BO14" s="176"/>
      <c r="BP14" s="176"/>
      <c r="BQ14" s="176"/>
      <c r="BR14" s="176"/>
      <c r="BS14" s="176"/>
      <c r="BT14" s="177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1" t="s">
        <v>94</v>
      </c>
      <c r="F15" s="182"/>
      <c r="G15" s="182"/>
      <c r="H15" s="182"/>
      <c r="I15" s="182"/>
      <c r="J15" s="182"/>
      <c r="K15" s="182"/>
      <c r="L15" s="183"/>
      <c r="M15" s="156" t="s">
        <v>8</v>
      </c>
      <c r="N15" s="151"/>
      <c r="O15" s="151"/>
      <c r="P15" s="156" t="s">
        <v>140</v>
      </c>
      <c r="Q15" s="151"/>
      <c r="R15" s="151"/>
      <c r="S15" s="156"/>
      <c r="T15" s="151"/>
      <c r="U15" s="151"/>
      <c r="V15" s="120" t="s">
        <v>125</v>
      </c>
      <c r="W15" s="121"/>
      <c r="X15" s="121"/>
      <c r="Y15" s="121"/>
      <c r="Z15" s="121"/>
      <c r="AA15" s="122"/>
      <c r="AB15" s="165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7"/>
      <c r="AR15" s="156" t="s">
        <v>121</v>
      </c>
      <c r="AS15" s="151"/>
      <c r="AT15" s="151"/>
      <c r="AU15" s="151"/>
      <c r="AV15" s="151"/>
      <c r="AW15" s="152"/>
      <c r="AX15" s="175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6"/>
      <c r="BN15" s="176"/>
      <c r="BO15" s="176"/>
      <c r="BP15" s="176"/>
      <c r="BQ15" s="176"/>
      <c r="BR15" s="176"/>
      <c r="BS15" s="176"/>
      <c r="BT15" s="177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81" t="s">
        <v>96</v>
      </c>
      <c r="F16" s="182"/>
      <c r="G16" s="182"/>
      <c r="H16" s="182"/>
      <c r="I16" s="182"/>
      <c r="J16" s="182"/>
      <c r="K16" s="182"/>
      <c r="L16" s="183"/>
      <c r="M16" s="156" t="s">
        <v>8</v>
      </c>
      <c r="N16" s="151"/>
      <c r="O16" s="151"/>
      <c r="P16" s="156" t="s">
        <v>140</v>
      </c>
      <c r="Q16" s="151"/>
      <c r="R16" s="151"/>
      <c r="S16" s="156"/>
      <c r="T16" s="151"/>
      <c r="U16" s="151"/>
      <c r="V16" s="120" t="s">
        <v>126</v>
      </c>
      <c r="W16" s="121"/>
      <c r="X16" s="121"/>
      <c r="Y16" s="121"/>
      <c r="Z16" s="121"/>
      <c r="AA16" s="122"/>
      <c r="AB16" s="165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7"/>
      <c r="AR16" s="156"/>
      <c r="AS16" s="151"/>
      <c r="AT16" s="151"/>
      <c r="AU16" s="151"/>
      <c r="AV16" s="151"/>
      <c r="AW16" s="152"/>
      <c r="AX16" s="175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76"/>
      <c r="BR16" s="176"/>
      <c r="BS16" s="176"/>
      <c r="BT16" s="177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81" t="s">
        <v>98</v>
      </c>
      <c r="F17" s="182"/>
      <c r="G17" s="182"/>
      <c r="H17" s="182"/>
      <c r="I17" s="182"/>
      <c r="J17" s="182"/>
      <c r="K17" s="182"/>
      <c r="L17" s="183"/>
      <c r="M17" s="156" t="s">
        <v>47</v>
      </c>
      <c r="N17" s="151"/>
      <c r="O17" s="151"/>
      <c r="P17" s="156" t="s">
        <v>140</v>
      </c>
      <c r="Q17" s="151"/>
      <c r="R17" s="151"/>
      <c r="S17" s="156"/>
      <c r="T17" s="151"/>
      <c r="U17" s="151"/>
      <c r="V17" s="120" t="s">
        <v>127</v>
      </c>
      <c r="W17" s="121"/>
      <c r="X17" s="121"/>
      <c r="Y17" s="121"/>
      <c r="Z17" s="121"/>
      <c r="AA17" s="122"/>
      <c r="AB17" s="165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7"/>
      <c r="AR17" s="156"/>
      <c r="AS17" s="151"/>
      <c r="AT17" s="151"/>
      <c r="AU17" s="151"/>
      <c r="AV17" s="151"/>
      <c r="AW17" s="152"/>
      <c r="AX17" s="175"/>
      <c r="AY17" s="176"/>
      <c r="AZ17" s="176"/>
      <c r="BA17" s="176"/>
      <c r="BB17" s="176"/>
      <c r="BC17" s="176"/>
      <c r="BD17" s="176"/>
      <c r="BE17" s="176"/>
      <c r="BF17" s="176"/>
      <c r="BG17" s="176"/>
      <c r="BH17" s="176"/>
      <c r="BI17" s="176"/>
      <c r="BJ17" s="176"/>
      <c r="BK17" s="176"/>
      <c r="BL17" s="176"/>
      <c r="BM17" s="176"/>
      <c r="BN17" s="176"/>
      <c r="BO17" s="176"/>
      <c r="BP17" s="176"/>
      <c r="BQ17" s="176"/>
      <c r="BR17" s="176"/>
      <c r="BS17" s="176"/>
      <c r="BT17" s="177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81" t="s">
        <v>100</v>
      </c>
      <c r="F18" s="182"/>
      <c r="G18" s="182"/>
      <c r="H18" s="182"/>
      <c r="I18" s="182"/>
      <c r="J18" s="182"/>
      <c r="K18" s="182"/>
      <c r="L18" s="183"/>
      <c r="M18" s="156" t="s">
        <v>47</v>
      </c>
      <c r="N18" s="151"/>
      <c r="O18" s="151"/>
      <c r="P18" s="156" t="s">
        <v>140</v>
      </c>
      <c r="Q18" s="151"/>
      <c r="R18" s="151"/>
      <c r="S18" s="156"/>
      <c r="T18" s="151"/>
      <c r="U18" s="151"/>
      <c r="V18" s="120" t="s">
        <v>128</v>
      </c>
      <c r="W18" s="121"/>
      <c r="X18" s="121"/>
      <c r="Y18" s="121"/>
      <c r="Z18" s="121"/>
      <c r="AA18" s="122"/>
      <c r="AB18" s="165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7"/>
      <c r="AR18" s="156"/>
      <c r="AS18" s="151"/>
      <c r="AT18" s="151"/>
      <c r="AU18" s="151"/>
      <c r="AV18" s="151"/>
      <c r="AW18" s="152"/>
      <c r="AX18" s="175"/>
      <c r="AY18" s="176"/>
      <c r="AZ18" s="176"/>
      <c r="BA18" s="176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6"/>
      <c r="BM18" s="176"/>
      <c r="BN18" s="176"/>
      <c r="BO18" s="176"/>
      <c r="BP18" s="176"/>
      <c r="BQ18" s="176"/>
      <c r="BR18" s="176"/>
      <c r="BS18" s="176"/>
      <c r="BT18" s="177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81" t="s">
        <v>102</v>
      </c>
      <c r="F19" s="182"/>
      <c r="G19" s="182"/>
      <c r="H19" s="182"/>
      <c r="I19" s="182"/>
      <c r="J19" s="182"/>
      <c r="K19" s="182"/>
      <c r="L19" s="183"/>
      <c r="M19" s="156" t="s">
        <v>38</v>
      </c>
      <c r="N19" s="151"/>
      <c r="O19" s="151"/>
      <c r="P19" s="156" t="s">
        <v>141</v>
      </c>
      <c r="Q19" s="151"/>
      <c r="R19" s="151"/>
      <c r="S19" s="156"/>
      <c r="T19" s="151"/>
      <c r="U19" s="151"/>
      <c r="V19" s="120" t="s">
        <v>129</v>
      </c>
      <c r="W19" s="121"/>
      <c r="X19" s="121"/>
      <c r="Y19" s="121"/>
      <c r="Z19" s="121"/>
      <c r="AA19" s="122"/>
      <c r="AB19" s="165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7"/>
      <c r="AR19" s="156"/>
      <c r="AS19" s="151"/>
      <c r="AT19" s="151"/>
      <c r="AU19" s="151"/>
      <c r="AV19" s="151"/>
      <c r="AW19" s="152"/>
      <c r="AX19" s="175"/>
      <c r="AY19" s="176"/>
      <c r="AZ19" s="176"/>
      <c r="BA19" s="176"/>
      <c r="BB19" s="176"/>
      <c r="BC19" s="176"/>
      <c r="BD19" s="176"/>
      <c r="BE19" s="176"/>
      <c r="BF19" s="176"/>
      <c r="BG19" s="176"/>
      <c r="BH19" s="176"/>
      <c r="BI19" s="176"/>
      <c r="BJ19" s="176"/>
      <c r="BK19" s="176"/>
      <c r="BL19" s="176"/>
      <c r="BM19" s="176"/>
      <c r="BN19" s="176"/>
      <c r="BO19" s="176"/>
      <c r="BP19" s="176"/>
      <c r="BQ19" s="176"/>
      <c r="BR19" s="176"/>
      <c r="BS19" s="176"/>
      <c r="BT19" s="177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1" t="s">
        <v>104</v>
      </c>
      <c r="F20" s="182"/>
      <c r="G20" s="182"/>
      <c r="H20" s="182"/>
      <c r="I20" s="182"/>
      <c r="J20" s="182"/>
      <c r="K20" s="182"/>
      <c r="L20" s="183"/>
      <c r="M20" s="156" t="s">
        <v>38</v>
      </c>
      <c r="N20" s="151"/>
      <c r="O20" s="151"/>
      <c r="P20" s="156" t="s">
        <v>141</v>
      </c>
      <c r="Q20" s="151"/>
      <c r="R20" s="151"/>
      <c r="S20" s="156"/>
      <c r="T20" s="151"/>
      <c r="U20" s="151"/>
      <c r="V20" s="120" t="s">
        <v>130</v>
      </c>
      <c r="W20" s="121"/>
      <c r="X20" s="121"/>
      <c r="Y20" s="121"/>
      <c r="Z20" s="121"/>
      <c r="AA20" s="122"/>
      <c r="AB20" s="165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7"/>
      <c r="AR20" s="156"/>
      <c r="AS20" s="151"/>
      <c r="AT20" s="151"/>
      <c r="AU20" s="151"/>
      <c r="AV20" s="151"/>
      <c r="AW20" s="152"/>
      <c r="AX20" s="175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6"/>
      <c r="BK20" s="176"/>
      <c r="BL20" s="176"/>
      <c r="BM20" s="176"/>
      <c r="BN20" s="176"/>
      <c r="BO20" s="176"/>
      <c r="BP20" s="176"/>
      <c r="BQ20" s="176"/>
      <c r="BR20" s="176"/>
      <c r="BS20" s="176"/>
      <c r="BT20" s="177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1" t="s">
        <v>106</v>
      </c>
      <c r="F21" s="182"/>
      <c r="G21" s="182"/>
      <c r="H21" s="182"/>
      <c r="I21" s="182"/>
      <c r="J21" s="182"/>
      <c r="K21" s="182"/>
      <c r="L21" s="183"/>
      <c r="M21" s="156" t="s">
        <v>47</v>
      </c>
      <c r="N21" s="151"/>
      <c r="O21" s="151"/>
      <c r="P21" s="156" t="s">
        <v>140</v>
      </c>
      <c r="Q21" s="151"/>
      <c r="R21" s="151"/>
      <c r="S21" s="156"/>
      <c r="T21" s="151"/>
      <c r="U21" s="151"/>
      <c r="V21" s="120" t="s">
        <v>131</v>
      </c>
      <c r="W21" s="121"/>
      <c r="X21" s="121"/>
      <c r="Y21" s="121"/>
      <c r="Z21" s="121"/>
      <c r="AA21" s="122"/>
      <c r="AB21" s="165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7"/>
      <c r="AR21" s="164">
        <v>999999</v>
      </c>
      <c r="AS21" s="151"/>
      <c r="AT21" s="151"/>
      <c r="AU21" s="151"/>
      <c r="AV21" s="151"/>
      <c r="AW21" s="152"/>
      <c r="AX21" s="175"/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76"/>
      <c r="BK21" s="176"/>
      <c r="BL21" s="176"/>
      <c r="BM21" s="176"/>
      <c r="BN21" s="176"/>
      <c r="BO21" s="176"/>
      <c r="BP21" s="176"/>
      <c r="BQ21" s="176"/>
      <c r="BR21" s="176"/>
      <c r="BS21" s="176"/>
      <c r="BT21" s="177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1" t="s">
        <v>107</v>
      </c>
      <c r="F22" s="182"/>
      <c r="G22" s="182"/>
      <c r="H22" s="182"/>
      <c r="I22" s="182"/>
      <c r="J22" s="182"/>
      <c r="K22" s="182"/>
      <c r="L22" s="183"/>
      <c r="M22" s="156" t="s">
        <v>47</v>
      </c>
      <c r="N22" s="151"/>
      <c r="O22" s="151"/>
      <c r="P22" s="156" t="s">
        <v>140</v>
      </c>
      <c r="Q22" s="151"/>
      <c r="R22" s="151"/>
      <c r="S22" s="156"/>
      <c r="T22" s="151"/>
      <c r="U22" s="151"/>
      <c r="V22" s="120" t="s">
        <v>132</v>
      </c>
      <c r="W22" s="121"/>
      <c r="X22" s="121"/>
      <c r="Y22" s="121"/>
      <c r="Z22" s="121"/>
      <c r="AA22" s="122"/>
      <c r="AB22" s="165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7"/>
      <c r="AR22" s="164">
        <v>999999</v>
      </c>
      <c r="AS22" s="151"/>
      <c r="AT22" s="151"/>
      <c r="AU22" s="151"/>
      <c r="AV22" s="151"/>
      <c r="AW22" s="152"/>
      <c r="AX22" s="175"/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76"/>
      <c r="BK22" s="176"/>
      <c r="BL22" s="176"/>
      <c r="BM22" s="176"/>
      <c r="BN22" s="176"/>
      <c r="BO22" s="176"/>
      <c r="BP22" s="176"/>
      <c r="BQ22" s="176"/>
      <c r="BR22" s="176"/>
      <c r="BS22" s="176"/>
      <c r="BT22" s="177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1" t="s">
        <v>109</v>
      </c>
      <c r="F23" s="182"/>
      <c r="G23" s="182"/>
      <c r="H23" s="182"/>
      <c r="I23" s="182"/>
      <c r="J23" s="182"/>
      <c r="K23" s="182"/>
      <c r="L23" s="183"/>
      <c r="M23" s="156" t="s">
        <v>8</v>
      </c>
      <c r="N23" s="151"/>
      <c r="O23" s="151"/>
      <c r="P23" s="156" t="s">
        <v>140</v>
      </c>
      <c r="Q23" s="151"/>
      <c r="R23" s="151"/>
      <c r="S23" s="156"/>
      <c r="T23" s="151"/>
      <c r="U23" s="151"/>
      <c r="V23" s="120" t="s">
        <v>133</v>
      </c>
      <c r="W23" s="121"/>
      <c r="X23" s="121"/>
      <c r="Y23" s="121"/>
      <c r="Z23" s="121"/>
      <c r="AA23" s="122"/>
      <c r="AB23" s="165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7"/>
      <c r="AR23" s="156"/>
      <c r="AS23" s="151"/>
      <c r="AT23" s="151"/>
      <c r="AU23" s="151"/>
      <c r="AV23" s="151"/>
      <c r="AW23" s="152"/>
      <c r="AX23" s="175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  <c r="BN23" s="176"/>
      <c r="BO23" s="176"/>
      <c r="BP23" s="176"/>
      <c r="BQ23" s="176"/>
      <c r="BR23" s="176"/>
      <c r="BS23" s="176"/>
      <c r="BT23" s="177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1" t="s">
        <v>111</v>
      </c>
      <c r="F24" s="182"/>
      <c r="G24" s="182"/>
      <c r="H24" s="182"/>
      <c r="I24" s="182"/>
      <c r="J24" s="182"/>
      <c r="K24" s="182"/>
      <c r="L24" s="183"/>
      <c r="M24" s="156" t="s">
        <v>8</v>
      </c>
      <c r="N24" s="151"/>
      <c r="O24" s="151"/>
      <c r="P24" s="156" t="s">
        <v>140</v>
      </c>
      <c r="Q24" s="151"/>
      <c r="R24" s="151"/>
      <c r="S24" s="156"/>
      <c r="T24" s="151"/>
      <c r="U24" s="151"/>
      <c r="V24" s="120" t="s">
        <v>134</v>
      </c>
      <c r="W24" s="121"/>
      <c r="X24" s="121"/>
      <c r="Y24" s="121"/>
      <c r="Z24" s="121"/>
      <c r="AA24" s="122"/>
      <c r="AB24" s="165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7"/>
      <c r="AR24" s="156"/>
      <c r="AS24" s="151"/>
      <c r="AT24" s="151"/>
      <c r="AU24" s="151"/>
      <c r="AV24" s="151"/>
      <c r="AW24" s="152"/>
      <c r="AX24" s="175"/>
      <c r="AY24" s="176"/>
      <c r="AZ24" s="176"/>
      <c r="BA24" s="176"/>
      <c r="BB24" s="176"/>
      <c r="BC24" s="176"/>
      <c r="BD24" s="176"/>
      <c r="BE24" s="176"/>
      <c r="BF24" s="176"/>
      <c r="BG24" s="176"/>
      <c r="BH24" s="176"/>
      <c r="BI24" s="176"/>
      <c r="BJ24" s="176"/>
      <c r="BK24" s="176"/>
      <c r="BL24" s="176"/>
      <c r="BM24" s="176"/>
      <c r="BN24" s="176"/>
      <c r="BO24" s="176"/>
      <c r="BP24" s="176"/>
      <c r="BQ24" s="176"/>
      <c r="BR24" s="176"/>
      <c r="BS24" s="176"/>
      <c r="BT24" s="177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1" t="s">
        <v>112</v>
      </c>
      <c r="F25" s="182"/>
      <c r="G25" s="182"/>
      <c r="H25" s="182"/>
      <c r="I25" s="182"/>
      <c r="J25" s="182"/>
      <c r="K25" s="182"/>
      <c r="L25" s="183"/>
      <c r="M25" s="156" t="s">
        <v>47</v>
      </c>
      <c r="N25" s="151"/>
      <c r="O25" s="151"/>
      <c r="P25" s="156" t="s">
        <v>140</v>
      </c>
      <c r="Q25" s="151"/>
      <c r="R25" s="151"/>
      <c r="S25" s="156"/>
      <c r="T25" s="151"/>
      <c r="U25" s="151"/>
      <c r="V25" s="120" t="s">
        <v>135</v>
      </c>
      <c r="W25" s="121"/>
      <c r="X25" s="121"/>
      <c r="Y25" s="121"/>
      <c r="Z25" s="121"/>
      <c r="AA25" s="122"/>
      <c r="AB25" s="165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7"/>
      <c r="AR25" s="156"/>
      <c r="AS25" s="151"/>
      <c r="AT25" s="151"/>
      <c r="AU25" s="151"/>
      <c r="AV25" s="151"/>
      <c r="AW25" s="152"/>
      <c r="AX25" s="175"/>
      <c r="AY25" s="176"/>
      <c r="AZ25" s="176"/>
      <c r="BA25" s="176"/>
      <c r="BB25" s="176"/>
      <c r="BC25" s="176"/>
      <c r="BD25" s="176"/>
      <c r="BE25" s="176"/>
      <c r="BF25" s="176"/>
      <c r="BG25" s="176"/>
      <c r="BH25" s="176"/>
      <c r="BI25" s="176"/>
      <c r="BJ25" s="176"/>
      <c r="BK25" s="176"/>
      <c r="BL25" s="176"/>
      <c r="BM25" s="176"/>
      <c r="BN25" s="176"/>
      <c r="BO25" s="176"/>
      <c r="BP25" s="176"/>
      <c r="BQ25" s="176"/>
      <c r="BR25" s="176"/>
      <c r="BS25" s="176"/>
      <c r="BT25" s="177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1" t="s">
        <v>113</v>
      </c>
      <c r="F26" s="182"/>
      <c r="G26" s="182"/>
      <c r="H26" s="182"/>
      <c r="I26" s="182"/>
      <c r="J26" s="182"/>
      <c r="K26" s="182"/>
      <c r="L26" s="183"/>
      <c r="M26" s="156" t="s">
        <v>47</v>
      </c>
      <c r="N26" s="151"/>
      <c r="O26" s="151"/>
      <c r="P26" s="156" t="s">
        <v>140</v>
      </c>
      <c r="Q26" s="151"/>
      <c r="R26" s="151"/>
      <c r="S26" s="156"/>
      <c r="T26" s="151"/>
      <c r="U26" s="151"/>
      <c r="V26" s="120" t="s">
        <v>136</v>
      </c>
      <c r="W26" s="121"/>
      <c r="X26" s="121"/>
      <c r="Y26" s="121"/>
      <c r="Z26" s="121"/>
      <c r="AA26" s="122"/>
      <c r="AB26" s="171" t="s">
        <v>138</v>
      </c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7"/>
      <c r="AR26" s="164">
        <v>999999</v>
      </c>
      <c r="AS26" s="151"/>
      <c r="AT26" s="151"/>
      <c r="AU26" s="151"/>
      <c r="AV26" s="151"/>
      <c r="AW26" s="152"/>
      <c r="AX26" s="175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76"/>
      <c r="BK26" s="176"/>
      <c r="BL26" s="176"/>
      <c r="BM26" s="176"/>
      <c r="BN26" s="176"/>
      <c r="BO26" s="176"/>
      <c r="BP26" s="176"/>
      <c r="BQ26" s="176"/>
      <c r="BR26" s="176"/>
      <c r="BS26" s="176"/>
      <c r="BT26" s="177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81" t="s">
        <v>114</v>
      </c>
      <c r="F27" s="182"/>
      <c r="G27" s="182"/>
      <c r="H27" s="182"/>
      <c r="I27" s="182"/>
      <c r="J27" s="182"/>
      <c r="K27" s="182"/>
      <c r="L27" s="183"/>
      <c r="M27" s="156" t="s">
        <v>47</v>
      </c>
      <c r="N27" s="151"/>
      <c r="O27" s="151"/>
      <c r="P27" s="156" t="s">
        <v>140</v>
      </c>
      <c r="Q27" s="151"/>
      <c r="R27" s="151"/>
      <c r="S27" s="156"/>
      <c r="T27" s="151"/>
      <c r="U27" s="151"/>
      <c r="V27" s="120" t="s">
        <v>137</v>
      </c>
      <c r="W27" s="121"/>
      <c r="X27" s="121"/>
      <c r="Y27" s="121"/>
      <c r="Z27" s="121"/>
      <c r="AA27" s="122"/>
      <c r="AB27" s="171" t="s">
        <v>139</v>
      </c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7"/>
      <c r="AR27" s="164">
        <v>999999</v>
      </c>
      <c r="AS27" s="151"/>
      <c r="AT27" s="151"/>
      <c r="AU27" s="151"/>
      <c r="AV27" s="151"/>
      <c r="AW27" s="152"/>
      <c r="AX27" s="175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/>
      <c r="BJ27" s="176"/>
      <c r="BK27" s="176"/>
      <c r="BL27" s="176"/>
      <c r="BM27" s="176"/>
      <c r="BN27" s="176"/>
      <c r="BO27" s="176"/>
      <c r="BP27" s="176"/>
      <c r="BQ27" s="176"/>
      <c r="BR27" s="176"/>
      <c r="BS27" s="176"/>
      <c r="BT27" s="177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81"/>
      <c r="F28" s="182"/>
      <c r="G28" s="182"/>
      <c r="H28" s="182"/>
      <c r="I28" s="182"/>
      <c r="J28" s="182"/>
      <c r="K28" s="182"/>
      <c r="L28" s="183"/>
      <c r="M28" s="156"/>
      <c r="N28" s="151"/>
      <c r="O28" s="151"/>
      <c r="P28" s="156"/>
      <c r="Q28" s="151"/>
      <c r="R28" s="151"/>
      <c r="S28" s="156"/>
      <c r="T28" s="151"/>
      <c r="U28" s="151"/>
      <c r="V28" s="175"/>
      <c r="W28" s="176"/>
      <c r="X28" s="176"/>
      <c r="Y28" s="176"/>
      <c r="Z28" s="176"/>
      <c r="AA28" s="179"/>
      <c r="AB28" s="165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7"/>
      <c r="AR28" s="156"/>
      <c r="AS28" s="151"/>
      <c r="AT28" s="151"/>
      <c r="AU28" s="151"/>
      <c r="AV28" s="151"/>
      <c r="AW28" s="152"/>
      <c r="AX28" s="175"/>
      <c r="AY28" s="176"/>
      <c r="AZ28" s="176"/>
      <c r="BA28" s="176"/>
      <c r="BB28" s="176"/>
      <c r="BC28" s="176"/>
      <c r="BD28" s="176"/>
      <c r="BE28" s="176"/>
      <c r="BF28" s="176"/>
      <c r="BG28" s="176"/>
      <c r="BH28" s="176"/>
      <c r="BI28" s="176"/>
      <c r="BJ28" s="176"/>
      <c r="BK28" s="176"/>
      <c r="BL28" s="176"/>
      <c r="BM28" s="176"/>
      <c r="BN28" s="176"/>
      <c r="BO28" s="176"/>
      <c r="BP28" s="176"/>
      <c r="BQ28" s="176"/>
      <c r="BR28" s="176"/>
      <c r="BS28" s="176"/>
      <c r="BT28" s="177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81"/>
      <c r="F29" s="182"/>
      <c r="G29" s="182"/>
      <c r="H29" s="182"/>
      <c r="I29" s="182"/>
      <c r="J29" s="182"/>
      <c r="K29" s="182"/>
      <c r="L29" s="183"/>
      <c r="M29" s="156"/>
      <c r="N29" s="151"/>
      <c r="O29" s="151"/>
      <c r="P29" s="156"/>
      <c r="Q29" s="151"/>
      <c r="R29" s="151"/>
      <c r="S29" s="156"/>
      <c r="T29" s="151"/>
      <c r="U29" s="151"/>
      <c r="V29" s="175"/>
      <c r="W29" s="176"/>
      <c r="X29" s="176"/>
      <c r="Y29" s="176"/>
      <c r="Z29" s="176"/>
      <c r="AA29" s="179"/>
      <c r="AB29" s="165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7"/>
      <c r="AR29" s="156"/>
      <c r="AS29" s="151"/>
      <c r="AT29" s="151"/>
      <c r="AU29" s="151"/>
      <c r="AV29" s="151"/>
      <c r="AW29" s="152"/>
      <c r="AX29" s="175"/>
      <c r="AY29" s="176"/>
      <c r="AZ29" s="176"/>
      <c r="BA29" s="176"/>
      <c r="BB29" s="176"/>
      <c r="BC29" s="176"/>
      <c r="BD29" s="176"/>
      <c r="BE29" s="176"/>
      <c r="BF29" s="176"/>
      <c r="BG29" s="176"/>
      <c r="BH29" s="176"/>
      <c r="BI29" s="176"/>
      <c r="BJ29" s="176"/>
      <c r="BK29" s="176"/>
      <c r="BL29" s="176"/>
      <c r="BM29" s="176"/>
      <c r="BN29" s="176"/>
      <c r="BO29" s="176"/>
      <c r="BP29" s="176"/>
      <c r="BQ29" s="176"/>
      <c r="BR29" s="176"/>
      <c r="BS29" s="176"/>
      <c r="BT29" s="177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187"/>
      <c r="F30" s="188"/>
      <c r="G30" s="188"/>
      <c r="H30" s="188"/>
      <c r="I30" s="188"/>
      <c r="J30" s="188"/>
      <c r="K30" s="188"/>
      <c r="L30" s="189"/>
      <c r="M30" s="158"/>
      <c r="N30" s="159"/>
      <c r="O30" s="160"/>
      <c r="P30" s="158"/>
      <c r="Q30" s="159"/>
      <c r="R30" s="159"/>
      <c r="S30" s="158"/>
      <c r="T30" s="159"/>
      <c r="U30" s="159"/>
      <c r="V30" s="172"/>
      <c r="W30" s="173"/>
      <c r="X30" s="173"/>
      <c r="Y30" s="173"/>
      <c r="Z30" s="173"/>
      <c r="AA30" s="180"/>
      <c r="AB30" s="168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70"/>
      <c r="AR30" s="158"/>
      <c r="AS30" s="159"/>
      <c r="AT30" s="159"/>
      <c r="AU30" s="159"/>
      <c r="AV30" s="159"/>
      <c r="AW30" s="160"/>
      <c r="AX30" s="172"/>
      <c r="AY30" s="173"/>
      <c r="AZ30" s="173"/>
      <c r="BA30" s="173"/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173"/>
      <c r="BP30" s="173"/>
      <c r="BQ30" s="173"/>
      <c r="BR30" s="173"/>
      <c r="BS30" s="173"/>
      <c r="BT30" s="174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75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8:AA28"/>
    <mergeCell ref="P19:R19"/>
    <mergeCell ref="P20:R20"/>
    <mergeCell ref="P21:R21"/>
    <mergeCell ref="P22:R22"/>
    <mergeCell ref="P23:R23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79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9" t="s">
        <v>0</v>
      </c>
      <c r="C2" s="194"/>
      <c r="D2" s="194"/>
      <c r="E2" s="194"/>
      <c r="F2" s="194"/>
      <c r="G2" s="194"/>
      <c r="H2" s="194" t="s">
        <v>17</v>
      </c>
      <c r="I2" s="194"/>
      <c r="J2" s="194"/>
      <c r="K2" s="194"/>
      <c r="L2" s="194" t="s">
        <v>241</v>
      </c>
      <c r="M2" s="194"/>
      <c r="N2" s="194"/>
      <c r="O2" s="194"/>
      <c r="P2" s="194"/>
      <c r="Q2" s="194"/>
      <c r="R2" s="194" t="s">
        <v>2</v>
      </c>
      <c r="S2" s="194"/>
      <c r="T2" s="194"/>
      <c r="U2" s="194"/>
      <c r="V2" s="194"/>
      <c r="W2" s="194"/>
      <c r="X2" s="200" t="s">
        <v>3</v>
      </c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2"/>
      <c r="AK2" s="200" t="s">
        <v>32</v>
      </c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2"/>
      <c r="AX2" s="194" t="s">
        <v>5</v>
      </c>
      <c r="AY2" s="194"/>
      <c r="AZ2" s="194"/>
      <c r="BA2" s="194"/>
      <c r="BB2" s="194" t="s">
        <v>4</v>
      </c>
      <c r="BC2" s="194"/>
      <c r="BD2" s="194"/>
      <c r="BE2" s="194"/>
      <c r="BF2" s="194" t="s">
        <v>6</v>
      </c>
      <c r="BG2" s="194"/>
      <c r="BH2" s="194"/>
      <c r="BI2" s="194"/>
      <c r="BJ2" s="194" t="s">
        <v>7</v>
      </c>
      <c r="BK2" s="194"/>
      <c r="BL2" s="194"/>
      <c r="BM2" s="195"/>
    </row>
    <row r="3" spans="2:65" ht="20.100000000000001" customHeight="1" x14ac:dyDescent="0.45">
      <c r="B3" s="203" t="str">
        <f>変更履歴!B3</f>
        <v>受発注システム</v>
      </c>
      <c r="C3" s="137"/>
      <c r="D3" s="137"/>
      <c r="E3" s="137"/>
      <c r="F3" s="137"/>
      <c r="G3" s="137"/>
      <c r="H3" s="137" t="str">
        <f ca="1">変更履歴!H3</f>
        <v>UN0700</v>
      </c>
      <c r="I3" s="137"/>
      <c r="J3" s="137"/>
      <c r="K3" s="137"/>
      <c r="L3" s="137" t="str">
        <f>変更履歴!L3</f>
        <v>受発注</v>
      </c>
      <c r="M3" s="137"/>
      <c r="N3" s="137"/>
      <c r="O3" s="137"/>
      <c r="P3" s="137"/>
      <c r="Q3" s="137"/>
      <c r="R3" s="137" t="str">
        <f ca="1">変更履歴!R3</f>
        <v>帳票設計書</v>
      </c>
      <c r="S3" s="137"/>
      <c r="T3" s="137"/>
      <c r="U3" s="137"/>
      <c r="V3" s="137"/>
      <c r="W3" s="137"/>
      <c r="X3" s="141" t="str">
        <f ca="1">変更履歴!X3</f>
        <v>UN0700_消込済一覧表_帳票設計書</v>
      </c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38"/>
      <c r="AK3" s="141" t="str">
        <f ca="1">変更履歴!AK3</f>
        <v>消込済一覧表</v>
      </c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38"/>
      <c r="AX3" s="148">
        <f>変更履歴!AX3</f>
        <v>45583</v>
      </c>
      <c r="AY3" s="148"/>
      <c r="AZ3" s="148"/>
      <c r="BA3" s="148"/>
      <c r="BB3" s="137" t="str">
        <f>変更履歴!BB3</f>
        <v>大谷</v>
      </c>
      <c r="BC3" s="137"/>
      <c r="BD3" s="137"/>
      <c r="BE3" s="137"/>
      <c r="BF3" s="148">
        <f>変更履歴!BF3</f>
        <v>45583</v>
      </c>
      <c r="BG3" s="148"/>
      <c r="BH3" s="148"/>
      <c r="BI3" s="148"/>
      <c r="BJ3" s="137" t="str">
        <f>変更履歴!BJ3</f>
        <v>大谷</v>
      </c>
      <c r="BK3" s="137"/>
      <c r="BL3" s="137"/>
      <c r="BM3" s="192"/>
    </row>
    <row r="4" spans="2:65" ht="20.100000000000001" customHeight="1" thickBot="1" x14ac:dyDescent="0.5">
      <c r="B4" s="204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6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96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8"/>
      <c r="AX4" s="190"/>
      <c r="AY4" s="190"/>
      <c r="AZ4" s="190"/>
      <c r="BA4" s="190"/>
      <c r="BB4" s="191"/>
      <c r="BC4" s="191"/>
      <c r="BD4" s="191"/>
      <c r="BE4" s="191"/>
      <c r="BF4" s="190"/>
      <c r="BG4" s="190"/>
      <c r="BH4" s="190"/>
      <c r="BI4" s="190"/>
      <c r="BJ4" s="191"/>
      <c r="BK4" s="191"/>
      <c r="BL4" s="191"/>
      <c r="BM4" s="193"/>
    </row>
    <row r="5" spans="2:65" ht="5.0999999999999996" customHeight="1" thickBot="1" x14ac:dyDescent="0.5"/>
    <row r="6" spans="2:65" ht="20.100000000000001" customHeight="1" x14ac:dyDescent="0.45">
      <c r="B6" s="89" t="s">
        <v>158</v>
      </c>
      <c r="C6" s="90"/>
      <c r="D6" s="90"/>
      <c r="E6" s="90"/>
      <c r="F6" s="90"/>
      <c r="G6" s="91"/>
      <c r="H6" s="92" t="s">
        <v>84</v>
      </c>
      <c r="I6" s="90"/>
      <c r="J6" s="123" t="s">
        <v>97</v>
      </c>
      <c r="K6" s="124"/>
      <c r="L6" s="124"/>
      <c r="M6" s="124"/>
      <c r="N6" s="124"/>
      <c r="O6" s="124"/>
      <c r="P6" s="124"/>
      <c r="Q6" s="125"/>
      <c r="R6" s="124" t="s">
        <v>168</v>
      </c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5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6"/>
      <c r="C7" s="31"/>
      <c r="D7" s="31"/>
      <c r="E7" s="31"/>
      <c r="F7" s="31"/>
      <c r="G7" s="96"/>
      <c r="H7" s="97"/>
      <c r="I7" s="31"/>
      <c r="J7" s="127" t="s">
        <v>95</v>
      </c>
      <c r="K7" s="52"/>
      <c r="L7" s="52"/>
      <c r="M7" s="52"/>
      <c r="N7" s="52"/>
      <c r="O7" s="52"/>
      <c r="P7" s="52"/>
      <c r="Q7" s="128"/>
      <c r="R7" s="52" t="s">
        <v>169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8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6"/>
      <c r="C8" s="31"/>
      <c r="D8" s="31"/>
      <c r="E8" s="31"/>
      <c r="F8" s="31"/>
      <c r="G8" s="96"/>
      <c r="H8" s="97"/>
      <c r="I8" s="31"/>
      <c r="J8" s="127" t="s">
        <v>99</v>
      </c>
      <c r="K8" s="52"/>
      <c r="L8" s="52"/>
      <c r="M8" s="52"/>
      <c r="N8" s="52"/>
      <c r="O8" s="52"/>
      <c r="P8" s="52"/>
      <c r="Q8" s="128"/>
      <c r="R8" s="52" t="s">
        <v>170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8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6"/>
      <c r="C9" s="31"/>
      <c r="D9" s="31"/>
      <c r="E9" s="31"/>
      <c r="F9" s="31"/>
      <c r="G9" s="96"/>
      <c r="H9" s="97"/>
      <c r="I9" s="31"/>
      <c r="J9" s="127" t="s">
        <v>101</v>
      </c>
      <c r="K9" s="52"/>
      <c r="L9" s="52"/>
      <c r="M9" s="52"/>
      <c r="N9" s="52"/>
      <c r="O9" s="52"/>
      <c r="P9" s="52"/>
      <c r="Q9" s="128"/>
      <c r="R9" s="52" t="s">
        <v>171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8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6"/>
      <c r="C10" s="31"/>
      <c r="D10" s="31"/>
      <c r="E10" s="31"/>
      <c r="F10" s="31"/>
      <c r="G10" s="96"/>
      <c r="H10" s="31"/>
      <c r="I10" s="31"/>
      <c r="J10" s="127" t="s">
        <v>103</v>
      </c>
      <c r="K10" s="52"/>
      <c r="L10" s="52"/>
      <c r="M10" s="52"/>
      <c r="N10" s="52"/>
      <c r="O10" s="52"/>
      <c r="P10" s="52"/>
      <c r="Q10" s="128"/>
      <c r="R10" s="52" t="s">
        <v>172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8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6"/>
      <c r="C11" s="31"/>
      <c r="D11" s="31"/>
      <c r="E11" s="31"/>
      <c r="F11" s="31"/>
      <c r="G11" s="96"/>
      <c r="H11" s="31"/>
      <c r="I11" s="31"/>
      <c r="J11" s="127" t="s">
        <v>105</v>
      </c>
      <c r="K11" s="52"/>
      <c r="L11" s="52"/>
      <c r="M11" s="52"/>
      <c r="N11" s="52"/>
      <c r="O11" s="52"/>
      <c r="P11" s="52"/>
      <c r="Q11" s="128"/>
      <c r="R11" s="52" t="s">
        <v>173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8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6"/>
      <c r="C12" s="31"/>
      <c r="D12" s="31"/>
      <c r="E12" s="31"/>
      <c r="F12" s="31"/>
      <c r="G12" s="96"/>
      <c r="H12" s="31"/>
      <c r="I12" s="31"/>
      <c r="J12" s="127" t="s">
        <v>142</v>
      </c>
      <c r="K12" s="52"/>
      <c r="L12" s="52"/>
      <c r="M12" s="52"/>
      <c r="N12" s="52"/>
      <c r="O12" s="52"/>
      <c r="P12" s="52"/>
      <c r="Q12" s="128"/>
      <c r="R12" s="52" t="s">
        <v>187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8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6"/>
      <c r="C13" s="31"/>
      <c r="D13" s="31"/>
      <c r="E13" s="31"/>
      <c r="F13" s="31"/>
      <c r="G13" s="96"/>
      <c r="H13" s="31"/>
      <c r="I13" s="31"/>
      <c r="J13" s="127" t="s">
        <v>108</v>
      </c>
      <c r="K13" s="52"/>
      <c r="L13" s="52"/>
      <c r="M13" s="52"/>
      <c r="N13" s="52"/>
      <c r="O13" s="52"/>
      <c r="P13" s="52"/>
      <c r="Q13" s="128"/>
      <c r="R13" s="52" t="s">
        <v>178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8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6"/>
      <c r="C14" s="31"/>
      <c r="D14" s="31"/>
      <c r="E14" s="31"/>
      <c r="F14" s="31"/>
      <c r="G14" s="96"/>
      <c r="H14" s="31"/>
      <c r="I14" s="31"/>
      <c r="J14" s="127" t="s">
        <v>110</v>
      </c>
      <c r="K14" s="52"/>
      <c r="L14" s="52"/>
      <c r="M14" s="52"/>
      <c r="N14" s="52"/>
      <c r="O14" s="52"/>
      <c r="P14" s="52"/>
      <c r="Q14" s="128"/>
      <c r="R14" s="52" t="s">
        <v>179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8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6"/>
      <c r="C15" s="31"/>
      <c r="D15" s="31"/>
      <c r="E15" s="31"/>
      <c r="F15" s="31"/>
      <c r="G15" s="96"/>
      <c r="H15" s="31"/>
      <c r="I15" s="31"/>
      <c r="J15" s="127" t="s">
        <v>115</v>
      </c>
      <c r="K15" s="52"/>
      <c r="L15" s="52"/>
      <c r="M15" s="52"/>
      <c r="N15" s="52"/>
      <c r="O15" s="52"/>
      <c r="P15" s="52"/>
      <c r="Q15" s="128"/>
      <c r="R15" s="52" t="s">
        <v>180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8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6"/>
      <c r="C16" s="31"/>
      <c r="D16" s="31"/>
      <c r="E16" s="31"/>
      <c r="F16" s="31"/>
      <c r="G16" s="96"/>
      <c r="H16" s="31"/>
      <c r="I16" s="31"/>
      <c r="J16" s="127" t="s">
        <v>143</v>
      </c>
      <c r="K16" s="52"/>
      <c r="L16" s="52"/>
      <c r="M16" s="52"/>
      <c r="N16" s="52"/>
      <c r="O16" s="52"/>
      <c r="P16" s="52"/>
      <c r="Q16" s="128"/>
      <c r="R16" s="52" t="s">
        <v>181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8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6"/>
      <c r="C17" s="31"/>
      <c r="D17" s="31"/>
      <c r="E17" s="31"/>
      <c r="F17" s="31"/>
      <c r="G17" s="96"/>
      <c r="I17" s="31"/>
      <c r="J17" s="127" t="s">
        <v>116</v>
      </c>
      <c r="K17" s="52"/>
      <c r="L17" s="52"/>
      <c r="M17" s="52"/>
      <c r="N17" s="52"/>
      <c r="O17" s="52"/>
      <c r="P17" s="52"/>
      <c r="Q17" s="128"/>
      <c r="R17" s="52" t="s">
        <v>189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8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6"/>
      <c r="C18" s="31"/>
      <c r="D18" s="31"/>
      <c r="E18" s="31"/>
      <c r="F18" s="31"/>
      <c r="G18" s="96"/>
      <c r="H18" s="100" t="s">
        <v>53</v>
      </c>
      <c r="I18" s="55"/>
      <c r="J18" s="100" t="s">
        <v>144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101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102"/>
    </row>
    <row r="19" spans="2:61" ht="20.100000000000001" customHeight="1" x14ac:dyDescent="0.45">
      <c r="B19" s="126"/>
      <c r="C19" s="31"/>
      <c r="D19" s="31"/>
      <c r="E19" s="31"/>
      <c r="F19" s="31"/>
      <c r="G19" s="96"/>
      <c r="H19" s="97"/>
      <c r="I19" s="31"/>
      <c r="J19" s="97" t="s">
        <v>145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95"/>
      <c r="C20" s="31"/>
      <c r="D20" s="31"/>
      <c r="E20" s="31"/>
      <c r="F20" s="31"/>
      <c r="G20" s="96"/>
      <c r="I20" s="31"/>
      <c r="J20" s="97" t="s">
        <v>146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 t="s">
        <v>147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95"/>
      <c r="C22" s="31"/>
      <c r="D22" s="31"/>
      <c r="E22" s="31"/>
      <c r="F22" s="31"/>
      <c r="G22" s="96"/>
      <c r="H22" s="97"/>
      <c r="I22" s="31"/>
      <c r="J22" s="97" t="s">
        <v>148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95"/>
      <c r="C23" s="31"/>
      <c r="D23" s="31"/>
      <c r="E23" s="31"/>
      <c r="F23" s="31"/>
      <c r="G23" s="96"/>
      <c r="H23" s="97"/>
      <c r="I23" s="31"/>
      <c r="J23" s="97" t="s">
        <v>149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97" t="s">
        <v>150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95"/>
      <c r="C25" s="31"/>
      <c r="D25" s="31"/>
      <c r="E25" s="31"/>
      <c r="F25" s="31"/>
      <c r="G25" s="96"/>
      <c r="H25" s="100" t="s">
        <v>54</v>
      </c>
      <c r="I25" s="55"/>
      <c r="J25" s="100" t="s">
        <v>151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101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02"/>
    </row>
    <row r="26" spans="2:61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97"/>
      <c r="K26" s="31" t="s">
        <v>152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/>
      <c r="L27" s="31"/>
      <c r="M27" s="31" t="s">
        <v>174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153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97"/>
      <c r="K29" s="31" t="s">
        <v>146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 t="s">
        <v>182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95"/>
      <c r="C31" s="31"/>
      <c r="D31" s="31"/>
      <c r="E31" s="31"/>
      <c r="F31" s="31"/>
      <c r="G31" s="96"/>
      <c r="H31" s="97"/>
      <c r="I31" s="31"/>
      <c r="J31" s="97" t="s">
        <v>153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95"/>
      <c r="C32" s="31"/>
      <c r="D32" s="31"/>
      <c r="E32" s="31"/>
      <c r="F32" s="31"/>
      <c r="G32" s="96"/>
      <c r="H32" s="97"/>
      <c r="I32" s="31"/>
      <c r="J32" s="97"/>
      <c r="K32" s="31" t="s">
        <v>147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97"/>
      <c r="K33" s="31"/>
      <c r="L33" s="31"/>
      <c r="M33" s="31" t="s">
        <v>183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95"/>
      <c r="C34" s="31"/>
      <c r="D34" s="31"/>
      <c r="E34" s="31"/>
      <c r="F34" s="31"/>
      <c r="G34" s="96"/>
      <c r="H34" s="97"/>
      <c r="I34" s="31"/>
      <c r="J34" s="97" t="s">
        <v>153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95"/>
      <c r="C35" s="31"/>
      <c r="D35" s="31"/>
      <c r="E35" s="31"/>
      <c r="F35" s="31"/>
      <c r="G35" s="96"/>
      <c r="H35" s="97"/>
      <c r="I35" s="31"/>
      <c r="J35" s="97"/>
      <c r="K35" s="31" t="s">
        <v>154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x14ac:dyDescent="0.45">
      <c r="B36" s="95"/>
      <c r="C36" s="31"/>
      <c r="D36" s="31"/>
      <c r="E36" s="31"/>
      <c r="F36" s="31"/>
      <c r="G36" s="96"/>
      <c r="H36" s="97"/>
      <c r="I36" s="31"/>
      <c r="J36" s="97"/>
      <c r="K36" s="31"/>
      <c r="L36" s="31"/>
      <c r="M36" s="31" t="s">
        <v>184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95"/>
      <c r="C37" s="31"/>
      <c r="D37" s="31"/>
      <c r="E37" s="31"/>
      <c r="F37" s="31"/>
      <c r="G37" s="96"/>
      <c r="H37" s="97"/>
      <c r="I37" s="31"/>
      <c r="J37" s="97" t="s">
        <v>153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98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95"/>
      <c r="C38" s="31"/>
      <c r="D38" s="31"/>
      <c r="E38" s="31"/>
      <c r="F38" s="31"/>
      <c r="G38" s="96"/>
      <c r="H38" s="97"/>
      <c r="I38" s="31"/>
      <c r="J38" s="97"/>
      <c r="K38" s="31" t="s">
        <v>155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98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 x14ac:dyDescent="0.45">
      <c r="B39" s="95"/>
      <c r="C39" s="31"/>
      <c r="D39" s="31"/>
      <c r="E39" s="31"/>
      <c r="F39" s="31"/>
      <c r="G39" s="96"/>
      <c r="H39" s="97"/>
      <c r="I39" s="31"/>
      <c r="J39" s="97"/>
      <c r="K39" s="31"/>
      <c r="L39" s="31"/>
      <c r="M39" s="31" t="s">
        <v>188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95"/>
      <c r="C40" s="31"/>
      <c r="D40" s="31"/>
      <c r="E40" s="31"/>
      <c r="F40" s="31"/>
      <c r="G40" s="96"/>
      <c r="H40" s="97"/>
      <c r="I40" s="31"/>
      <c r="J40" s="97" t="s">
        <v>153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95"/>
      <c r="C41" s="31"/>
      <c r="D41" s="31"/>
      <c r="E41" s="31"/>
      <c r="F41" s="31"/>
      <c r="G41" s="96"/>
      <c r="H41" s="97"/>
      <c r="I41" s="31"/>
      <c r="J41" s="97"/>
      <c r="K41" s="31" t="s">
        <v>156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20.100000000000001" customHeight="1" x14ac:dyDescent="0.45">
      <c r="B42" s="95"/>
      <c r="C42" s="31"/>
      <c r="D42" s="31"/>
      <c r="E42" s="31"/>
      <c r="F42" s="31"/>
      <c r="G42" s="96"/>
      <c r="H42" s="97"/>
      <c r="I42" s="31"/>
      <c r="J42" s="97"/>
      <c r="K42" s="31"/>
      <c r="L42" s="31"/>
      <c r="M42" s="31" t="s">
        <v>190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95"/>
      <c r="C43" s="31"/>
      <c r="D43" s="31"/>
      <c r="E43" s="31"/>
      <c r="F43" s="31"/>
      <c r="G43" s="96"/>
      <c r="H43" s="103"/>
      <c r="I43" s="104"/>
      <c r="J43" s="103"/>
      <c r="K43" s="104"/>
      <c r="L43" s="104" t="s">
        <v>157</v>
      </c>
      <c r="M43" s="104" t="s">
        <v>191</v>
      </c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5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6"/>
    </row>
    <row r="44" spans="2:61" ht="20.100000000000001" customHeight="1" x14ac:dyDescent="0.45">
      <c r="B44" s="95"/>
      <c r="C44" s="31"/>
      <c r="D44" s="31"/>
      <c r="E44" s="31"/>
      <c r="F44" s="31"/>
      <c r="G44" s="96"/>
      <c r="H44" s="97" t="s">
        <v>160</v>
      </c>
      <c r="I44" s="31"/>
      <c r="J44" s="97" t="s">
        <v>175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98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x14ac:dyDescent="0.45">
      <c r="B45" s="95"/>
      <c r="C45" s="31"/>
      <c r="D45" s="31"/>
      <c r="E45" s="31"/>
      <c r="F45" s="31"/>
      <c r="G45" s="96"/>
      <c r="H45" s="97"/>
      <c r="I45" s="31"/>
      <c r="J45" s="97" t="s">
        <v>176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97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x14ac:dyDescent="0.45">
      <c r="B46" s="95"/>
      <c r="C46" s="31"/>
      <c r="D46" s="31"/>
      <c r="E46" s="31"/>
      <c r="F46" s="31"/>
      <c r="G46" s="96"/>
      <c r="H46" s="97"/>
      <c r="I46" s="31"/>
      <c r="J46" s="97" t="s">
        <v>177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97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 x14ac:dyDescent="0.45">
      <c r="B47" s="95"/>
      <c r="C47" s="31"/>
      <c r="D47" s="31"/>
      <c r="E47" s="31"/>
      <c r="F47" s="31"/>
      <c r="G47" s="96"/>
      <c r="H47" s="97"/>
      <c r="I47" s="31"/>
      <c r="J47" s="97" t="s">
        <v>185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97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thickBot="1" x14ac:dyDescent="0.5">
      <c r="B48" s="95"/>
      <c r="C48" s="31"/>
      <c r="D48" s="31"/>
      <c r="E48" s="31"/>
      <c r="F48" s="31"/>
      <c r="G48" s="96"/>
      <c r="H48" s="103"/>
      <c r="I48" s="104"/>
      <c r="J48" s="97" t="s">
        <v>186</v>
      </c>
      <c r="K48" s="104"/>
      <c r="L48" s="104"/>
      <c r="M48" s="104"/>
      <c r="N48" s="104"/>
      <c r="O48" s="104"/>
      <c r="P48" s="104"/>
      <c r="Q48" s="104"/>
      <c r="R48" s="104"/>
      <c r="S48" s="115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3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6"/>
    </row>
    <row r="49" spans="2:61" ht="20.100000000000001" customHeight="1" x14ac:dyDescent="0.45">
      <c r="B49" s="89" t="s">
        <v>144</v>
      </c>
      <c r="C49" s="90"/>
      <c r="D49" s="90"/>
      <c r="E49" s="90"/>
      <c r="F49" s="90"/>
      <c r="G49" s="91"/>
      <c r="H49" s="92" t="s">
        <v>84</v>
      </c>
      <c r="I49" s="90"/>
      <c r="J49" s="123" t="s">
        <v>161</v>
      </c>
      <c r="K49" s="124"/>
      <c r="L49" s="124"/>
      <c r="M49" s="124"/>
      <c r="N49" s="124"/>
      <c r="O49" s="124"/>
      <c r="P49" s="124"/>
      <c r="Q49" s="125"/>
      <c r="R49" s="124" t="s">
        <v>195</v>
      </c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5"/>
      <c r="AK49" s="93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4"/>
    </row>
    <row r="50" spans="2:61" ht="20.100000000000001" customHeight="1" x14ac:dyDescent="0.45">
      <c r="B50" s="126"/>
      <c r="C50" s="31"/>
      <c r="D50" s="31"/>
      <c r="E50" s="31"/>
      <c r="F50" s="31"/>
      <c r="G50" s="96"/>
      <c r="H50" s="97"/>
      <c r="I50" s="31"/>
      <c r="J50" s="127" t="s">
        <v>162</v>
      </c>
      <c r="K50" s="52"/>
      <c r="L50" s="52"/>
      <c r="M50" s="52"/>
      <c r="N50" s="52"/>
      <c r="O50" s="52"/>
      <c r="P50" s="52"/>
      <c r="Q50" s="128"/>
      <c r="R50" s="52" t="s">
        <v>196</v>
      </c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128"/>
      <c r="AK50" s="98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9"/>
    </row>
    <row r="51" spans="2:61" ht="20.100000000000001" customHeight="1" x14ac:dyDescent="0.45">
      <c r="B51" s="126"/>
      <c r="C51" s="31"/>
      <c r="D51" s="31"/>
      <c r="E51" s="31"/>
      <c r="F51" s="31"/>
      <c r="G51" s="96"/>
      <c r="H51" s="97"/>
      <c r="I51" s="31"/>
      <c r="J51" s="127" t="s">
        <v>163</v>
      </c>
      <c r="K51" s="52"/>
      <c r="L51" s="52"/>
      <c r="M51" s="52"/>
      <c r="N51" s="52"/>
      <c r="O51" s="52"/>
      <c r="P51" s="52"/>
      <c r="Q51" s="128"/>
      <c r="R51" s="52" t="s">
        <v>197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128"/>
      <c r="AK51" s="98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 x14ac:dyDescent="0.45">
      <c r="B52" s="126"/>
      <c r="C52" s="31"/>
      <c r="D52" s="31"/>
      <c r="E52" s="31"/>
      <c r="F52" s="31"/>
      <c r="G52" s="96"/>
      <c r="H52" s="97"/>
      <c r="I52" s="31"/>
      <c r="J52" s="127" t="s">
        <v>164</v>
      </c>
      <c r="K52" s="52"/>
      <c r="L52" s="52"/>
      <c r="M52" s="52"/>
      <c r="N52" s="52"/>
      <c r="O52" s="52"/>
      <c r="P52" s="52"/>
      <c r="Q52" s="128"/>
      <c r="R52" s="52" t="s">
        <v>198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128"/>
      <c r="AK52" s="98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 x14ac:dyDescent="0.45">
      <c r="B53" s="126"/>
      <c r="C53" s="31"/>
      <c r="D53" s="31"/>
      <c r="E53" s="31"/>
      <c r="F53" s="31"/>
      <c r="G53" s="96"/>
      <c r="H53" s="31"/>
      <c r="I53" s="31"/>
      <c r="J53" s="127" t="s">
        <v>165</v>
      </c>
      <c r="K53" s="52"/>
      <c r="L53" s="52"/>
      <c r="M53" s="52"/>
      <c r="N53" s="52"/>
      <c r="O53" s="52"/>
      <c r="P53" s="52"/>
      <c r="Q53" s="128"/>
      <c r="R53" s="52" t="s">
        <v>199</v>
      </c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128"/>
      <c r="AK53" s="98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 x14ac:dyDescent="0.45">
      <c r="B54" s="126"/>
      <c r="C54" s="31"/>
      <c r="D54" s="31"/>
      <c r="E54" s="31"/>
      <c r="F54" s="31"/>
      <c r="G54" s="96"/>
      <c r="H54" s="31"/>
      <c r="I54" s="31"/>
      <c r="J54" s="127" t="s">
        <v>159</v>
      </c>
      <c r="K54" s="52"/>
      <c r="L54" s="52"/>
      <c r="M54" s="52"/>
      <c r="N54" s="52"/>
      <c r="O54" s="52"/>
      <c r="P54" s="52"/>
      <c r="Q54" s="128"/>
      <c r="R54" s="52" t="s">
        <v>200</v>
      </c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128"/>
      <c r="AK54" s="98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 x14ac:dyDescent="0.45">
      <c r="B55" s="126"/>
      <c r="C55" s="31"/>
      <c r="D55" s="31"/>
      <c r="E55" s="31"/>
      <c r="F55" s="31"/>
      <c r="G55" s="96"/>
      <c r="H55" s="100" t="s">
        <v>53</v>
      </c>
      <c r="I55" s="55"/>
      <c r="J55" s="100" t="s">
        <v>201</v>
      </c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101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102"/>
    </row>
    <row r="56" spans="2:61" ht="20.100000000000001" customHeight="1" x14ac:dyDescent="0.45">
      <c r="B56" s="95"/>
      <c r="C56" s="31"/>
      <c r="D56" s="31"/>
      <c r="E56" s="31"/>
      <c r="F56" s="31"/>
      <c r="G56" s="96"/>
      <c r="H56" s="100" t="s">
        <v>55</v>
      </c>
      <c r="I56" s="55"/>
      <c r="J56" s="100"/>
      <c r="K56" s="55" t="s">
        <v>202</v>
      </c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101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102"/>
    </row>
    <row r="57" spans="2:61" ht="20.100000000000001" customHeight="1" x14ac:dyDescent="0.45">
      <c r="B57" s="95"/>
      <c r="C57" s="31"/>
      <c r="D57" s="31"/>
      <c r="E57" s="31"/>
      <c r="F57" s="31"/>
      <c r="G57" s="96"/>
      <c r="H57" s="97"/>
      <c r="I57" s="31"/>
      <c r="J57" s="97" t="s">
        <v>166</v>
      </c>
      <c r="K57" s="31" t="s">
        <v>203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97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 x14ac:dyDescent="0.45">
      <c r="B58" s="95"/>
      <c r="C58" s="31"/>
      <c r="D58" s="31"/>
      <c r="E58" s="31"/>
      <c r="F58" s="31"/>
      <c r="G58" s="96"/>
      <c r="H58" s="97"/>
      <c r="I58" s="31"/>
      <c r="J58" s="97" t="s">
        <v>166</v>
      </c>
      <c r="K58" s="31" t="s">
        <v>204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97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 x14ac:dyDescent="0.45">
      <c r="B59" s="95"/>
      <c r="C59" s="31"/>
      <c r="D59" s="31"/>
      <c r="E59" s="31"/>
      <c r="F59" s="31"/>
      <c r="G59" s="96"/>
      <c r="H59" s="97"/>
      <c r="I59" s="31"/>
      <c r="J59" s="97" t="s">
        <v>166</v>
      </c>
      <c r="K59" s="31" t="s">
        <v>205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97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 x14ac:dyDescent="0.45">
      <c r="B60" s="95"/>
      <c r="C60" s="31"/>
      <c r="D60" s="31"/>
      <c r="E60" s="31"/>
      <c r="F60" s="31"/>
      <c r="G60" s="96"/>
      <c r="H60" s="100" t="s">
        <v>167</v>
      </c>
      <c r="I60" s="55"/>
      <c r="J60" s="100" t="s">
        <v>206</v>
      </c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100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102"/>
    </row>
    <row r="61" spans="2:61" ht="20.100000000000001" customHeight="1" x14ac:dyDescent="0.45">
      <c r="B61" s="95"/>
      <c r="C61" s="31"/>
      <c r="D61" s="31"/>
      <c r="E61" s="31"/>
      <c r="F61" s="31"/>
      <c r="G61" s="96"/>
      <c r="H61" s="97"/>
      <c r="I61" s="31"/>
      <c r="J61" s="97" t="s">
        <v>207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97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99"/>
    </row>
    <row r="62" spans="2:61" ht="20.100000000000001" customHeight="1" x14ac:dyDescent="0.45">
      <c r="B62" s="95"/>
      <c r="C62" s="31"/>
      <c r="D62" s="31"/>
      <c r="E62" s="31"/>
      <c r="F62" s="31"/>
      <c r="G62" s="96"/>
      <c r="H62" s="97"/>
      <c r="I62" s="31"/>
      <c r="J62" s="97" t="s">
        <v>208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97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99"/>
    </row>
    <row r="63" spans="2:61" ht="20.100000000000001" customHeight="1" x14ac:dyDescent="0.45">
      <c r="B63" s="95"/>
      <c r="C63" s="31"/>
      <c r="D63" s="31"/>
      <c r="E63" s="31"/>
      <c r="F63" s="31"/>
      <c r="G63" s="96"/>
      <c r="H63" s="97"/>
      <c r="I63" s="31"/>
      <c r="J63" s="97" t="s">
        <v>209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97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99"/>
    </row>
    <row r="64" spans="2:61" ht="20.100000000000001" customHeight="1" thickBot="1" x14ac:dyDescent="0.5">
      <c r="B64" s="95"/>
      <c r="C64" s="31"/>
      <c r="D64" s="31"/>
      <c r="E64" s="31"/>
      <c r="F64" s="31"/>
      <c r="G64" s="96"/>
      <c r="H64" s="117"/>
      <c r="I64" s="115"/>
      <c r="J64" s="117" t="s">
        <v>210</v>
      </c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7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 s="115"/>
      <c r="BH64" s="115"/>
      <c r="BI64" s="118"/>
    </row>
    <row r="65" spans="2:61" ht="20.100000000000001" customHeight="1" x14ac:dyDescent="0.45">
      <c r="B65" s="89" t="s">
        <v>192</v>
      </c>
      <c r="C65" s="90"/>
      <c r="D65" s="90"/>
      <c r="E65" s="90"/>
      <c r="F65" s="90"/>
      <c r="G65" s="91"/>
      <c r="H65" s="92" t="s">
        <v>84</v>
      </c>
      <c r="I65" s="90"/>
      <c r="J65" s="123" t="s">
        <v>193</v>
      </c>
      <c r="K65" s="124"/>
      <c r="L65" s="124"/>
      <c r="M65" s="124"/>
      <c r="N65" s="124"/>
      <c r="O65" s="124"/>
      <c r="P65" s="124"/>
      <c r="Q65" s="125"/>
      <c r="R65" s="124" t="s">
        <v>212</v>
      </c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5"/>
      <c r="AK65" s="93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4"/>
    </row>
    <row r="66" spans="2:61" ht="20.100000000000001" customHeight="1" x14ac:dyDescent="0.45">
      <c r="B66" s="126"/>
      <c r="C66" s="31"/>
      <c r="D66" s="31"/>
      <c r="E66" s="31"/>
      <c r="F66" s="31"/>
      <c r="G66" s="96"/>
      <c r="H66" s="97"/>
      <c r="I66" s="31"/>
      <c r="J66" s="127" t="s">
        <v>194</v>
      </c>
      <c r="K66" s="52"/>
      <c r="L66" s="52"/>
      <c r="M66" s="52"/>
      <c r="N66" s="52"/>
      <c r="O66" s="52"/>
      <c r="P66" s="52"/>
      <c r="Q66" s="128"/>
      <c r="R66" s="52" t="s">
        <v>213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28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 x14ac:dyDescent="0.45">
      <c r="B67" s="126"/>
      <c r="C67" s="31"/>
      <c r="D67" s="31"/>
      <c r="E67" s="31"/>
      <c r="F67" s="31"/>
      <c r="G67" s="96"/>
      <c r="H67" s="100" t="s">
        <v>53</v>
      </c>
      <c r="I67" s="55"/>
      <c r="J67" s="100" t="s">
        <v>211</v>
      </c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101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102"/>
    </row>
    <row r="68" spans="2:61" ht="20.100000000000001" customHeight="1" thickBot="1" x14ac:dyDescent="0.5">
      <c r="B68" s="95"/>
      <c r="C68" s="31"/>
      <c r="D68" s="31"/>
      <c r="E68" s="31"/>
      <c r="F68" s="31"/>
      <c r="G68" s="96"/>
      <c r="H68" s="100" t="s">
        <v>167</v>
      </c>
      <c r="I68" s="55"/>
      <c r="J68" s="100" t="s">
        <v>214</v>
      </c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100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102"/>
    </row>
    <row r="69" spans="2:61" ht="20.100000000000001" customHeight="1" x14ac:dyDescent="0.45">
      <c r="B69" s="89" t="s">
        <v>155</v>
      </c>
      <c r="C69" s="90"/>
      <c r="D69" s="90"/>
      <c r="E69" s="90"/>
      <c r="F69" s="90"/>
      <c r="G69" s="91"/>
      <c r="H69" s="92" t="s">
        <v>84</v>
      </c>
      <c r="I69" s="90"/>
      <c r="J69" s="123" t="s">
        <v>215</v>
      </c>
      <c r="K69" s="124"/>
      <c r="L69" s="124"/>
      <c r="M69" s="124"/>
      <c r="N69" s="124"/>
      <c r="O69" s="124"/>
      <c r="P69" s="124"/>
      <c r="Q69" s="125"/>
      <c r="R69" s="124" t="s">
        <v>217</v>
      </c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5"/>
      <c r="AK69" s="93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4"/>
    </row>
    <row r="70" spans="2:61" ht="20.100000000000001" customHeight="1" x14ac:dyDescent="0.45">
      <c r="B70" s="126"/>
      <c r="C70" s="31"/>
      <c r="D70" s="31"/>
      <c r="E70" s="31"/>
      <c r="F70" s="31"/>
      <c r="G70" s="96"/>
      <c r="H70" s="97"/>
      <c r="I70" s="31"/>
      <c r="J70" s="127" t="s">
        <v>216</v>
      </c>
      <c r="K70" s="52"/>
      <c r="L70" s="52"/>
      <c r="M70" s="52"/>
      <c r="N70" s="52"/>
      <c r="O70" s="52"/>
      <c r="P70" s="52"/>
      <c r="Q70" s="128"/>
      <c r="R70" s="52" t="s">
        <v>218</v>
      </c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128"/>
      <c r="AK70" s="98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99"/>
    </row>
    <row r="71" spans="2:61" ht="20.100000000000001" customHeight="1" x14ac:dyDescent="0.45">
      <c r="B71" s="126"/>
      <c r="C71" s="31"/>
      <c r="D71" s="31"/>
      <c r="E71" s="31"/>
      <c r="F71" s="31"/>
      <c r="G71" s="96"/>
      <c r="H71" s="100" t="s">
        <v>53</v>
      </c>
      <c r="I71" s="55"/>
      <c r="J71" s="100" t="s">
        <v>219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101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102"/>
    </row>
    <row r="72" spans="2:61" ht="20.100000000000001" customHeight="1" thickBot="1" x14ac:dyDescent="0.5">
      <c r="B72" s="95"/>
      <c r="C72" s="31"/>
      <c r="D72" s="31"/>
      <c r="E72" s="31"/>
      <c r="F72" s="31"/>
      <c r="G72" s="96"/>
      <c r="H72" s="100" t="s">
        <v>167</v>
      </c>
      <c r="I72" s="55"/>
      <c r="J72" s="100" t="s">
        <v>220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100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102"/>
    </row>
    <row r="73" spans="2:61" ht="20.100000000000001" customHeight="1" x14ac:dyDescent="0.45">
      <c r="B73" s="89" t="s">
        <v>221</v>
      </c>
      <c r="C73" s="90"/>
      <c r="D73" s="90"/>
      <c r="E73" s="90"/>
      <c r="F73" s="90"/>
      <c r="G73" s="91"/>
      <c r="H73" s="92" t="s">
        <v>84</v>
      </c>
      <c r="I73" s="90"/>
      <c r="J73" s="123" t="s">
        <v>224</v>
      </c>
      <c r="K73" s="124"/>
      <c r="L73" s="124"/>
      <c r="M73" s="124"/>
      <c r="N73" s="124"/>
      <c r="O73" s="124"/>
      <c r="P73" s="124"/>
      <c r="Q73" s="125"/>
      <c r="R73" s="124" t="s">
        <v>225</v>
      </c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5"/>
      <c r="AK73" s="93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4"/>
    </row>
    <row r="74" spans="2:61" ht="20.100000000000001" customHeight="1" x14ac:dyDescent="0.45">
      <c r="B74" s="126"/>
      <c r="C74" s="31"/>
      <c r="D74" s="31"/>
      <c r="E74" s="31"/>
      <c r="F74" s="31"/>
      <c r="G74" s="96"/>
      <c r="H74" s="97"/>
      <c r="I74" s="31"/>
      <c r="J74" s="103" t="s">
        <v>226</v>
      </c>
      <c r="K74" s="104"/>
      <c r="L74" s="104"/>
      <c r="M74" s="104"/>
      <c r="N74" s="104"/>
      <c r="O74" s="104"/>
      <c r="P74" s="104"/>
      <c r="Q74" s="130"/>
      <c r="R74" s="104" t="s">
        <v>227</v>
      </c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30"/>
      <c r="AK74" s="9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 x14ac:dyDescent="0.45">
      <c r="B75" s="126"/>
      <c r="C75" s="31"/>
      <c r="D75" s="31"/>
      <c r="E75" s="31"/>
      <c r="F75" s="31"/>
      <c r="G75" s="96"/>
      <c r="H75" s="97"/>
      <c r="I75" s="31"/>
      <c r="J75" s="127" t="s">
        <v>222</v>
      </c>
      <c r="K75" s="52"/>
      <c r="L75" s="52"/>
      <c r="M75" s="52"/>
      <c r="N75" s="52"/>
      <c r="O75" s="52"/>
      <c r="P75" s="52"/>
      <c r="Q75" s="128"/>
      <c r="R75" s="52" t="s">
        <v>228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28"/>
      <c r="AK75" s="98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99"/>
    </row>
    <row r="76" spans="2:61" ht="20.100000000000001" customHeight="1" x14ac:dyDescent="0.45">
      <c r="B76" s="126"/>
      <c r="C76" s="31"/>
      <c r="D76" s="31"/>
      <c r="E76" s="31"/>
      <c r="F76" s="31"/>
      <c r="G76" s="96"/>
      <c r="H76" s="100" t="s">
        <v>53</v>
      </c>
      <c r="I76" s="55"/>
      <c r="J76" s="100" t="s">
        <v>223</v>
      </c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101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102"/>
    </row>
    <row r="77" spans="2:61" ht="20.100000000000001" customHeight="1" x14ac:dyDescent="0.45">
      <c r="B77" s="126"/>
      <c r="C77" s="31"/>
      <c r="D77" s="31"/>
      <c r="E77" s="31"/>
      <c r="F77" s="31"/>
      <c r="G77" s="96"/>
      <c r="H77" s="100" t="s">
        <v>167</v>
      </c>
      <c r="I77" s="55"/>
      <c r="J77" s="100" t="s">
        <v>229</v>
      </c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101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102"/>
    </row>
    <row r="78" spans="2:61" ht="20.100000000000001" customHeight="1" thickBot="1" x14ac:dyDescent="0.5">
      <c r="B78" s="95"/>
      <c r="C78" s="31"/>
      <c r="D78" s="31"/>
      <c r="E78" s="31"/>
      <c r="F78" s="31"/>
      <c r="G78" s="96"/>
      <c r="H78" s="117"/>
      <c r="I78" s="115"/>
      <c r="J78" s="117" t="s">
        <v>230</v>
      </c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  <c r="AI78" s="115"/>
      <c r="AJ78" s="115"/>
      <c r="AK78" s="117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8"/>
    </row>
    <row r="79" spans="2:61" ht="5.0999999999999996" customHeight="1" x14ac:dyDescent="0.45"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9" t="s">
        <v>0</v>
      </c>
      <c r="C2" s="194"/>
      <c r="D2" s="194"/>
      <c r="E2" s="194"/>
      <c r="F2" s="194"/>
      <c r="G2" s="194"/>
      <c r="H2" s="194" t="s">
        <v>17</v>
      </c>
      <c r="I2" s="194"/>
      <c r="J2" s="194"/>
      <c r="K2" s="194"/>
      <c r="L2" s="194" t="s">
        <v>1</v>
      </c>
      <c r="M2" s="194"/>
      <c r="N2" s="194"/>
      <c r="O2" s="194"/>
      <c r="P2" s="194"/>
      <c r="Q2" s="194"/>
      <c r="R2" s="194" t="s">
        <v>2</v>
      </c>
      <c r="S2" s="194"/>
      <c r="T2" s="194"/>
      <c r="U2" s="194"/>
      <c r="V2" s="194"/>
      <c r="W2" s="194"/>
      <c r="X2" s="200" t="s">
        <v>3</v>
      </c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2"/>
      <c r="AK2" s="200" t="s">
        <v>32</v>
      </c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2"/>
      <c r="AX2" s="194" t="s">
        <v>5</v>
      </c>
      <c r="AY2" s="194"/>
      <c r="AZ2" s="194"/>
      <c r="BA2" s="194"/>
      <c r="BB2" s="194" t="s">
        <v>4</v>
      </c>
      <c r="BC2" s="194"/>
      <c r="BD2" s="194"/>
      <c r="BE2" s="194"/>
      <c r="BF2" s="194" t="s">
        <v>6</v>
      </c>
      <c r="BG2" s="194"/>
      <c r="BH2" s="194"/>
      <c r="BI2" s="194"/>
      <c r="BJ2" s="194" t="s">
        <v>7</v>
      </c>
      <c r="BK2" s="194"/>
      <c r="BL2" s="194"/>
      <c r="BM2" s="195"/>
    </row>
    <row r="3" spans="2:65" ht="20.100000000000001" customHeight="1" x14ac:dyDescent="0.45">
      <c r="B3" s="203" t="str">
        <f>変更履歴!B3</f>
        <v>受発注システム</v>
      </c>
      <c r="C3" s="137"/>
      <c r="D3" s="137"/>
      <c r="E3" s="137"/>
      <c r="F3" s="137"/>
      <c r="G3" s="137"/>
      <c r="H3" s="137" t="str">
        <f ca="1">変更履歴!H3</f>
        <v>UN0700</v>
      </c>
      <c r="I3" s="137"/>
      <c r="J3" s="137"/>
      <c r="K3" s="137"/>
      <c r="L3" s="137" t="str">
        <f>変更履歴!L3</f>
        <v>受発注</v>
      </c>
      <c r="M3" s="137"/>
      <c r="N3" s="137"/>
      <c r="O3" s="137"/>
      <c r="P3" s="137"/>
      <c r="Q3" s="137"/>
      <c r="R3" s="137" t="str">
        <f ca="1">変更履歴!R3</f>
        <v>帳票設計書</v>
      </c>
      <c r="S3" s="137"/>
      <c r="T3" s="137"/>
      <c r="U3" s="137"/>
      <c r="V3" s="137"/>
      <c r="W3" s="137"/>
      <c r="X3" s="141" t="str">
        <f ca="1">変更履歴!X3</f>
        <v>UN0700_消込済一覧表_帳票設計書</v>
      </c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38"/>
      <c r="AK3" s="141" t="str">
        <f ca="1">変更履歴!AK3</f>
        <v>消込済一覧表</v>
      </c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38"/>
      <c r="AX3" s="148">
        <f>変更履歴!AX3</f>
        <v>45583</v>
      </c>
      <c r="AY3" s="148"/>
      <c r="AZ3" s="148"/>
      <c r="BA3" s="148"/>
      <c r="BB3" s="137" t="str">
        <f>変更履歴!BB3</f>
        <v>大谷</v>
      </c>
      <c r="BC3" s="137"/>
      <c r="BD3" s="137"/>
      <c r="BE3" s="137"/>
      <c r="BF3" s="148">
        <f>変更履歴!BF3</f>
        <v>45583</v>
      </c>
      <c r="BG3" s="148"/>
      <c r="BH3" s="148"/>
      <c r="BI3" s="148"/>
      <c r="BJ3" s="137" t="str">
        <f>変更履歴!BJ3</f>
        <v>大谷</v>
      </c>
      <c r="BK3" s="137"/>
      <c r="BL3" s="137"/>
      <c r="BM3" s="192"/>
    </row>
    <row r="4" spans="2:65" ht="20.100000000000001" customHeight="1" thickBot="1" x14ac:dyDescent="0.5">
      <c r="B4" s="204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6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8"/>
      <c r="AK4" s="196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8"/>
      <c r="AX4" s="190"/>
      <c r="AY4" s="190"/>
      <c r="AZ4" s="190"/>
      <c r="BA4" s="190"/>
      <c r="BB4" s="191"/>
      <c r="BC4" s="191"/>
      <c r="BD4" s="191"/>
      <c r="BE4" s="191"/>
      <c r="BF4" s="190"/>
      <c r="BG4" s="190"/>
      <c r="BH4" s="190"/>
      <c r="BI4" s="190"/>
      <c r="BJ4" s="191"/>
      <c r="BK4" s="191"/>
      <c r="BL4" s="191"/>
      <c r="BM4" s="193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9" t="s">
        <v>20</v>
      </c>
      <c r="K7" s="124"/>
      <c r="L7" s="124"/>
      <c r="M7" s="124"/>
      <c r="N7" s="124"/>
      <c r="O7" s="124"/>
      <c r="P7" s="124"/>
      <c r="Q7" s="124"/>
      <c r="R7" s="129" t="s">
        <v>85</v>
      </c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5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6"/>
      <c r="C8" s="31"/>
      <c r="D8" s="31"/>
      <c r="E8" s="31"/>
      <c r="F8" s="31"/>
      <c r="G8" s="31"/>
      <c r="H8" s="97"/>
      <c r="I8" s="96"/>
      <c r="J8" s="127" t="s">
        <v>86</v>
      </c>
      <c r="K8" s="52"/>
      <c r="L8" s="52"/>
      <c r="M8" s="52"/>
      <c r="N8" s="52"/>
      <c r="O8" s="52"/>
      <c r="P8" s="52"/>
      <c r="Q8" s="52"/>
      <c r="R8" s="127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8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6"/>
      <c r="C9" s="31"/>
      <c r="D9" s="31"/>
      <c r="E9" s="31"/>
      <c r="F9" s="31"/>
      <c r="G9" s="31"/>
      <c r="H9" s="103"/>
      <c r="I9" s="130"/>
      <c r="J9" s="127" t="s">
        <v>88</v>
      </c>
      <c r="K9" s="52"/>
      <c r="L9" s="52"/>
      <c r="M9" s="52"/>
      <c r="N9" s="52"/>
      <c r="O9" s="52"/>
      <c r="P9" s="52"/>
      <c r="Q9" s="52"/>
      <c r="R9" s="127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8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6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A32" sqref="A32"/>
    </sheetView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12</vt:i4>
      </vt:variant>
    </vt:vector>
  </HeadingPairs>
  <TitlesOfParts>
    <vt:vector size="21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2025-05-24T05:36:43Z</dcterms:modified>
</cp:coreProperties>
</file>