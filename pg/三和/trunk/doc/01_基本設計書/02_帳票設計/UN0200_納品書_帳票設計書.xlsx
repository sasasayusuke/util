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書き方" sheetId="19" state="hidden" r:id="rId5"/>
    <sheet name="処理詳細" sheetId="21" r:id="rId6"/>
    <sheet name="確認事項" sheetId="15" r:id="rId7"/>
    <sheet name="別紙_テンプレート" sheetId="20" r:id="rId8"/>
    <sheet name="別紙_印刷レイアウト" sheetId="22" r:id="rId9"/>
    <sheet name="参照" sheetId="12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Print_Area" localSheetId="1">概要!$A$1:$BN$31</definedName>
    <definedName name="_xlnm.Print_Area" localSheetId="3">項目一覧!$A$1:$BX$67</definedName>
    <definedName name="_xlnm.Print_Area" localSheetId="5">処理詳細!$A$1:$BR$811</definedName>
    <definedName name="_xlnm.Print_Area" localSheetId="4">処理詳細_書き方!$A$1:$BR$33</definedName>
    <definedName name="_xlnm.Print_Area" localSheetId="2">帳票レイアウト!$A$1:$BN$48</definedName>
    <definedName name="_xlnm.Print_Area" localSheetId="7">別紙_テンプレート!$A$1:$M$58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4">処理詳細_書き方!$1:$5</definedName>
    <definedName name="_xlnm.Print_Titles" localSheetId="2">帳票レイアウト!$1:$5</definedName>
    <definedName name="_xlnm.Print_Titles" localSheetId="0">変更履歴!$1:$5</definedName>
    <definedName name="原価_見出し">[1]別紙_テンプレート!#REF!</definedName>
    <definedName name="施工仕入金額">[1]別紙_テンプレート!#REF!</definedName>
    <definedName name="施工売上金額">[1]別紙_テンプレート!#REF!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1" l="1"/>
  <c r="BF3" i="21"/>
  <c r="BB3" i="21"/>
  <c r="AX3" i="21"/>
  <c r="L3" i="21"/>
  <c r="B3" i="21"/>
  <c r="M39" i="20" l="1"/>
  <c r="M38" i="20"/>
  <c r="M37" i="20"/>
  <c r="M36" i="20"/>
  <c r="M35" i="20"/>
  <c r="M34" i="20"/>
  <c r="M33" i="20"/>
  <c r="M32" i="20"/>
  <c r="M46" i="20"/>
  <c r="M45" i="20"/>
  <c r="M44" i="20"/>
  <c r="M48" i="20" s="1"/>
  <c r="M41" i="20" l="1"/>
  <c r="M24" i="20" l="1"/>
  <c r="M23" i="20"/>
  <c r="M22" i="20"/>
  <c r="M26" i="20" l="1"/>
  <c r="D9" i="20" s="1"/>
  <c r="D10" i="20"/>
  <c r="D11" i="20"/>
  <c r="BJ3" i="19" l="1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14"/>
  <c r="H3" i="1"/>
  <c r="R3" i="1"/>
  <c r="AK3" i="1"/>
  <c r="AK3" i="19" l="1"/>
  <c r="R3" i="19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  <c r="X3" i="21" l="1"/>
  <c r="H3" i="21" l="1"/>
  <c r="R3" i="21"/>
  <c r="AK3" i="21"/>
</calcChain>
</file>

<file path=xl/sharedStrings.xml><?xml version="1.0" encoding="utf-8"?>
<sst xmlns="http://schemas.openxmlformats.org/spreadsheetml/2006/main" count="2008" uniqueCount="869">
  <si>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</si>
  <si>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</si>
  <si>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</si>
  <si>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</si>
  <si>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</si>
  <si>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</si>
  <si>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</si>
  <si>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</si>
  <si>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</si>
  <si>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</si>
  <si>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</si>
  <si>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</si>
  <si>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</si>
  <si>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</si>
  <si>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</si>
  <si>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</si>
  <si>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</si>
  <si>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</si>
  <si>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</si>
  <si>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</si>
  <si>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</si>
  <si>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</si>
  <si>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</si>
  <si>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</si>
  <si>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</si>
  <si>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</si>
  <si>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</si>
  <si>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</si>
  <si>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</si>
  <si>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</si>
  <si>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</si>
  <si>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</si>
  <si>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</si>
  <si>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</si>
  <si>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</si>
  <si>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</si>
  <si>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</si>
  <si>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</si>
  <si>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</si>
  <si>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</si>
  <si>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</si>
  <si>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</si>
  <si>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</si>
  <si>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</si>
  <si>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</si>
  <si>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</si>
  <si>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</si>
  <si>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</si>
  <si>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</si>
  <si>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</si>
  <si>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</si>
  <si>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</si>
  <si>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</si>
  <si>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</si>
  <si>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</si>
  <si>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</si>
  <si>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</si>
  <si>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</si>
  <si>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</si>
  <si>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</si>
  <si>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</si>
  <si>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</si>
  <si>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</si>
  <si>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</si>
  <si>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</si>
  <si>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</si>
  <si>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</si>
  <si>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</si>
  <si>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</si>
  <si>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</si>
  <si>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</si>
  <si>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</si>
  <si>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</si>
  <si>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</si>
  <si>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</si>
  <si>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</si>
  <si>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</si>
  <si>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</si>
  <si>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</si>
  <si>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</si>
  <si>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</si>
  <si>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</si>
  <si>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</si>
  <si>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</si>
  <si>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</si>
  <si>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</si>
  <si>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</si>
  <si>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</si>
  <si>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</si>
  <si>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　納　　品　　書</t>
    <rPh sb="1" eb="2">
      <t>オサメ</t>
    </rPh>
    <phoneticPr fontId="2"/>
  </si>
  <si>
    <t>株式会社〇〇　　　　御中</t>
    <rPh sb="0" eb="4">
      <t>カブシキカイシャ</t>
    </rPh>
    <rPh sb="10" eb="12">
      <t>オンチュウ</t>
    </rPh>
    <phoneticPr fontId="2"/>
  </si>
  <si>
    <t>下記の通り御納品いたします。</t>
    <rPh sb="6" eb="8">
      <t>ノウヒン</t>
    </rPh>
    <phoneticPr fontId="2"/>
  </si>
  <si>
    <t>御納品金額</t>
    <rPh sb="1" eb="3">
      <t>ノウヒン</t>
    </rPh>
    <phoneticPr fontId="2"/>
  </si>
  <si>
    <t>消費税等(10%)</t>
    <phoneticPr fontId="2"/>
  </si>
  <si>
    <t>〒444-5555</t>
    <phoneticPr fontId="2"/>
  </si>
  <si>
    <t>合計</t>
    <phoneticPr fontId="2"/>
  </si>
  <si>
    <t>〇〇県〇〇市〇〇111-1</t>
    <phoneticPr fontId="2"/>
  </si>
  <si>
    <t>TEL 111-222-3333</t>
    <phoneticPr fontId="2"/>
  </si>
  <si>
    <t>件　　　名　：</t>
    <rPh sb="0" eb="1">
      <t>ケン</t>
    </rPh>
    <rPh sb="4" eb="5">
      <t>メイ</t>
    </rPh>
    <phoneticPr fontId="2"/>
  </si>
  <si>
    <t>FAX 111-222-3333</t>
    <phoneticPr fontId="2"/>
  </si>
  <si>
    <t>納　　　期　：</t>
  </si>
  <si>
    <t>コールセンター：111-222-3333</t>
    <phoneticPr fontId="2"/>
  </si>
  <si>
    <t>御支払条件　：</t>
  </si>
  <si>
    <t>問い合わせ先：〇〇　〇〇</t>
    <rPh sb="0" eb="1">
      <t>ト</t>
    </rPh>
    <rPh sb="2" eb="3">
      <t>ア</t>
    </rPh>
    <rPh sb="5" eb="6">
      <t>サキ</t>
    </rPh>
    <phoneticPr fontId="21"/>
  </si>
  <si>
    <t>E-mail:xxxxx@sanwashouken.co.jp</t>
  </si>
  <si>
    <t>備　　　考　：</t>
  </si>
  <si>
    <t>(単位：円)</t>
  </si>
  <si>
    <t>SEC</t>
  </si>
  <si>
    <t>品名</t>
  </si>
  <si>
    <t>Ｗ</t>
  </si>
  <si>
    <t>Ｄ</t>
  </si>
  <si>
    <t>Ｈ</t>
  </si>
  <si>
    <t>数量</t>
  </si>
  <si>
    <t>単位</t>
  </si>
  <si>
    <t>単価</t>
  </si>
  <si>
    <t>金額</t>
  </si>
  <si>
    <t>△△支店</t>
    <rPh sb="2" eb="4">
      <t>シテン</t>
    </rPh>
    <phoneticPr fontId="2"/>
  </si>
  <si>
    <t>ｷｯｸﾌﾟﾚｰﾄ</t>
    <phoneticPr fontId="2"/>
  </si>
  <si>
    <t>個</t>
    <rPh sb="0" eb="1">
      <t>コ</t>
    </rPh>
    <phoneticPr fontId="2"/>
  </si>
  <si>
    <t>金具</t>
    <rPh sb="0" eb="2">
      <t>カナグ</t>
    </rPh>
    <phoneticPr fontId="2"/>
  </si>
  <si>
    <t>棚</t>
    <rPh sb="0" eb="1">
      <t>タナ</t>
    </rPh>
    <phoneticPr fontId="2"/>
  </si>
  <si>
    <t>枚</t>
    <rPh sb="0" eb="1">
      <t>マイ</t>
    </rPh>
    <phoneticPr fontId="2"/>
  </si>
  <si>
    <t>【合　　計】</t>
    <phoneticPr fontId="2"/>
  </si>
  <si>
    <t>□□支店</t>
    <rPh sb="2" eb="4">
      <t>シテン</t>
    </rPh>
    <phoneticPr fontId="2"/>
  </si>
  <si>
    <t>カート</t>
    <phoneticPr fontId="2"/>
  </si>
  <si>
    <t>ねじ</t>
    <phoneticPr fontId="2"/>
  </si>
  <si>
    <t>ボード</t>
    <phoneticPr fontId="2"/>
  </si>
  <si>
    <t>部品1</t>
    <rPh sb="0" eb="2">
      <t>ブヒン</t>
    </rPh>
    <phoneticPr fontId="2"/>
  </si>
  <si>
    <t>部品2</t>
    <rPh sb="0" eb="2">
      <t>ブヒン</t>
    </rPh>
    <phoneticPr fontId="2"/>
  </si>
  <si>
    <t>部品3</t>
    <rPh sb="0" eb="2">
      <t>ブヒン</t>
    </rPh>
    <phoneticPr fontId="2"/>
  </si>
  <si>
    <t>部品4</t>
    <rPh sb="0" eb="2">
      <t>ブヒン</t>
    </rPh>
    <phoneticPr fontId="2"/>
  </si>
  <si>
    <t>部品5</t>
    <rPh sb="0" eb="2">
      <t>ブヒン</t>
    </rPh>
    <phoneticPr fontId="2"/>
  </si>
  <si>
    <t>××支店</t>
    <rPh sb="2" eb="4">
      <t>シテン</t>
    </rPh>
    <phoneticPr fontId="2"/>
  </si>
  <si>
    <t>見積番号_見出し</t>
    <rPh sb="0" eb="4">
      <t>ミツモリバンゴウ</t>
    </rPh>
    <rPh sb="5" eb="7">
      <t>ミダ</t>
    </rPh>
    <phoneticPr fontId="1"/>
  </si>
  <si>
    <t>半角</t>
    <rPh sb="0" eb="2">
      <t>ハンカク</t>
    </rPh>
    <phoneticPr fontId="1"/>
  </si>
  <si>
    <t>作成日</t>
    <rPh sb="0" eb="3">
      <t>サクセイビ</t>
    </rPh>
    <phoneticPr fontId="1"/>
  </si>
  <si>
    <t>得意先名1</t>
    <rPh sb="0" eb="3">
      <t>トクイサキ</t>
    </rPh>
    <rPh sb="3" eb="4">
      <t>メイ</t>
    </rPh>
    <phoneticPr fontId="1"/>
  </si>
  <si>
    <t>全角</t>
    <rPh sb="0" eb="2">
      <t>ゼンカク</t>
    </rPh>
    <phoneticPr fontId="1"/>
  </si>
  <si>
    <t>得意先名2</t>
    <rPh sb="0" eb="3">
      <t>トクイサキ</t>
    </rPh>
    <rPh sb="3" eb="4">
      <t>メイ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</si>
  <si>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</si>
  <si>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消費税等</t>
    <rPh sb="0" eb="3">
      <t>ショウヒゼイ</t>
    </rPh>
    <rPh sb="3" eb="4">
      <t>トウ</t>
    </rPh>
    <phoneticPr fontId="1"/>
  </si>
  <si>
    <t>消費税額</t>
    <rPh sb="0" eb="4">
      <t>ショウヒゼイガク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</si>
  <si>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</si>
  <si>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</si>
  <si>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納期</t>
    <rPh sb="0" eb="2">
      <t>ノウキ</t>
    </rPh>
    <phoneticPr fontId="1"/>
  </si>
  <si>
    <t>御支払条件</t>
    <rPh sb="0" eb="3">
      <t>オシハライ</t>
    </rPh>
    <rPh sb="3" eb="5">
      <t>ジョウケン</t>
    </rPh>
    <phoneticPr fontId="1"/>
  </si>
  <si>
    <t>Excel,PDF</t>
    <phoneticPr fontId="2"/>
  </si>
  <si>
    <t>xlsx,pdf</t>
    <phoneticPr fontId="2"/>
  </si>
  <si>
    <t>-</t>
    <phoneticPr fontId="2"/>
  </si>
  <si>
    <t>-</t>
    <phoneticPr fontId="2"/>
  </si>
  <si>
    <t>-</t>
    <phoneticPr fontId="2"/>
  </si>
  <si>
    <t>Template_納品書.xlsx</t>
    <rPh sb="9" eb="12">
      <t>ノウヒンショ</t>
    </rPh>
    <phoneticPr fontId="2"/>
  </si>
  <si>
    <t>郵便番号</t>
    <rPh sb="0" eb="4">
      <t>ユウビンバンゴウ</t>
    </rPh>
    <phoneticPr fontId="1"/>
  </si>
  <si>
    <t>[TM会社.郵便番号]</t>
    <rPh sb="3" eb="5">
      <t>カイシャ</t>
    </rPh>
    <rPh sb="6" eb="10">
      <t>ユウビンバンゴウ</t>
    </rPh>
    <phoneticPr fontId="1"/>
  </si>
  <si>
    <t>住所</t>
    <rPh sb="0" eb="2">
      <t>ジュウショ</t>
    </rPh>
    <phoneticPr fontId="1"/>
  </si>
  <si>
    <t>[TM会社.住所1]</t>
    <rPh sb="3" eb="5">
      <t>カイシャ</t>
    </rPh>
    <rPh sb="6" eb="8">
      <t>ジュウショ</t>
    </rPh>
    <phoneticPr fontId="1"/>
  </si>
  <si>
    <t>TEL</t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</si>
  <si>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</si>
  <si>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FAX</t>
    <phoneticPr fontId="1"/>
  </si>
  <si>
    <t>[TM会社.FAX番号]</t>
    <rPh sb="3" eb="5">
      <t>カイシャ</t>
    </rPh>
    <rPh sb="9" eb="11">
      <t>バンゴウ</t>
    </rPh>
    <phoneticPr fontId="1"/>
  </si>
  <si>
    <t>会社担当者</t>
    <rPh sb="0" eb="2">
      <t>カイシャ</t>
    </rPh>
    <rPh sb="2" eb="5">
      <t>タントウシャ</t>
    </rPh>
    <phoneticPr fontId="1"/>
  </si>
  <si>
    <t>[TM担当者.問い合わせ先]が空の場合は何も表示しない</t>
    <rPh sb="3" eb="6">
      <t>タントウシャ</t>
    </rPh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phoneticPr fontId="1"/>
  </si>
  <si>
    <t>会社担当者E-mail</t>
    <rPh sb="0" eb="5">
      <t>カイシャタントウシャ</t>
    </rPh>
    <phoneticPr fontId="1"/>
  </si>
  <si>
    <t>コールセンター</t>
    <phoneticPr fontId="1"/>
  </si>
  <si>
    <t>仕訳名</t>
    <rPh sb="0" eb="3">
      <t>シワケメイ</t>
    </rPh>
    <phoneticPr fontId="1"/>
  </si>
  <si>
    <t>品名</t>
    <rPh sb="0" eb="2">
      <t>ヒンメイ</t>
    </rPh>
    <phoneticPr fontId="1"/>
  </si>
  <si>
    <t>W</t>
    <phoneticPr fontId="1"/>
  </si>
  <si>
    <t>D</t>
    <phoneticPr fontId="1"/>
  </si>
  <si>
    <t>H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</si>
  <si>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</si>
  <si>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</si>
  <si>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</si>
  <si>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</si>
  <si>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</si>
  <si>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合計金額</t>
    <rPh sb="0" eb="4">
      <t>ゴウケイキンガク</t>
    </rPh>
    <phoneticPr fontId="1"/>
  </si>
  <si>
    <t>数量_元</t>
    <rPh sb="0" eb="2">
      <t>スウリョウ</t>
    </rPh>
    <rPh sb="3" eb="4">
      <t>モト</t>
    </rPh>
    <phoneticPr fontId="1"/>
  </si>
  <si>
    <t>単価_元</t>
    <rPh sb="0" eb="2">
      <t>タンカ</t>
    </rPh>
    <rPh sb="3" eb="4">
      <t>モト</t>
    </rPh>
    <phoneticPr fontId="1"/>
  </si>
  <si>
    <t>9,999 or 9,999.99</t>
    <phoneticPr fontId="1"/>
  </si>
  <si>
    <t>マイナスの値の場合は赤字で表示</t>
    <rPh sb="5" eb="6">
      <t>アタイ</t>
    </rPh>
    <rPh sb="7" eb="9">
      <t>バアイ</t>
    </rPh>
    <rPh sb="10" eb="12">
      <t>アカジ</t>
    </rPh>
    <rPh sb="13" eb="15">
      <t>ヒョウジ</t>
    </rPh>
    <phoneticPr fontId="1"/>
  </si>
  <si>
    <t>1行空けて表示</t>
    <rPh sb="1" eb="3">
      <t>ギョウア</t>
    </rPh>
    <rPh sb="5" eb="7">
      <t>ヒョウジ</t>
    </rPh>
    <phoneticPr fontId="1"/>
  </si>
  <si>
    <t>問い合わせ先：[TM担当者.問い合わせ先]</t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</si>
  <si>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\9,999-</t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</si>
  <si>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</si>
  <si>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A4横</t>
    <rPh sb="2" eb="3">
      <t>ヨコ</t>
    </rPh>
    <phoneticPr fontId="2"/>
  </si>
  <si>
    <t>【合計】以外は左詰めで表示する</t>
    <rPh sb="1" eb="3">
      <t>ゴウケイ</t>
    </rPh>
    <rPh sb="4" eb="6">
      <t>イガイ</t>
    </rPh>
    <rPh sb="7" eb="8">
      <t>ヒダリ</t>
    </rPh>
    <rPh sb="8" eb="9">
      <t>ヅ</t>
    </rPh>
    <rPh sb="11" eb="13">
      <t>ヒョウジ</t>
    </rPh>
    <phoneticPr fontId="1"/>
  </si>
  <si>
    <t>SQL1</t>
    <phoneticPr fontId="2"/>
  </si>
  <si>
    <t>見積番号</t>
    <phoneticPr fontId="2"/>
  </si>
  <si>
    <t>TD見積.見積番号</t>
    <phoneticPr fontId="2"/>
  </si>
  <si>
    <t>見積件名</t>
    <phoneticPr fontId="2"/>
  </si>
  <si>
    <t>TD見積.見積件名</t>
    <phoneticPr fontId="2"/>
  </si>
  <si>
    <t>得意先名1</t>
    <phoneticPr fontId="2"/>
  </si>
  <si>
    <t>TD見積.得意先名1</t>
    <phoneticPr fontId="2"/>
  </si>
  <si>
    <t>得意先名2</t>
    <phoneticPr fontId="2"/>
  </si>
  <si>
    <t>TD見積.得意先名2</t>
    <phoneticPr fontId="2"/>
  </si>
  <si>
    <t>現場名</t>
  </si>
  <si>
    <t>TD見積.現場名</t>
    <phoneticPr fontId="2"/>
  </si>
  <si>
    <t>納期S</t>
    <phoneticPr fontId="2"/>
  </si>
  <si>
    <t>TD見積.納期S</t>
    <phoneticPr fontId="2"/>
  </si>
  <si>
    <t>納期E</t>
    <phoneticPr fontId="2"/>
  </si>
  <si>
    <t>TD見積.納期E</t>
    <phoneticPr fontId="2"/>
  </si>
  <si>
    <t>原価率</t>
    <phoneticPr fontId="2"/>
  </si>
  <si>
    <t>TD見積.原価率</t>
    <phoneticPr fontId="2"/>
  </si>
  <si>
    <t>担当者CD</t>
    <phoneticPr fontId="2"/>
  </si>
  <si>
    <t>TD見積.担当者CD</t>
    <phoneticPr fontId="2"/>
  </si>
  <si>
    <t>From TD見積</t>
    <phoneticPr fontId="2"/>
  </si>
  <si>
    <t>WHERE 見積番号 =  画面.見積番号</t>
    <rPh sb="14" eb="16">
      <t>ガメン</t>
    </rPh>
    <rPh sb="17" eb="21">
      <t>ミツモリバンゴウ</t>
    </rPh>
    <phoneticPr fontId="2"/>
  </si>
  <si>
    <t>SQL2</t>
    <phoneticPr fontId="2"/>
  </si>
  <si>
    <t>見積日付</t>
    <phoneticPr fontId="2"/>
  </si>
  <si>
    <t>TD見積.見積日付</t>
    <phoneticPr fontId="2"/>
  </si>
  <si>
    <t>物件種別</t>
    <phoneticPr fontId="2"/>
  </si>
  <si>
    <t>TD見積.物件種別</t>
    <phoneticPr fontId="2"/>
  </si>
  <si>
    <t>得意先CD</t>
    <phoneticPr fontId="2"/>
  </si>
  <si>
    <t>TD見積.得意先CD</t>
    <phoneticPr fontId="2"/>
  </si>
  <si>
    <t>合計金額</t>
    <phoneticPr fontId="2"/>
  </si>
  <si>
    <t>TD見積.合計金額 + TD見積.出精値引 AS 合計金額</t>
    <phoneticPr fontId="2"/>
  </si>
  <si>
    <t>見積書出力日</t>
    <phoneticPr fontId="2"/>
  </si>
  <si>
    <t>TD見積.見積書出力日</t>
    <phoneticPr fontId="2"/>
  </si>
  <si>
    <t>注文発行日</t>
    <phoneticPr fontId="2"/>
  </si>
  <si>
    <t>TD見積.注文発行日</t>
    <phoneticPr fontId="2"/>
  </si>
  <si>
    <t>FROM TD見積 AS MT</t>
    <phoneticPr fontId="2"/>
  </si>
  <si>
    <t>WHERE</t>
    <phoneticPr fontId="2"/>
  </si>
  <si>
    <t>WHERE句が存在するときのみ</t>
    <rPh sb="4" eb="5">
      <t>ク</t>
    </rPh>
    <rPh sb="6" eb="8">
      <t>ソンザイ</t>
    </rPh>
    <phoneticPr fontId="2"/>
  </si>
  <si>
    <t>得意先CD LIKE '画面.得意先CD%'</t>
    <rPh sb="12" eb="14">
      <t>ガメン</t>
    </rPh>
    <phoneticPr fontId="2"/>
  </si>
  <si>
    <t>画面.得意先CDが入力されている場合</t>
    <rPh sb="0" eb="1">
      <t>ガメン</t>
    </rPh>
    <rPh sb="2" eb="5">
      <t>トクイサキ</t>
    </rPh>
    <rPh sb="9" eb="11">
      <t>ニュウリョク</t>
    </rPh>
    <rPh sb="16" eb="18">
      <t>バアイ</t>
    </rPh>
    <phoneticPr fontId="2"/>
  </si>
  <si>
    <t>納入先CD Like '画面.納入先CD%'</t>
    <rPh sb="12" eb="14">
      <t>ガメン</t>
    </rPh>
    <phoneticPr fontId="2"/>
  </si>
  <si>
    <t>画面.納入先CDが入力されている場合</t>
    <rPh sb="0" eb="1">
      <t>ガメン</t>
    </rPh>
    <rPh sb="3" eb="5">
      <t>ノウニュウ</t>
    </rPh>
    <rPh sb="5" eb="6">
      <t>サキ</t>
    </rPh>
    <rPh sb="9" eb="11">
      <t>ニュウリョク</t>
    </rPh>
    <rPh sb="16" eb="18">
      <t>バアイ</t>
    </rPh>
    <phoneticPr fontId="2"/>
  </si>
  <si>
    <t>MT.見積番号 &gt;= 画面.開始見積番号 And MT.見積番号 &lt;= 画面.終了見積番号</t>
    <rPh sb="3" eb="5">
      <t>ミツモリ</t>
    </rPh>
    <rPh sb="5" eb="7">
      <t>バンゴウ</t>
    </rPh>
    <rPh sb="11" eb="13">
      <t>ガメン</t>
    </rPh>
    <rPh sb="14" eb="16">
      <t>カイシ</t>
    </rPh>
    <rPh sb="39" eb="41">
      <t>シュウリョウ</t>
    </rPh>
    <phoneticPr fontId="2"/>
  </si>
  <si>
    <t>画面.開始見積番号または画面.終了見積番号が入力されている場合</t>
    <rPh sb="0" eb="1">
      <t>ガメン</t>
    </rPh>
    <rPh sb="2" eb="7">
      <t>カイシミツモリバンゴウ</t>
    </rPh>
    <rPh sb="11" eb="13">
      <t>ガメン</t>
    </rPh>
    <rPh sb="14" eb="16">
      <t>シュウリョウ</t>
    </rPh>
    <rPh sb="15" eb="19">
      <t>ミツモリバンゴウ</t>
    </rPh>
    <rPh sb="20" eb="22">
      <t>ニュウリョク</t>
    </rPh>
    <rPh sb="27" eb="29">
      <t>バアイ</t>
    </rPh>
    <phoneticPr fontId="2"/>
  </si>
  <si>
    <t>見積件名 Like '%画面.見積件名%'</t>
    <rPh sb="12" eb="14">
      <t>ガメン</t>
    </rPh>
    <phoneticPr fontId="2"/>
  </si>
  <si>
    <t>画面.見積件名が入力されている場合</t>
    <rPh sb="0" eb="1">
      <t>ガメン</t>
    </rPh>
    <rPh sb="3" eb="7">
      <t>ミツモリケンメイ</t>
    </rPh>
    <rPh sb="8" eb="10">
      <t>ニュウリョク</t>
    </rPh>
    <rPh sb="15" eb="17">
      <t>バアイ</t>
    </rPh>
    <phoneticPr fontId="2"/>
  </si>
  <si>
    <t>MT.合計金額 + MT.出精値引 &gt;= 画面.開始見積金額 And MT.合計金額 + MT.出精値引 &lt;= 画面.終了見積金額</t>
    <rPh sb="3" eb="7">
      <t>ゴウケイキンガク</t>
    </rPh>
    <rPh sb="21" eb="23">
      <t>ガメン</t>
    </rPh>
    <phoneticPr fontId="2"/>
  </si>
  <si>
    <t>画面.開始見積金額または画面.終了見積金額が入力されている場合</t>
    <rPh sb="0" eb="1">
      <t>ガメン</t>
    </rPh>
    <rPh sb="2" eb="7">
      <t>カイシミツモリバンゴウ</t>
    </rPh>
    <rPh sb="7" eb="8">
      <t>キン</t>
    </rPh>
    <rPh sb="8" eb="9">
      <t>ガク</t>
    </rPh>
    <rPh sb="11" eb="13">
      <t>ガメン</t>
    </rPh>
    <rPh sb="14" eb="16">
      <t>シュウリョウ</t>
    </rPh>
    <rPh sb="15" eb="19">
      <t>ミツモリバンゴウ</t>
    </rPh>
    <rPh sb="19" eb="21">
      <t>キンガク</t>
    </rPh>
    <rPh sb="22" eb="24">
      <t>ニュウリョク</t>
    </rPh>
    <rPh sb="27" eb="29">
      <t>バアイ</t>
    </rPh>
    <phoneticPr fontId="2"/>
  </si>
  <si>
    <t>MT見積日付 &gt;= 開始見積日付 And MT見積日付 &gt;= 終了見積日付</t>
    <rPh sb="2" eb="6">
      <t>ミツモリヒヅケ</t>
    </rPh>
    <rPh sb="10" eb="16">
      <t>カイシミツモリヒヅケ</t>
    </rPh>
    <rPh sb="31" eb="33">
      <t>シュウリョウ</t>
    </rPh>
    <phoneticPr fontId="2"/>
  </si>
  <si>
    <t>order by</t>
    <phoneticPr fontId="2"/>
  </si>
  <si>
    <t>ORDER BY MT.見積日付 DESC の降順でソート, MT.見積番号 DESC の降順でソート</t>
    <phoneticPr fontId="2"/>
  </si>
  <si>
    <t>SQL3</t>
    <phoneticPr fontId="2"/>
  </si>
  <si>
    <t>decimalPoint</t>
    <phoneticPr fontId="2"/>
  </si>
  <si>
    <t>CASE WHEN COUNTRY_CODE = 'CN' THEN 2 ELSE 0 END</t>
    <phoneticPr fontId="2"/>
  </si>
  <si>
    <t>decimalPointは変数</t>
    <rPh sb="12" eb="14">
      <t>ヘンスウ</t>
    </rPh>
    <phoneticPr fontId="2"/>
  </si>
  <si>
    <t>FROM AppCountry</t>
    <phoneticPr fontId="2"/>
  </si>
  <si>
    <t>SQL4</t>
    <phoneticPr fontId="2"/>
  </si>
  <si>
    <t>#WK見積明細.見積番号</t>
    <phoneticPr fontId="2"/>
  </si>
  <si>
    <t>SELECT * INTO #WK見積明細</t>
    <phoneticPr fontId="2"/>
  </si>
  <si>
    <t>仕分番号</t>
    <phoneticPr fontId="2"/>
  </si>
  <si>
    <t>#WK見積明細.仕分番号</t>
    <phoneticPr fontId="2"/>
  </si>
  <si>
    <t>附属部材以外で</t>
    <phoneticPr fontId="2"/>
  </si>
  <si>
    <t>仕分名称</t>
    <phoneticPr fontId="2"/>
  </si>
  <si>
    <t>#WK見積明細.仕分名称</t>
    <phoneticPr fontId="2"/>
  </si>
  <si>
    <t>コメントでないもの</t>
    <phoneticPr fontId="2"/>
  </si>
  <si>
    <t>行番号</t>
    <phoneticPr fontId="2"/>
  </si>
  <si>
    <t>#WK見積明細.行番号</t>
    <phoneticPr fontId="2"/>
  </si>
  <si>
    <t>SP区分</t>
    <phoneticPr fontId="2"/>
  </si>
  <si>
    <t>#WK見積明細.SP区分</t>
    <phoneticPr fontId="2"/>
  </si>
  <si>
    <t>PC区分</t>
    <phoneticPr fontId="2"/>
  </si>
  <si>
    <t>#WK見積明細.PC区分</t>
    <phoneticPr fontId="2"/>
  </si>
  <si>
    <t>製品NO</t>
    <phoneticPr fontId="2"/>
  </si>
  <si>
    <t>#WK見積明細.製品NO</t>
    <phoneticPr fontId="2"/>
  </si>
  <si>
    <t>仕様NO</t>
    <phoneticPr fontId="2"/>
  </si>
  <si>
    <t>#WK見積明細.仕様NO</t>
    <phoneticPr fontId="2"/>
  </si>
  <si>
    <t>漢字名称</t>
    <phoneticPr fontId="2"/>
  </si>
  <si>
    <t>#WK見積明細.漢字名称</t>
    <phoneticPr fontId="2"/>
  </si>
  <si>
    <t>W</t>
    <phoneticPr fontId="2"/>
  </si>
  <si>
    <t>#WK見積明細.W</t>
    <phoneticPr fontId="2"/>
  </si>
  <si>
    <t>D</t>
    <phoneticPr fontId="2"/>
  </si>
  <si>
    <t>#WK見積明細.D</t>
    <phoneticPr fontId="2"/>
  </si>
  <si>
    <t>H</t>
    <phoneticPr fontId="2"/>
  </si>
  <si>
    <t>#WK見積明細.H</t>
    <phoneticPr fontId="2"/>
  </si>
  <si>
    <t>D1</t>
    <phoneticPr fontId="2"/>
  </si>
  <si>
    <t>#WK見積明細.D1</t>
    <phoneticPr fontId="2"/>
  </si>
  <si>
    <t>D2</t>
    <phoneticPr fontId="2"/>
  </si>
  <si>
    <t>#WK見積明細.D2</t>
    <phoneticPr fontId="2"/>
  </si>
  <si>
    <t>H1</t>
    <phoneticPr fontId="2"/>
  </si>
  <si>
    <t>#WK見積明細.H1</t>
    <phoneticPr fontId="2"/>
  </si>
  <si>
    <t>H2</t>
    <phoneticPr fontId="2"/>
  </si>
  <si>
    <t>#WK見積明細.H2</t>
    <phoneticPr fontId="2"/>
  </si>
  <si>
    <t>数量</t>
    <phoneticPr fontId="2"/>
  </si>
  <si>
    <t>#WK見積明細.数量</t>
    <phoneticPr fontId="2"/>
  </si>
  <si>
    <t>単位名</t>
    <phoneticPr fontId="2"/>
  </si>
  <si>
    <t>#WK見積明細.単位名</t>
    <phoneticPr fontId="2"/>
  </si>
  <si>
    <t>売上単価</t>
    <phoneticPr fontId="2"/>
  </si>
  <si>
    <t>#WK見積明細.売上単価</t>
    <phoneticPr fontId="2"/>
  </si>
  <si>
    <t>売上金額</t>
    <phoneticPr fontId="2"/>
  </si>
  <si>
    <t>#WK見積明細.売上金額</t>
    <phoneticPr fontId="2"/>
  </si>
  <si>
    <t>仕入先CD</t>
    <phoneticPr fontId="2"/>
  </si>
  <si>
    <t>#WK見積明細.仕入先CD</t>
    <phoneticPr fontId="2"/>
  </si>
  <si>
    <t>仕入先略称</t>
    <phoneticPr fontId="2"/>
  </si>
  <si>
    <t>#WK見積明細.仕入先略称</t>
    <phoneticPr fontId="2"/>
  </si>
  <si>
    <t>仕入単価</t>
    <phoneticPr fontId="2"/>
  </si>
  <si>
    <t>#WK見積明細.仕入単価</t>
    <phoneticPr fontId="2"/>
  </si>
  <si>
    <t>仕入金額</t>
    <phoneticPr fontId="2"/>
  </si>
  <si>
    <t>#WK見積明細.仕入金額</t>
    <phoneticPr fontId="2"/>
  </si>
  <si>
    <t>#WK見積明細.原価率</t>
    <phoneticPr fontId="2"/>
  </si>
  <si>
    <t>粗利益</t>
    <phoneticPr fontId="2"/>
  </si>
  <si>
    <t>#WK見積明細.粗利益</t>
    <phoneticPr fontId="2"/>
  </si>
  <si>
    <t>配送先CD</t>
    <phoneticPr fontId="2"/>
  </si>
  <si>
    <t>#WK見積明細.配送先CD</t>
    <phoneticPr fontId="2"/>
  </si>
  <si>
    <t>配送先略称</t>
    <phoneticPr fontId="2"/>
  </si>
  <si>
    <t>#WK見積明細.配送先略称</t>
    <phoneticPr fontId="2"/>
  </si>
  <si>
    <t>社内在庫数</t>
    <phoneticPr fontId="2"/>
  </si>
  <si>
    <t>#WK見積明細.社内在庫数</t>
    <phoneticPr fontId="2"/>
  </si>
  <si>
    <t>客先在庫数</t>
    <phoneticPr fontId="2"/>
  </si>
  <si>
    <t>#WK見積明細.客先在庫数</t>
    <phoneticPr fontId="2"/>
  </si>
  <si>
    <t>転用数</t>
    <phoneticPr fontId="2"/>
  </si>
  <si>
    <t>#WK見積明細.転用数</t>
    <phoneticPr fontId="2"/>
  </si>
  <si>
    <t>発注数</t>
    <phoneticPr fontId="2"/>
  </si>
  <si>
    <t>#WK見積明細.発注数</t>
    <phoneticPr fontId="2"/>
  </si>
  <si>
    <t>製品区分</t>
  </si>
  <si>
    <t>#WK見積明細.製品区分</t>
    <phoneticPr fontId="2"/>
  </si>
  <si>
    <t>見積区分</t>
  </si>
  <si>
    <t>#WK見積明細.見積区分</t>
    <phoneticPr fontId="2"/>
  </si>
  <si>
    <t>FROM (</t>
    <phoneticPr fontId="2"/>
  </si>
  <si>
    <t>SQL5</t>
    <phoneticPr fontId="2"/>
  </si>
  <si>
    <t>UNION ALL</t>
    <phoneticPr fontId="2"/>
  </si>
  <si>
    <t>SQL6</t>
    <phoneticPr fontId="2"/>
  </si>
  <si>
    <t>SQL10</t>
    <phoneticPr fontId="2"/>
  </si>
  <si>
    <t>SQL14</t>
    <phoneticPr fontId="2"/>
  </si>
  <si>
    <t>SQL15</t>
    <phoneticPr fontId="2"/>
  </si>
  <si>
    <t>SQL19</t>
    <phoneticPr fontId="2"/>
  </si>
  <si>
    <t>SQL23</t>
    <phoneticPr fontId="2"/>
  </si>
  <si>
    <t>) AS 見積明細</t>
    <rPh sb="5" eb="9">
      <t>ミツモリメイサイ</t>
    </rPh>
    <phoneticPr fontId="2"/>
  </si>
  <si>
    <t>TD見積.見積番号</t>
  </si>
  <si>
    <t>RIGHT('0'+CONVERT(VARCHAR(2),TD見積シート内訳.仕分番号),2) AS 仕分番号</t>
  </si>
  <si>
    <t>ISNULL(TD見積シート内訳N.名称,'') AS 仕分名称</t>
  </si>
  <si>
    <t>TD見積シートM.行番号</t>
    <phoneticPr fontId="2"/>
  </si>
  <si>
    <t>TD見積シートM.SP区分</t>
    <phoneticPr fontId="2"/>
  </si>
  <si>
    <t>TD見積シートM.PC区分</t>
    <phoneticPr fontId="2"/>
  </si>
  <si>
    <t>TD見積シートM.製品NO</t>
    <phoneticPr fontId="2"/>
  </si>
  <si>
    <t>TD見積シートM.仕様NO</t>
    <phoneticPr fontId="2"/>
  </si>
  <si>
    <t>TD見積シートM.漢字名称</t>
    <phoneticPr fontId="2"/>
  </si>
  <si>
    <t>TD見積シートM.W</t>
  </si>
  <si>
    <t>TD見積シートM.D</t>
  </si>
  <si>
    <t>TD見積シートM.H</t>
  </si>
  <si>
    <t>TD見積シートM.D1</t>
  </si>
  <si>
    <t>TD見積シートM.D2</t>
  </si>
  <si>
    <t>TD見積シートM.H1</t>
  </si>
  <si>
    <t>TD見積シートM.H2</t>
  </si>
  <si>
    <t>TD見積シート内訳.数量</t>
  </si>
  <si>
    <t>TD見積シートM.単位名</t>
  </si>
  <si>
    <t>TD見積シートM.売上単価</t>
  </si>
  <si>
    <t>TD見積.売上端数が0の場合はTD見積シート内訳.数量 * TD見積シートM.売上単価の結果を[SQL3.decimalPoint]の桁数で四捨五入、1の場合は切り上げ、2の場合は切り捨て</t>
    <rPh sb="12" eb="14">
      <t>バアイ</t>
    </rPh>
    <rPh sb="44" eb="46">
      <t>ケッカ</t>
    </rPh>
    <rPh sb="67" eb="69">
      <t>ケタスウ</t>
    </rPh>
    <rPh sb="70" eb="74">
      <t>シシャゴニュウ</t>
    </rPh>
    <rPh sb="80" eb="81">
      <t>キ</t>
    </rPh>
    <rPh sb="82" eb="83">
      <t>ア</t>
    </rPh>
    <rPh sb="90" eb="91">
      <t>キ</t>
    </rPh>
    <rPh sb="92" eb="93">
      <t>ス</t>
    </rPh>
    <phoneticPr fontId="2"/>
  </si>
  <si>
    <t>TD見積シートM.仕入先CD</t>
  </si>
  <si>
    <t>TD見積シートM.仕入先名 AS 仕入先略称</t>
  </si>
  <si>
    <t>TD見積シートM.仕入単価</t>
  </si>
  <si>
    <t>TD見積.売上端数が0の場合はTD見積シート内訳.数量 * TD見積シートM.仕入単価の結果を[SQL3.decimalPoint]の桁数で四捨五入、1の場合は切り上げ、2の場合は切り捨て</t>
    <phoneticPr fontId="2"/>
  </si>
  <si>
    <t>0 AS 原価率</t>
    <phoneticPr fontId="2"/>
  </si>
  <si>
    <t>0 AS 粗利益</t>
    <phoneticPr fontId="2"/>
  </si>
  <si>
    <t>TD見積シートM.配送先CD</t>
  </si>
  <si>
    <t>配送先名 AS 配送先略称</t>
    <phoneticPr fontId="2"/>
  </si>
  <si>
    <t>TD見積シートM.社内在庫数</t>
  </si>
  <si>
    <t>TD見積シートM.客先在庫数</t>
  </si>
  <si>
    <t>TD見積シートM.転用数</t>
  </si>
  <si>
    <t>TD見積シートM.発注数</t>
  </si>
  <si>
    <t>TD見積シートM.製品区分</t>
  </si>
  <si>
    <t>TD見積シートM.見積区分</t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</si>
  <si>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</si>
  <si>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</si>
  <si>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</si>
  <si>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</si>
  <si>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MSU.仕分番号 = MSUN.仕分番号</t>
    <phoneticPr fontId="2"/>
  </si>
  <si>
    <t>WHERE MH.見積番号 = 画面.見積番号</t>
    <rPh sb="16" eb="18">
      <t>ガメン</t>
    </rPh>
    <phoneticPr fontId="2"/>
  </si>
  <si>
    <t>AND  MSM.見積区分 IN ('','1','2','3','4','5','6','7','8','9')</t>
    <phoneticPr fontId="2"/>
  </si>
  <si>
    <t>AND  MSU.数量 &lt;&gt; 0</t>
    <phoneticPr fontId="2"/>
  </si>
  <si>
    <t>AND  MSM.客先在庫数 = 0</t>
    <phoneticPr fontId="2"/>
  </si>
  <si>
    <t>AND  MSM.転用数 = 0</t>
    <phoneticPr fontId="2"/>
  </si>
  <si>
    <t>コメントAのもの</t>
    <phoneticPr fontId="2"/>
  </si>
  <si>
    <t>AND  MSM.見積区分 = 'A'</t>
    <phoneticPr fontId="2"/>
  </si>
  <si>
    <t>AND  (</t>
    <phoneticPr fontId="2"/>
  </si>
  <si>
    <t>SQL7</t>
    <phoneticPr fontId="2"/>
  </si>
  <si>
    <t>) &lt;&gt; 0</t>
    <phoneticPr fontId="2"/>
  </si>
  <si>
    <t>SQL8</t>
    <phoneticPr fontId="2"/>
  </si>
  <si>
    <t>) = 0</t>
    <phoneticPr fontId="2"/>
  </si>
  <si>
    <t>SQL9</t>
    <phoneticPr fontId="2"/>
  </si>
  <si>
    <t>TD見積シート内訳.数量</t>
    <phoneticPr fontId="2"/>
  </si>
  <si>
    <t>SELECT  TOP 1 MSU1.数量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</si>
  <si>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</si>
  <si>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</si>
  <si>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</si>
  <si>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</si>
  <si>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</si>
  <si>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</si>
  <si>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ORDER BY MSM1.行番号 ASC 昇順でソート</t>
    <rPh sb="22" eb="24">
      <t>ショウジュン</t>
    </rPh>
    <phoneticPr fontId="2"/>
  </si>
  <si>
    <t>TD見積シートM.客先在庫数</t>
    <phoneticPr fontId="2"/>
  </si>
  <si>
    <t>SELECT  TOP 1 MSM1.客先在庫数</t>
    <phoneticPr fontId="2"/>
  </si>
  <si>
    <t>WHERE MSM1.見積番号 = MSM.見積番号</t>
    <rPh sb="24" eb="26">
      <t>バンゴウ</t>
    </rPh>
    <phoneticPr fontId="2"/>
  </si>
  <si>
    <t>ORDER BY MSM1.行番号 ASC 昇順でソート</t>
    <phoneticPr fontId="2"/>
  </si>
  <si>
    <t>TD見積シートM.転用数</t>
    <phoneticPr fontId="2"/>
  </si>
  <si>
    <t>SELECT  TOP 1 MSM1.転用数</t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</si>
  <si>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</si>
  <si>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</si>
  <si>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</si>
  <si>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SQL11</t>
    <phoneticPr fontId="2"/>
  </si>
  <si>
    <t>SQL12</t>
    <phoneticPr fontId="2"/>
  </si>
  <si>
    <t>SQL13</t>
    <phoneticPr fontId="2"/>
  </si>
  <si>
    <t>AND  MSM1.行番号 &lt;= MSM.行番号</t>
    <phoneticPr fontId="2"/>
  </si>
  <si>
    <t>ORDER BY MSM1.行番号 DESC 降順でソート</t>
    <rPh sb="23" eb="25">
      <t>コウジュン</t>
    </rPh>
    <phoneticPr fontId="2"/>
  </si>
  <si>
    <t>'Z9' AS 仕分番号</t>
    <phoneticPr fontId="2"/>
  </si>
  <si>
    <t>附属部材で</t>
    <phoneticPr fontId="2"/>
  </si>
  <si>
    <t>'付属部材'AS 仕分名称</t>
    <phoneticPr fontId="2"/>
  </si>
  <si>
    <t>TD見積シートM.行番号</t>
  </si>
  <si>
    <t>TD見積シートM.SP区分</t>
  </si>
  <si>
    <t>TD見積シートM.PC区分</t>
  </si>
  <si>
    <t>TD見積シートM.製品NO</t>
  </si>
  <si>
    <t>TD見積シートM.仕様NO</t>
  </si>
  <si>
    <t>TD見積シートM.漢字名称</t>
  </si>
  <si>
    <t>TD見積シートM.見積数量</t>
  </si>
  <si>
    <t>TD見積シートM.売上金額</t>
  </si>
  <si>
    <t>仕入先名 AS 仕入先略称</t>
    <phoneticPr fontId="2"/>
  </si>
  <si>
    <t>TD見積シートM.仕入金額</t>
  </si>
  <si>
    <t>AND   見積数量 &lt;&gt; 0</t>
    <phoneticPr fontId="2"/>
  </si>
  <si>
    <t>AND  (客先在庫数 &gt; 0</t>
    <phoneticPr fontId="2"/>
  </si>
  <si>
    <t>OR  転用数 &gt; 0)</t>
    <phoneticPr fontId="2"/>
  </si>
  <si>
    <t>SQL16</t>
    <phoneticPr fontId="2"/>
  </si>
  <si>
    <t>SQL17</t>
    <phoneticPr fontId="2"/>
  </si>
  <si>
    <t>) &gt; 0</t>
    <phoneticPr fontId="2"/>
  </si>
  <si>
    <t>SQL18</t>
    <phoneticPr fontId="2"/>
  </si>
  <si>
    <t>AND  MSM.見積区分 = 'C'</t>
    <phoneticPr fontId="2"/>
  </si>
  <si>
    <t>SQL20</t>
    <phoneticPr fontId="2"/>
  </si>
  <si>
    <t>SQL21</t>
    <phoneticPr fontId="2"/>
  </si>
  <si>
    <t>SQL22</t>
    <phoneticPr fontId="2"/>
  </si>
  <si>
    <t>出精値引</t>
    <phoneticPr fontId="2"/>
  </si>
  <si>
    <t>'ZA' AS 仕分番号</t>
    <phoneticPr fontId="2"/>
  </si>
  <si>
    <t>'出精値引'AS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</si>
  <si>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</si>
  <si>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</si>
  <si>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</si>
  <si>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</si>
  <si>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</si>
  <si>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</si>
  <si>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W</t>
    <phoneticPr fontId="2"/>
  </si>
  <si>
    <t>0 AS D</t>
    <phoneticPr fontId="2"/>
  </si>
  <si>
    <t>0 AS H</t>
    <phoneticPr fontId="2"/>
  </si>
  <si>
    <t>0 AS D1</t>
    <phoneticPr fontId="2"/>
  </si>
  <si>
    <t>0 AS D2</t>
    <phoneticPr fontId="2"/>
  </si>
  <si>
    <t>0 AS H1</t>
    <phoneticPr fontId="2"/>
  </si>
  <si>
    <t>0 AS H2</t>
    <phoneticPr fontId="2"/>
  </si>
  <si>
    <t>0 AS 数量</t>
    <phoneticPr fontId="2"/>
  </si>
  <si>
    <t>'' AS 単位名</t>
    <phoneticPr fontId="2"/>
  </si>
  <si>
    <t>0 AS 売上単価</t>
    <phoneticPr fontId="2"/>
  </si>
  <si>
    <t>出精値引 AS 売上金額</t>
    <phoneticPr fontId="2"/>
  </si>
  <si>
    <t>'' AS 仕入先CD</t>
    <phoneticPr fontId="2"/>
  </si>
  <si>
    <t>'' AS 仕入略称</t>
    <phoneticPr fontId="2"/>
  </si>
  <si>
    <t>0 AS 仕入単価</t>
    <phoneticPr fontId="2"/>
  </si>
  <si>
    <t>0 AS 仕入金額</t>
    <phoneticPr fontId="2"/>
  </si>
  <si>
    <t>'' AS 配送先CD</t>
    <phoneticPr fontId="2"/>
  </si>
  <si>
    <t>'' AS 配送略称</t>
    <phoneticPr fontId="2"/>
  </si>
  <si>
    <t>0 AS 社内在庫数</t>
    <phoneticPr fontId="2"/>
  </si>
  <si>
    <t>0 AS 客先在庫数</t>
    <phoneticPr fontId="2"/>
  </si>
  <si>
    <t>0 AS 転用数</t>
    <phoneticPr fontId="2"/>
  </si>
  <si>
    <t>0 AS 発注数</t>
    <phoneticPr fontId="2"/>
  </si>
  <si>
    <t>NULL AS 製品区分</t>
    <phoneticPr fontId="2"/>
  </si>
  <si>
    <t>'' AS 見積区分</t>
    <phoneticPr fontId="2"/>
  </si>
  <si>
    <t>AND  出精値引 &lt;&gt; 0</t>
    <phoneticPr fontId="2"/>
  </si>
  <si>
    <t>#WK見積明細集計.見積番号</t>
    <phoneticPr fontId="2"/>
  </si>
  <si>
    <t>SELECT * INTO #WK見積明細集計</t>
    <phoneticPr fontId="2"/>
  </si>
  <si>
    <t>#WK見積明細集計.仕分番号</t>
    <phoneticPr fontId="2"/>
  </si>
  <si>
    <t>見積区分での集計処理（1～9）</t>
    <phoneticPr fontId="2"/>
  </si>
  <si>
    <t>#WK見積明細集計.仕分名称</t>
    <phoneticPr fontId="2"/>
  </si>
  <si>
    <t>#WK見積明細集計.行番号</t>
    <phoneticPr fontId="2"/>
  </si>
  <si>
    <t>#WK見積明細集計.SP区分</t>
    <phoneticPr fontId="2"/>
  </si>
  <si>
    <t>#WK見積明細集計.PC区分</t>
    <phoneticPr fontId="2"/>
  </si>
  <si>
    <t>#WK見積明細集計.製品NO</t>
    <phoneticPr fontId="2"/>
  </si>
  <si>
    <t>#WK見積明細集計.仕様NO</t>
    <phoneticPr fontId="2"/>
  </si>
  <si>
    <t>#WK見積明細集計.漢字名称</t>
    <phoneticPr fontId="2"/>
  </si>
  <si>
    <t>#WK見積明細集計.W</t>
    <phoneticPr fontId="2"/>
  </si>
  <si>
    <t>#WK見積明細集計.D</t>
    <phoneticPr fontId="2"/>
  </si>
  <si>
    <t>#WK見積明細集計.H</t>
    <phoneticPr fontId="2"/>
  </si>
  <si>
    <t>#WK見積明細集計.D1</t>
    <phoneticPr fontId="2"/>
  </si>
  <si>
    <t>#WK見積明細集計.D2</t>
    <phoneticPr fontId="2"/>
  </si>
  <si>
    <t>#WK見積明細集計.H1</t>
    <phoneticPr fontId="2"/>
  </si>
  <si>
    <t>#WK見積明細集計.H2</t>
    <phoneticPr fontId="2"/>
  </si>
  <si>
    <t>#WK見積明細集計.数量</t>
    <phoneticPr fontId="2"/>
  </si>
  <si>
    <t>#WK見積明細集計.単位名</t>
    <phoneticPr fontId="2"/>
  </si>
  <si>
    <t>#WK見積明細集計.売上単価</t>
    <phoneticPr fontId="2"/>
  </si>
  <si>
    <t>#WK見積明細集計.売上金額</t>
    <phoneticPr fontId="2"/>
  </si>
  <si>
    <t>#WK見積明細集計.仕入先CD</t>
    <phoneticPr fontId="2"/>
  </si>
  <si>
    <t>#WK見積明細集計.仕入先略称</t>
    <phoneticPr fontId="2"/>
  </si>
  <si>
    <t>#WK見積明細集計.仕入単価</t>
    <phoneticPr fontId="2"/>
  </si>
  <si>
    <t>#WK見積明細集計.仕入金額</t>
    <phoneticPr fontId="2"/>
  </si>
  <si>
    <t>#WK見積明細集計.原価率</t>
    <phoneticPr fontId="2"/>
  </si>
  <si>
    <t>#WK見積明細集計.粗利益</t>
    <phoneticPr fontId="2"/>
  </si>
  <si>
    <t>#WK見積明細集計.配送先CD</t>
    <phoneticPr fontId="2"/>
  </si>
  <si>
    <t>#WK見積明細集計.配送先略称</t>
    <phoneticPr fontId="2"/>
  </si>
  <si>
    <t>#WK見積明細集計.社内在庫数</t>
    <phoneticPr fontId="2"/>
  </si>
  <si>
    <t>#WK見積明細集計.客先在庫数</t>
    <phoneticPr fontId="2"/>
  </si>
  <si>
    <t>#WK見積明細集計.転用数</t>
    <phoneticPr fontId="2"/>
  </si>
  <si>
    <t>#WK見積明細集計.発注数</t>
    <phoneticPr fontId="2"/>
  </si>
  <si>
    <t>#WK見積明細集計.製品区分</t>
    <phoneticPr fontId="2"/>
  </si>
  <si>
    <t>#WK見積明細集計.見積区分</t>
    <phoneticPr fontId="2"/>
  </si>
  <si>
    <t>FROM  (</t>
    <phoneticPr fontId="2"/>
  </si>
  <si>
    <t>SQL24</t>
    <phoneticPr fontId="2"/>
  </si>
  <si>
    <t>) AS A</t>
    <phoneticPr fontId="2"/>
  </si>
  <si>
    <t>SQL25.見積番号</t>
  </si>
  <si>
    <t>SQL25.仕分番号</t>
  </si>
  <si>
    <t>SQL26.仕分名称</t>
  </si>
  <si>
    <t>SQL25.行番号</t>
  </si>
  <si>
    <t>SQL26.SP区分</t>
  </si>
  <si>
    <t>SQL26.PC区分</t>
  </si>
  <si>
    <t>SQL26.製品NO</t>
  </si>
  <si>
    <t>SQL26.仕様NO</t>
  </si>
  <si>
    <t>SQL26.漢字名称</t>
  </si>
  <si>
    <t>SQL26.W</t>
  </si>
  <si>
    <t>SQL26.D</t>
  </si>
  <si>
    <t>SQL26.H</t>
  </si>
  <si>
    <t>SQL26.D1</t>
  </si>
  <si>
    <t>SQL26.D2</t>
  </si>
  <si>
    <t>SQL26.H1</t>
  </si>
  <si>
    <t>SQL26.H2</t>
  </si>
  <si>
    <t>SQL25.数量</t>
  </si>
  <si>
    <t>SQL26.単位名</t>
  </si>
  <si>
    <t>SQL25.売上金額 AS 売上単価</t>
    <phoneticPr fontId="2"/>
  </si>
  <si>
    <t>SQL25.売上金額</t>
  </si>
  <si>
    <t>SQL26.[仕入先CD]</t>
  </si>
  <si>
    <t>SQL26.[仕入先略称]</t>
    <phoneticPr fontId="2"/>
  </si>
  <si>
    <t>SQL25.[仕入金額] AS 仕入単価</t>
    <phoneticPr fontId="2"/>
  </si>
  <si>
    <t>SQL25.[仕入金額]</t>
  </si>
  <si>
    <t>SQL26.[原価率]</t>
    <phoneticPr fontId="2"/>
  </si>
  <si>
    <t>SQL26.[粗利益]</t>
    <phoneticPr fontId="2"/>
  </si>
  <si>
    <t>SQL26.[配送先CD]</t>
    <phoneticPr fontId="2"/>
  </si>
  <si>
    <t>SQL26.[配送先略称]</t>
    <phoneticPr fontId="2"/>
  </si>
  <si>
    <t>SQL26.[社内在庫数]</t>
    <phoneticPr fontId="2"/>
  </si>
  <si>
    <t>SQL26.[客先在庫数]</t>
    <phoneticPr fontId="2"/>
  </si>
  <si>
    <t>SQL26.[転用数]</t>
    <phoneticPr fontId="2"/>
  </si>
  <si>
    <t>SQL26.[発注数]</t>
    <phoneticPr fontId="2"/>
  </si>
  <si>
    <t>SQL26.[製品区分]</t>
    <phoneticPr fontId="2"/>
  </si>
  <si>
    <t>SQL25.[見積区分]</t>
  </si>
  <si>
    <t>SQL25</t>
    <phoneticPr fontId="2"/>
  </si>
  <si>
    <t>INNER JOIN (</t>
    <phoneticPr fontId="2"/>
  </si>
  <si>
    <t>SQL26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</si>
  <si>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</si>
  <si>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</si>
  <si>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</si>
  <si>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AND A.見積区分 = B.見積区分</t>
    <phoneticPr fontId="2"/>
  </si>
  <si>
    <t>AND A.行番号 = B.行番号</t>
    <phoneticPr fontId="2"/>
  </si>
  <si>
    <t>見積区分</t>
    <phoneticPr fontId="2"/>
  </si>
  <si>
    <t>MIN(#WK見積明細.行番号) AS 行番号</t>
    <phoneticPr fontId="2"/>
  </si>
  <si>
    <t>1/*SUM(#WK見積明細.数量)*/ AS 数量</t>
    <phoneticPr fontId="2"/>
  </si>
  <si>
    <t>SUM(#WK見積明細.仕入金額) AS 仕入金額</t>
    <phoneticPr fontId="2"/>
  </si>
  <si>
    <t>売上金額</t>
    <rPh sb="0" eb="2">
      <t>ウリア</t>
    </rPh>
    <phoneticPr fontId="2"/>
  </si>
  <si>
    <t>SUM(#WK見積明細.売上金額) AS 売上金額</t>
    <phoneticPr fontId="2"/>
  </si>
  <si>
    <t>FROM  [#WK見積明細]</t>
    <phoneticPr fontId="2"/>
  </si>
  <si>
    <t>WHERE NOT  見積区分 IN ('','A', 'C', 'S')</t>
    <phoneticPr fontId="2"/>
  </si>
  <si>
    <t>group by</t>
    <phoneticPr fontId="2"/>
  </si>
  <si>
    <t>GROUP BY 見積番号, 仕分番号, 見積区分</t>
    <phoneticPr fontId="2"/>
  </si>
  <si>
    <t>#WK見積明細.[見積番号]</t>
    <phoneticPr fontId="2"/>
  </si>
  <si>
    <t>#WK見積明細.[仕分番号]</t>
    <phoneticPr fontId="2"/>
  </si>
  <si>
    <t>#WK見積明細.[仕分名称]</t>
    <phoneticPr fontId="2"/>
  </si>
  <si>
    <t>#WK見積明細.[行番号]</t>
    <phoneticPr fontId="2"/>
  </si>
  <si>
    <t>#WK見積明細.[SP区分]</t>
    <phoneticPr fontId="2"/>
  </si>
  <si>
    <t>#WK見積明細.[PC区分]</t>
    <phoneticPr fontId="2"/>
  </si>
  <si>
    <t>#WK見積明細.[製品NO]</t>
    <phoneticPr fontId="2"/>
  </si>
  <si>
    <t>#WK見積明細.[仕様NO]</t>
    <phoneticPr fontId="2"/>
  </si>
  <si>
    <t>#WK見積明細.[漢字名称]</t>
    <phoneticPr fontId="2"/>
  </si>
  <si>
    <t>#WK見積明細.[W]</t>
    <phoneticPr fontId="2"/>
  </si>
  <si>
    <t>#WK見積明細.[D]</t>
    <phoneticPr fontId="2"/>
  </si>
  <si>
    <t>#WK見積明細.[H]</t>
    <phoneticPr fontId="2"/>
  </si>
  <si>
    <t>#WK見積明細.[D1]</t>
    <phoneticPr fontId="2"/>
  </si>
  <si>
    <t>#WK見積明細.[D2]</t>
    <phoneticPr fontId="2"/>
  </si>
  <si>
    <t>#WK見積明細.[H1]</t>
    <phoneticPr fontId="2"/>
  </si>
  <si>
    <t>#WK見積明細.[H2]</t>
    <phoneticPr fontId="2"/>
  </si>
  <si>
    <t>#WK見積明細.[単位名]</t>
    <phoneticPr fontId="2"/>
  </si>
  <si>
    <t>' ' AS [仕入先CD]</t>
    <phoneticPr fontId="2"/>
  </si>
  <si>
    <t>' ' AS [仕入先略称]</t>
    <phoneticPr fontId="2"/>
  </si>
  <si>
    <t>#WK見積明細.[原価率]</t>
    <phoneticPr fontId="2"/>
  </si>
  <si>
    <t>#WK見積明細.[粗利益]</t>
    <phoneticPr fontId="2"/>
  </si>
  <si>
    <t>' ' AS [配送先CD]</t>
    <phoneticPr fontId="2"/>
  </si>
  <si>
    <t>' ' AS [配送先略称]</t>
    <phoneticPr fontId="2"/>
  </si>
  <si>
    <t>#WK見積明細.[社内在庫数]</t>
    <phoneticPr fontId="2"/>
  </si>
  <si>
    <t>#WK見積明細.[客先在庫数]</t>
    <phoneticPr fontId="2"/>
  </si>
  <si>
    <t>#WK見積明細.[転用数]</t>
    <phoneticPr fontId="2"/>
  </si>
  <si>
    <t>#WK見積明細.[発注数]</t>
    <phoneticPr fontId="2"/>
  </si>
  <si>
    <t>#WK見積明細.[製品区分]</t>
    <phoneticPr fontId="2"/>
  </si>
  <si>
    <t>#WK見積明細.[見積区分]</t>
    <phoneticPr fontId="2"/>
  </si>
  <si>
    <t>FROM [#WK見積明細]</t>
    <phoneticPr fontId="2"/>
  </si>
  <si>
    <t>SQL27</t>
    <phoneticPr fontId="2"/>
  </si>
  <si>
    <t>delete</t>
    <phoneticPr fontId="2"/>
  </si>
  <si>
    <t>見積明細からの集計（1～9）対象の削除</t>
    <phoneticPr fontId="2"/>
  </si>
  <si>
    <t>FROM #WK見積明細</t>
    <phoneticPr fontId="2"/>
  </si>
  <si>
    <t>WHERE  見積区分 NOT IN ('','A', 'C', 'S')</t>
    <phoneticPr fontId="2"/>
  </si>
  <si>
    <t>SQL28</t>
    <phoneticPr fontId="2"/>
  </si>
  <si>
    <t>insert</t>
    <phoneticPr fontId="2"/>
  </si>
  <si>
    <t>見積明細へ集計（1～9）結果の追加</t>
    <phoneticPr fontId="2"/>
  </si>
  <si>
    <t>INSERT INTO #WK見積明細 SELECT *</t>
  </si>
  <si>
    <t>FROM #WK見積明細集計</t>
    <phoneticPr fontId="2"/>
  </si>
  <si>
    <t>SQL29</t>
    <phoneticPr fontId="2"/>
  </si>
  <si>
    <t>見積ヘッダー部出力</t>
    <phoneticPr fontId="2"/>
  </si>
  <si>
    <t>見積日付</t>
    <rPh sb="0" eb="4">
      <t>ミツモリヒヅケ</t>
    </rPh>
    <phoneticPr fontId="2"/>
  </si>
  <si>
    <t>TD見積.見積日付</t>
    <rPh sb="5" eb="9">
      <t>ミツモリヒヅケ</t>
    </rPh>
    <phoneticPr fontId="2"/>
  </si>
  <si>
    <t>SELECT MH.*, TT.担当者名</t>
    <phoneticPr fontId="2"/>
  </si>
  <si>
    <t>担当者CD</t>
    <rPh sb="0" eb="3">
      <t>タントウシャ</t>
    </rPh>
    <phoneticPr fontId="2"/>
  </si>
  <si>
    <t>TD見積.担当者CD</t>
    <rPh sb="5" eb="8">
      <t>タントウシャ</t>
    </rPh>
    <phoneticPr fontId="2"/>
  </si>
  <si>
    <t>見積件名</t>
    <rPh sb="0" eb="4">
      <t>ミツモリケンメイ</t>
    </rPh>
    <phoneticPr fontId="2"/>
  </si>
  <si>
    <t>TD見積.見積件名</t>
    <rPh sb="5" eb="9">
      <t>ミツモリケンメイ</t>
    </rPh>
    <phoneticPr fontId="2"/>
  </si>
  <si>
    <t>得意先CD</t>
    <rPh sb="0" eb="3">
      <t>トクイサキ</t>
    </rPh>
    <phoneticPr fontId="2"/>
  </si>
  <si>
    <t>TD見積.得意先CD</t>
    <rPh sb="5" eb="8">
      <t>トクイサキ</t>
    </rPh>
    <phoneticPr fontId="2"/>
  </si>
  <si>
    <t>得意先名1</t>
    <rPh sb="0" eb="4">
      <t>トクイサキメイ</t>
    </rPh>
    <phoneticPr fontId="2"/>
  </si>
  <si>
    <t>TD見積.得意先名1</t>
    <rPh sb="5" eb="9">
      <t>トクイサキメイ</t>
    </rPh>
    <phoneticPr fontId="2"/>
  </si>
  <si>
    <t>得意先名2</t>
    <rPh sb="0" eb="4">
      <t>トクイサキメイ</t>
    </rPh>
    <phoneticPr fontId="2"/>
  </si>
  <si>
    <t>TD見積.得意先名2</t>
    <rPh sb="5" eb="9">
      <t>トクイサキメイ</t>
    </rPh>
    <phoneticPr fontId="2"/>
  </si>
  <si>
    <t>得TEL</t>
    <rPh sb="0" eb="1">
      <t>トク</t>
    </rPh>
    <phoneticPr fontId="2"/>
  </si>
  <si>
    <t>TD見積.得TEL</t>
    <rPh sb="5" eb="6">
      <t>トク</t>
    </rPh>
    <phoneticPr fontId="2"/>
  </si>
  <si>
    <t>得FAX</t>
    <rPh sb="0" eb="1">
      <t>トク</t>
    </rPh>
    <phoneticPr fontId="2"/>
  </si>
  <si>
    <t>TD見積.得FAX</t>
    <rPh sb="5" eb="6">
      <t>トク</t>
    </rPh>
    <phoneticPr fontId="2"/>
  </si>
  <si>
    <t>得意先担当者</t>
    <rPh sb="0" eb="3">
      <t>トクイサキ</t>
    </rPh>
    <rPh sb="3" eb="6">
      <t>タントウシャ</t>
    </rPh>
    <phoneticPr fontId="2"/>
  </si>
  <si>
    <t>TD見積.得意先担当者</t>
    <rPh sb="5" eb="8">
      <t>トクイサキ</t>
    </rPh>
    <rPh sb="8" eb="11">
      <t>タントウシャ</t>
    </rPh>
    <phoneticPr fontId="2"/>
  </si>
  <si>
    <t>納入得意先CD</t>
    <rPh sb="0" eb="2">
      <t>ノウニュウ</t>
    </rPh>
    <rPh sb="2" eb="5">
      <t>トクイサキ</t>
    </rPh>
    <phoneticPr fontId="2"/>
  </si>
  <si>
    <t>TD見積.納入得意先CD</t>
    <rPh sb="5" eb="7">
      <t>ノウニュウ</t>
    </rPh>
    <rPh sb="7" eb="10">
      <t>トクイサキ</t>
    </rPh>
    <phoneticPr fontId="2"/>
  </si>
  <si>
    <t>納入先CD</t>
    <rPh sb="0" eb="3">
      <t>ノウニュウサキ</t>
    </rPh>
    <phoneticPr fontId="2"/>
  </si>
  <si>
    <t>TD見積.納入先CD</t>
    <rPh sb="5" eb="8">
      <t>ノウニュウサキ</t>
    </rPh>
    <phoneticPr fontId="2"/>
  </si>
  <si>
    <t>納入先名1</t>
    <rPh sb="0" eb="4">
      <t>ノウニュウサキメイ</t>
    </rPh>
    <phoneticPr fontId="2"/>
  </si>
  <si>
    <t>TD見積.納入先名1</t>
    <rPh sb="5" eb="9">
      <t>ノウニュウサキメイ</t>
    </rPh>
    <phoneticPr fontId="2"/>
  </si>
  <si>
    <t>納入先名2</t>
    <rPh sb="0" eb="4">
      <t>ノウニュウサキメイ</t>
    </rPh>
    <phoneticPr fontId="2"/>
  </si>
  <si>
    <t>TD見積.納入先名2</t>
    <rPh sb="5" eb="9">
      <t>ノウニュウサキメイ</t>
    </rPh>
    <phoneticPr fontId="2"/>
  </si>
  <si>
    <t>郵便番号</t>
    <rPh sb="0" eb="4">
      <t>ユウビンバンゴウ</t>
    </rPh>
    <phoneticPr fontId="2"/>
  </si>
  <si>
    <t>TD見積.郵便番号</t>
    <rPh sb="5" eb="9">
      <t>ユウビンバンゴウ</t>
    </rPh>
    <phoneticPr fontId="2"/>
  </si>
  <si>
    <t>住所1</t>
    <rPh sb="0" eb="2">
      <t>ジュウショ</t>
    </rPh>
    <phoneticPr fontId="2"/>
  </si>
  <si>
    <t>TD見積.住所1</t>
    <rPh sb="5" eb="7">
      <t>ジュウショ</t>
    </rPh>
    <phoneticPr fontId="2"/>
  </si>
  <si>
    <t>住所2</t>
    <rPh sb="0" eb="2">
      <t>ジュウショ</t>
    </rPh>
    <phoneticPr fontId="2"/>
  </si>
  <si>
    <t>TD見積.住所2</t>
    <rPh sb="5" eb="7">
      <t>ジュウショ</t>
    </rPh>
    <phoneticPr fontId="2"/>
  </si>
  <si>
    <t>納TEL</t>
    <rPh sb="0" eb="1">
      <t>ノウ</t>
    </rPh>
    <phoneticPr fontId="2"/>
  </si>
  <si>
    <t>TD見積.納TEL</t>
    <rPh sb="5" eb="6">
      <t>ノウ</t>
    </rPh>
    <phoneticPr fontId="2"/>
  </si>
  <si>
    <t>納FAX</t>
    <rPh sb="0" eb="1">
      <t>ノウ</t>
    </rPh>
    <phoneticPr fontId="2"/>
  </si>
  <si>
    <t>TD見積.納FAX</t>
    <rPh sb="5" eb="6">
      <t>ノウ</t>
    </rPh>
    <phoneticPr fontId="2"/>
  </si>
  <si>
    <t>納入先担当者</t>
    <rPh sb="0" eb="6">
      <t>ノウニュウサキタントウシャ</t>
    </rPh>
    <phoneticPr fontId="2"/>
  </si>
  <si>
    <t>TD見積.納入先担当者</t>
    <rPh sb="5" eb="11">
      <t>ノウニュウサキタントウシャ</t>
    </rPh>
    <phoneticPr fontId="2"/>
  </si>
  <si>
    <t>納期S</t>
    <rPh sb="0" eb="2">
      <t>ノウキ</t>
    </rPh>
    <phoneticPr fontId="2"/>
  </si>
  <si>
    <t>TD見積.納期S</t>
    <rPh sb="5" eb="7">
      <t>ノウキ</t>
    </rPh>
    <phoneticPr fontId="2"/>
  </si>
  <si>
    <t>納期E</t>
    <rPh sb="0" eb="2">
      <t>ノウキ</t>
    </rPh>
    <phoneticPr fontId="2"/>
  </si>
  <si>
    <t>TD見積.納期E</t>
    <rPh sb="5" eb="7">
      <t>ノウキ</t>
    </rPh>
    <phoneticPr fontId="2"/>
  </si>
  <si>
    <t>備考</t>
    <rPh sb="0" eb="2">
      <t>ビコウ</t>
    </rPh>
    <phoneticPr fontId="2"/>
  </si>
  <si>
    <t>TD見積.備考</t>
    <rPh sb="5" eb="7">
      <t>ビコウ</t>
    </rPh>
    <phoneticPr fontId="2"/>
  </si>
  <si>
    <t>物件規模金額</t>
    <rPh sb="0" eb="6">
      <t>ブッケンキボキンガク</t>
    </rPh>
    <phoneticPr fontId="2"/>
  </si>
  <si>
    <t>TD見積.物件規模金額</t>
    <rPh sb="5" eb="11">
      <t>ブッケンキボキンガク</t>
    </rPh>
    <phoneticPr fontId="2"/>
  </si>
  <si>
    <t>オープン日</t>
    <rPh sb="4" eb="5">
      <t>ビ</t>
    </rPh>
    <phoneticPr fontId="2"/>
  </si>
  <si>
    <t>TD見積.オープン日</t>
    <rPh sb="9" eb="10">
      <t>ビ</t>
    </rPh>
    <phoneticPr fontId="2"/>
  </si>
  <si>
    <t>物件種別</t>
    <rPh sb="0" eb="4">
      <t>ブッケンシュベツ</t>
    </rPh>
    <phoneticPr fontId="2"/>
  </si>
  <si>
    <t>TD見積.物件種別</t>
    <rPh sb="5" eb="9">
      <t>ブッケンシュベツ</t>
    </rPh>
    <phoneticPr fontId="2"/>
  </si>
  <si>
    <t>現場名</t>
    <rPh sb="0" eb="3">
      <t>ゲンバメイ</t>
    </rPh>
    <phoneticPr fontId="2"/>
  </si>
  <si>
    <t>TD見積.現場名</t>
    <rPh sb="5" eb="8">
      <t>ゲンバメイ</t>
    </rPh>
    <phoneticPr fontId="2"/>
  </si>
  <si>
    <t>支払条件</t>
    <rPh sb="0" eb="4">
      <t>シハライジョウケン</t>
    </rPh>
    <phoneticPr fontId="2"/>
  </si>
  <si>
    <t>TD見積.支払条件</t>
    <rPh sb="5" eb="9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</si>
  <si>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</si>
  <si>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</si>
  <si>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納期表示</t>
    <rPh sb="0" eb="4">
      <t>ノウキヒョウジ</t>
    </rPh>
    <phoneticPr fontId="2"/>
  </si>
  <si>
    <t>TD見積.納期表示</t>
    <rPh sb="5" eb="9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</si>
  <si>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</si>
  <si>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TD見積.納期その他</t>
    <rPh sb="5" eb="7">
      <t>ノウキ</t>
    </rPh>
    <rPh sb="9" eb="10">
      <t>タ</t>
    </rPh>
    <phoneticPr fontId="2"/>
  </si>
  <si>
    <t>見積日出力</t>
    <rPh sb="0" eb="5">
      <t>ミツモリビシュツリョク</t>
    </rPh>
    <phoneticPr fontId="2"/>
  </si>
  <si>
    <t>TD見積.見積日出力</t>
    <rPh sb="5" eb="10">
      <t>ミツモリビシュツリョク</t>
    </rPh>
    <phoneticPr fontId="2"/>
  </si>
  <si>
    <t>有効期限</t>
    <rPh sb="0" eb="4">
      <t>ユウコウキゲン</t>
    </rPh>
    <phoneticPr fontId="2"/>
  </si>
  <si>
    <t>TD見積.有効期限</t>
    <rPh sb="5" eb="9">
      <t>ユウコウキゲン</t>
    </rPh>
    <phoneticPr fontId="2"/>
  </si>
  <si>
    <t>受注区分</t>
    <rPh sb="0" eb="4">
      <t>ジュチュウクブン</t>
    </rPh>
    <phoneticPr fontId="2"/>
  </si>
  <si>
    <t>TD見積.受注区分</t>
    <rPh sb="5" eb="9">
      <t>ジュチュウクブン</t>
    </rPh>
    <phoneticPr fontId="2"/>
  </si>
  <si>
    <t>受注日付</t>
    <rPh sb="0" eb="4">
      <t>ジュチュウヒヅケ</t>
    </rPh>
    <phoneticPr fontId="2"/>
  </si>
  <si>
    <t>TD見積.受注日付</t>
    <rPh sb="5" eb="9">
      <t>ジュチュウヒヅケ</t>
    </rPh>
    <phoneticPr fontId="2"/>
  </si>
  <si>
    <t>大小口区分</t>
    <rPh sb="0" eb="3">
      <t>ダイショウグチ</t>
    </rPh>
    <rPh sb="3" eb="5">
      <t>クブン</t>
    </rPh>
    <phoneticPr fontId="2"/>
  </si>
  <si>
    <t>TD見積.大小口区分</t>
    <rPh sb="5" eb="8">
      <t>ダイショウグチ</t>
    </rPh>
    <rPh sb="8" eb="10">
      <t>クブン</t>
    </rPh>
    <phoneticPr fontId="2"/>
  </si>
  <si>
    <t>出精値引</t>
    <rPh sb="0" eb="4">
      <t>シュッセイネビ</t>
    </rPh>
    <phoneticPr fontId="2"/>
  </si>
  <si>
    <t>TD見積.出精値引</t>
    <rPh sb="5" eb="9">
      <t>シュッセイネビ</t>
    </rPh>
    <phoneticPr fontId="2"/>
  </si>
  <si>
    <t>合計金額</t>
    <rPh sb="0" eb="4">
      <t>ゴウケイキンガク</t>
    </rPh>
    <phoneticPr fontId="2"/>
  </si>
  <si>
    <t>TD見積.合計金額</t>
    <rPh sb="5" eb="9">
      <t>ゴウケイキンガク</t>
    </rPh>
    <phoneticPr fontId="2"/>
  </si>
  <si>
    <t>原価合計</t>
    <phoneticPr fontId="2"/>
  </si>
  <si>
    <t>TD見積.原価合計</t>
    <phoneticPr fontId="2"/>
  </si>
  <si>
    <t>外税額</t>
    <rPh sb="0" eb="1">
      <t>ガイ</t>
    </rPh>
    <rPh sb="1" eb="3">
      <t>ゼイガク</t>
    </rPh>
    <phoneticPr fontId="2"/>
  </si>
  <si>
    <t>TD見積.外税額</t>
    <rPh sb="5" eb="6">
      <t>ガイ</t>
    </rPh>
    <rPh sb="6" eb="8">
      <t>ゼイガク</t>
    </rPh>
    <phoneticPr fontId="2"/>
  </si>
  <si>
    <t>税集計区分</t>
    <rPh sb="0" eb="1">
      <t>ゼイ</t>
    </rPh>
    <rPh sb="1" eb="3">
      <t>シュウケイ</t>
    </rPh>
    <rPh sb="3" eb="5">
      <t>クブン</t>
    </rPh>
    <phoneticPr fontId="2"/>
  </si>
  <si>
    <t>TD見積.税集計区分</t>
    <rPh sb="5" eb="6">
      <t>ゼイ</t>
    </rPh>
    <rPh sb="6" eb="8">
      <t>シュウケイ</t>
    </rPh>
    <rPh sb="8" eb="10">
      <t>クブン</t>
    </rPh>
    <phoneticPr fontId="2"/>
  </si>
  <si>
    <t>売上端数</t>
    <rPh sb="0" eb="2">
      <t>ウリアゲ</t>
    </rPh>
    <rPh sb="2" eb="3">
      <t>ハシ</t>
    </rPh>
    <rPh sb="3" eb="4">
      <t>スウ</t>
    </rPh>
    <phoneticPr fontId="2"/>
  </si>
  <si>
    <t>TD見積.売上端数</t>
    <rPh sb="5" eb="7">
      <t>ウリアゲ</t>
    </rPh>
    <rPh sb="7" eb="8">
      <t>ハシ</t>
    </rPh>
    <rPh sb="8" eb="9">
      <t>スウ</t>
    </rPh>
    <phoneticPr fontId="2"/>
  </si>
  <si>
    <t>消費税端数</t>
    <rPh sb="0" eb="5">
      <t>ショウヒゼイハスウ</t>
    </rPh>
    <phoneticPr fontId="2"/>
  </si>
  <si>
    <t>TD見積.消費税端数</t>
    <rPh sb="5" eb="10">
      <t>ショウヒゼイハスウ</t>
    </rPh>
    <phoneticPr fontId="2"/>
  </si>
  <si>
    <t>見積書出力日</t>
    <rPh sb="0" eb="6">
      <t>ミツモリショシュツリョクビ</t>
    </rPh>
    <phoneticPr fontId="2"/>
  </si>
  <si>
    <t>TD見積.見積書出力日</t>
    <rPh sb="5" eb="11">
      <t>ミツモリショシュツリョクビ</t>
    </rPh>
    <phoneticPr fontId="2"/>
  </si>
  <si>
    <t>注文発行日</t>
    <rPh sb="0" eb="5">
      <t>チュウモンハッコウビ</t>
    </rPh>
    <phoneticPr fontId="2"/>
  </si>
  <si>
    <t>TD見積.注文発行日</t>
    <rPh sb="5" eb="10">
      <t>チュウモンハッコウビ</t>
    </rPh>
    <phoneticPr fontId="2"/>
  </si>
  <si>
    <t>仕入日付</t>
    <rPh sb="0" eb="4">
      <t>シイレヒヅケ</t>
    </rPh>
    <phoneticPr fontId="2"/>
  </si>
  <si>
    <t>TD見積.仕入日付</t>
    <rPh sb="5" eb="9">
      <t>シイレヒヅケ</t>
    </rPh>
    <phoneticPr fontId="2"/>
  </si>
  <si>
    <t>売上日付</t>
    <rPh sb="0" eb="2">
      <t>ウリア</t>
    </rPh>
    <rPh sb="2" eb="4">
      <t>ヒヅケ</t>
    </rPh>
    <phoneticPr fontId="2"/>
  </si>
  <si>
    <t>TD見積.売上日付</t>
    <rPh sb="5" eb="7">
      <t>ウリア</t>
    </rPh>
    <rPh sb="7" eb="9">
      <t>ヒヅケ</t>
    </rPh>
    <phoneticPr fontId="2"/>
  </si>
  <si>
    <t>得意先別見積番号</t>
    <rPh sb="0" eb="3">
      <t>トクイサキ</t>
    </rPh>
    <rPh sb="3" eb="4">
      <t>ベツ</t>
    </rPh>
    <rPh sb="4" eb="8">
      <t>ミツモリバンゴウ</t>
    </rPh>
    <phoneticPr fontId="2"/>
  </si>
  <si>
    <t>TD見積.得意先別見積番号</t>
    <rPh sb="5" eb="8">
      <t>トクイサキ</t>
    </rPh>
    <rPh sb="8" eb="9">
      <t>ベツ</t>
    </rPh>
    <rPh sb="9" eb="13">
      <t>ミツモリバンゴウ</t>
    </rPh>
    <phoneticPr fontId="2"/>
  </si>
  <si>
    <t>初期登録日</t>
    <rPh sb="0" eb="5">
      <t>ショキトウロクビ</t>
    </rPh>
    <phoneticPr fontId="2"/>
  </si>
  <si>
    <t>TD見積.初期登録日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</si>
  <si>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</si>
  <si>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</si>
  <si>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</si>
  <si>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売上納期</t>
    <rPh sb="0" eb="4">
      <t>ウリアゲノウキ</t>
    </rPh>
    <phoneticPr fontId="2"/>
  </si>
  <si>
    <t>TD見積.売上納期</t>
    <rPh sb="5" eb="9">
      <t>ウリアゲノウキ</t>
    </rPh>
    <phoneticPr fontId="2"/>
  </si>
  <si>
    <t>部署CD</t>
    <rPh sb="0" eb="2">
      <t>ブショ</t>
    </rPh>
    <phoneticPr fontId="2"/>
  </si>
  <si>
    <t>TD見積.部署CD</t>
    <rPh sb="5" eb="7">
      <t>ブショ</t>
    </rPh>
    <phoneticPr fontId="2"/>
  </si>
  <si>
    <t>販売先得意先CD</t>
    <rPh sb="0" eb="6">
      <t>ハンバイサキトクイサキ</t>
    </rPh>
    <phoneticPr fontId="2"/>
  </si>
  <si>
    <t>TD見積.販売先得意先CD</t>
    <rPh sb="5" eb="11">
      <t>ハンバイサキトクイサキ</t>
    </rPh>
    <phoneticPr fontId="2"/>
  </si>
  <si>
    <t>販売先得意先名1</t>
    <rPh sb="0" eb="3">
      <t>ハンバイサキ</t>
    </rPh>
    <rPh sb="3" eb="7">
      <t>トクイサキメイ</t>
    </rPh>
    <phoneticPr fontId="2"/>
  </si>
  <si>
    <t>TD見積.販売先得意先名1</t>
    <rPh sb="5" eb="8">
      <t>ハンバイサキ</t>
    </rPh>
    <rPh sb="8" eb="12">
      <t>トクイサキメイ</t>
    </rPh>
    <phoneticPr fontId="2"/>
  </si>
  <si>
    <t>販売先得意先名2</t>
    <rPh sb="0" eb="3">
      <t>ハンバイサキ</t>
    </rPh>
    <rPh sb="3" eb="7">
      <t>トクイサキメイ</t>
    </rPh>
    <phoneticPr fontId="2"/>
  </si>
  <si>
    <t>TD見積.販売先得意先名2</t>
    <rPh sb="5" eb="8">
      <t>ハンバイサキ</t>
    </rPh>
    <rPh sb="8" eb="12">
      <t>トクイサキメイ</t>
    </rPh>
    <phoneticPr fontId="2"/>
  </si>
  <si>
    <t>販売先納得意先CD</t>
    <rPh sb="0" eb="3">
      <t>ハンバイサキ</t>
    </rPh>
    <rPh sb="3" eb="4">
      <t>ノウ</t>
    </rPh>
    <rPh sb="4" eb="7">
      <t>トクイサキ</t>
    </rPh>
    <phoneticPr fontId="2"/>
  </si>
  <si>
    <t>TD見積.販売先納得意先CD</t>
    <rPh sb="5" eb="8">
      <t>ハンバイサキ</t>
    </rPh>
    <rPh sb="8" eb="9">
      <t>ノウ</t>
    </rPh>
    <rPh sb="9" eb="12">
      <t>トクイサキ</t>
    </rPh>
    <phoneticPr fontId="2"/>
  </si>
  <si>
    <t>販売先納入先CD</t>
    <rPh sb="0" eb="6">
      <t>ハンバイサキノウニュウサキ</t>
    </rPh>
    <phoneticPr fontId="2"/>
  </si>
  <si>
    <t>TD見積.販売先納入先CD</t>
    <rPh sb="5" eb="11">
      <t>ハンバイサキノウニュウサキ</t>
    </rPh>
    <phoneticPr fontId="2"/>
  </si>
  <si>
    <t>販売先納入先名1</t>
    <rPh sb="0" eb="3">
      <t>ハンバイサキ</t>
    </rPh>
    <rPh sb="3" eb="6">
      <t>ノウニュウサキ</t>
    </rPh>
    <rPh sb="6" eb="7">
      <t>メイ</t>
    </rPh>
    <phoneticPr fontId="2"/>
  </si>
  <si>
    <t>TD見積.販売先納入先名1</t>
    <rPh sb="5" eb="8">
      <t>ハンバイサキ</t>
    </rPh>
    <rPh sb="8" eb="11">
      <t>ノウニュウサキ</t>
    </rPh>
    <rPh sb="11" eb="12">
      <t>メイ</t>
    </rPh>
    <phoneticPr fontId="2"/>
  </si>
  <si>
    <t>販売先納入先名2</t>
    <rPh sb="0" eb="3">
      <t>ハンバイサキ</t>
    </rPh>
    <rPh sb="3" eb="6">
      <t>ノウニュウサキ</t>
    </rPh>
    <rPh sb="6" eb="7">
      <t>メイ</t>
    </rPh>
    <phoneticPr fontId="2"/>
  </si>
  <si>
    <t>TD見積.販売先納入先名2</t>
    <rPh sb="5" eb="8">
      <t>ハンバイサキ</t>
    </rPh>
    <rPh sb="8" eb="11">
      <t>ノウニュウサキ</t>
    </rPh>
    <rPh sb="11" eb="12">
      <t>メイ</t>
    </rPh>
    <phoneticPr fontId="2"/>
  </si>
  <si>
    <t>社内伝票扱い</t>
    <rPh sb="0" eb="5">
      <t>シャナイデンピョウアツカ</t>
    </rPh>
    <phoneticPr fontId="2"/>
  </si>
  <si>
    <t>TD見積.社内伝票扱い</t>
    <rPh sb="5" eb="10">
      <t>シャナイデンピョウアツカ</t>
    </rPh>
    <phoneticPr fontId="2"/>
  </si>
  <si>
    <t>伝票種類</t>
    <rPh sb="0" eb="4">
      <t>デンヒョウシュルイ</t>
    </rPh>
    <phoneticPr fontId="2"/>
  </si>
  <si>
    <t>TD見積.伝票種類</t>
    <rPh sb="5" eb="9">
      <t>デンヒョウシュルイ</t>
    </rPh>
    <phoneticPr fontId="2"/>
  </si>
  <si>
    <t>物件番号</t>
    <rPh sb="0" eb="4">
      <t>ブッケンバンゴウ</t>
    </rPh>
    <phoneticPr fontId="2"/>
  </si>
  <si>
    <t>TD見積.物件番号</t>
    <rPh sb="5" eb="9">
      <t>ブッケンバンゴウ</t>
    </rPh>
    <phoneticPr fontId="2"/>
  </si>
  <si>
    <t>ウエルシア物件内容CD</t>
    <rPh sb="5" eb="9">
      <t>ブッケンナイヨウ</t>
    </rPh>
    <phoneticPr fontId="2"/>
  </si>
  <si>
    <t>TD見積.ウエルシア物件内容CD</t>
    <rPh sb="10" eb="14">
      <t>ブッケンナイヨウ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</si>
  <si>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</si>
  <si>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</si>
  <si>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ウエルシアリース区分</t>
    <rPh sb="8" eb="10">
      <t>クブン</t>
    </rPh>
    <phoneticPr fontId="2"/>
  </si>
  <si>
    <t>TD見積.ウエルシアリース区分</t>
    <rPh sb="13" eb="15">
      <t>クブン</t>
    </rPh>
    <phoneticPr fontId="2"/>
  </si>
  <si>
    <t>ウエルシア物件区分CD</t>
    <rPh sb="5" eb="9">
      <t>ブッケンクブン</t>
    </rPh>
    <phoneticPr fontId="2"/>
  </si>
  <si>
    <t>TD見積.ウエルシア物件区分CD</t>
    <rPh sb="10" eb="14">
      <t>ブッケンクブン</t>
    </rPh>
    <phoneticPr fontId="2"/>
  </si>
  <si>
    <t>ウエルシア売場面積</t>
    <rPh sb="5" eb="9">
      <t>ウリバメンセキ</t>
    </rPh>
    <phoneticPr fontId="2"/>
  </si>
  <si>
    <t>TD見積.ウエルシア売場面積</t>
    <rPh sb="10" eb="14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</si>
  <si>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</si>
  <si>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TD見積.受付日付</t>
    <rPh sb="5" eb="7">
      <t>ウケツケ</t>
    </rPh>
    <rPh sb="7" eb="9">
      <t>ヒヅケ</t>
    </rPh>
    <phoneticPr fontId="2"/>
  </si>
  <si>
    <t>完工日付</t>
    <rPh sb="0" eb="4">
      <t>カンコウヒヅケ</t>
    </rPh>
    <phoneticPr fontId="2"/>
  </si>
  <si>
    <t>TD見積.完工日付</t>
    <rPh sb="5" eb="9">
      <t>カンコウヒヅケ</t>
    </rPh>
    <phoneticPr fontId="2"/>
  </si>
  <si>
    <t>発注担当者名</t>
    <rPh sb="0" eb="6">
      <t>ハッチュウタントウシャメイ</t>
    </rPh>
    <phoneticPr fontId="2"/>
  </si>
  <si>
    <t>TD見積.発注担当者名</t>
    <rPh sb="5" eb="11">
      <t>ハッチュウタントウシャメイ</t>
    </rPh>
    <phoneticPr fontId="2"/>
  </si>
  <si>
    <t>作業内容</t>
    <rPh sb="0" eb="4">
      <t>サギョウナイヨウ</t>
    </rPh>
    <phoneticPr fontId="2"/>
  </si>
  <si>
    <t>TD見積.作業内容</t>
    <rPh sb="5" eb="9">
      <t>サギョウナイヨウ</t>
    </rPh>
    <phoneticPr fontId="2"/>
  </si>
  <si>
    <t>YKサプライ区分</t>
    <rPh sb="6" eb="8">
      <t>クブン</t>
    </rPh>
    <phoneticPr fontId="2"/>
  </si>
  <si>
    <t>TD見積.YKサプライ区分</t>
    <rPh sb="11" eb="13">
      <t>クブン</t>
    </rPh>
    <phoneticPr fontId="2"/>
  </si>
  <si>
    <t>YK物件区分</t>
    <rPh sb="2" eb="6">
      <t>ブッケンクブン</t>
    </rPh>
    <phoneticPr fontId="2"/>
  </si>
  <si>
    <t>TD見積.YK物件区分</t>
    <rPh sb="7" eb="11">
      <t>ブッケンクブン</t>
    </rPh>
    <phoneticPr fontId="2"/>
  </si>
  <si>
    <t>YK請求区分</t>
    <rPh sb="2" eb="6">
      <t>セイキュウクブン</t>
    </rPh>
    <phoneticPr fontId="2"/>
  </si>
  <si>
    <t>TD見積.YK請求区分</t>
    <rPh sb="7" eb="11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</si>
  <si>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</si>
  <si>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</si>
  <si>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SM内容区分</t>
    <rPh sb="2" eb="6">
      <t>ナイヨウクブン</t>
    </rPh>
    <phoneticPr fontId="2"/>
  </si>
  <si>
    <t>TD見積.SM内容区分</t>
    <rPh sb="7" eb="11">
      <t>ナイヨウクブン</t>
    </rPh>
    <phoneticPr fontId="2"/>
  </si>
  <si>
    <t>クレーム区分</t>
    <rPh sb="4" eb="6">
      <t>クブン</t>
    </rPh>
    <phoneticPr fontId="2"/>
  </si>
  <si>
    <t>TD見積.クレーム区分</t>
    <rPh sb="9" eb="11">
      <t>クブン</t>
    </rPh>
    <phoneticPr fontId="2"/>
  </si>
  <si>
    <t>営業推進部CD</t>
    <rPh sb="0" eb="5">
      <t>エイギョウスイシンブ</t>
    </rPh>
    <phoneticPr fontId="2"/>
  </si>
  <si>
    <t>TD見積.営業推進部CD</t>
    <rPh sb="5" eb="10">
      <t>エイギョウスイシンブ</t>
    </rPh>
    <phoneticPr fontId="2"/>
  </si>
  <si>
    <t>集計CD</t>
    <rPh sb="0" eb="2">
      <t>シュウケイ</t>
    </rPh>
    <phoneticPr fontId="2"/>
  </si>
  <si>
    <t>TD見積.集計CD</t>
    <rPh sb="5" eb="7">
      <t>シュウケイ</t>
    </rPh>
    <phoneticPr fontId="2"/>
  </si>
  <si>
    <t>工事担当CD</t>
    <rPh sb="0" eb="4">
      <t>コウジタントウ</t>
    </rPh>
    <phoneticPr fontId="2"/>
  </si>
  <si>
    <t>TD見積.工事担当CD</t>
    <rPh sb="5" eb="9">
      <t>コウジタントウ</t>
    </rPh>
    <phoneticPr fontId="2"/>
  </si>
  <si>
    <t>B請求管轄区分</t>
    <rPh sb="1" eb="3">
      <t>セイキュウ</t>
    </rPh>
    <rPh sb="3" eb="5">
      <t>カンカツ</t>
    </rPh>
    <rPh sb="5" eb="7">
      <t>クブン</t>
    </rPh>
    <phoneticPr fontId="2"/>
  </si>
  <si>
    <t>TD見積.B請求管轄区分</t>
    <rPh sb="6" eb="8">
      <t>セイキュウ</t>
    </rPh>
    <rPh sb="8" eb="10">
      <t>カンカツ</t>
    </rPh>
    <rPh sb="10" eb="12">
      <t>クブン</t>
    </rPh>
    <phoneticPr fontId="2"/>
  </si>
  <si>
    <t>BtoB番号</t>
    <rPh sb="4" eb="6">
      <t>バンゴウ</t>
    </rPh>
    <phoneticPr fontId="2"/>
  </si>
  <si>
    <t>TD見積.BtoB番号</t>
    <rPh sb="9" eb="11">
      <t>バンゴウ</t>
    </rPh>
    <phoneticPr fontId="2"/>
  </si>
  <si>
    <t>業種区分</t>
    <rPh sb="0" eb="4">
      <t>ギョウシュクブン</t>
    </rPh>
    <phoneticPr fontId="2"/>
  </si>
  <si>
    <t>TD見積.業種区分</t>
    <rPh sb="5" eb="9">
      <t>ギョウシュクブン</t>
    </rPh>
    <phoneticPr fontId="2"/>
  </si>
  <si>
    <t>統合見積番号</t>
    <rPh sb="0" eb="6">
      <t>トウゴウミツモリバンゴウ</t>
    </rPh>
    <phoneticPr fontId="2"/>
  </si>
  <si>
    <t>TD見積.統合見積番号</t>
    <rPh sb="5" eb="11">
      <t>トウゴウミツモリバンゴウ</t>
    </rPh>
    <phoneticPr fontId="2"/>
  </si>
  <si>
    <t>担当者名</t>
    <rPh sb="0" eb="4">
      <t>タントウシャメイ</t>
    </rPh>
    <phoneticPr fontId="2"/>
  </si>
  <si>
    <t>TM担当者.担当者名</t>
    <phoneticPr fontId="2"/>
  </si>
  <si>
    <t>LEFT JOIN  TM担当者 AS TT ON MH.担当者CD = TT.担当者CD</t>
    <phoneticPr fontId="2"/>
  </si>
  <si>
    <t>見積番号 = 画面.見積番号</t>
    <rPh sb="7" eb="9">
      <t>ガメン</t>
    </rPh>
    <phoneticPr fontId="2"/>
  </si>
  <si>
    <t>SQL30</t>
    <phoneticPr fontId="2"/>
  </si>
  <si>
    <t>#WK見積明細.仕分名称</t>
    <rPh sb="8" eb="12">
      <t>シワケメイショウ</t>
    </rPh>
    <phoneticPr fontId="2"/>
  </si>
  <si>
    <t>FROM  #WK見積明細</t>
    <phoneticPr fontId="2"/>
  </si>
  <si>
    <t>GROUP BY 見積番号, 仕分番号, 仕分名称</t>
    <phoneticPr fontId="2"/>
  </si>
  <si>
    <t>ORDER BY 仕分番号 の昇順でソート</t>
    <rPh sb="15" eb="17">
      <t>ショウジュン</t>
    </rPh>
    <phoneticPr fontId="2"/>
  </si>
  <si>
    <t>SQL31</t>
    <phoneticPr fontId="2"/>
  </si>
  <si>
    <t>SELECT MW.*, CN.仕分行数</t>
    <phoneticPr fontId="2"/>
  </si>
  <si>
    <t>見積明細部出力</t>
    <phoneticPr fontId="2"/>
  </si>
  <si>
    <t>仕分行数</t>
    <rPh sb="0" eb="2">
      <t>シワケ</t>
    </rPh>
    <rPh sb="2" eb="4">
      <t>ギョウスウ</t>
    </rPh>
    <phoneticPr fontId="2"/>
  </si>
  <si>
    <t>SQL32.仕分行数</t>
    <rPh sb="6" eb="10">
      <t>シワケギョウスウ</t>
    </rPh>
    <phoneticPr fontId="2"/>
  </si>
  <si>
    <t>FROM #WK見積明細 AS MW</t>
    <phoneticPr fontId="2"/>
  </si>
  <si>
    <t>LEFT JOIN</t>
    <phoneticPr fontId="2"/>
  </si>
  <si>
    <t>(</t>
    <phoneticPr fontId="2"/>
  </si>
  <si>
    <t>SQL32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</si>
  <si>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</si>
  <si>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</si>
  <si>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ORDER BY MW.仕分番号, MW.行番号 の昇順でソート</t>
    <rPh sb="26" eb="28">
      <t>ショウジュン</t>
    </rPh>
    <phoneticPr fontId="2"/>
  </si>
  <si>
    <t>仕分行数</t>
    <phoneticPr fontId="2"/>
  </si>
  <si>
    <t>COUNT(#WK見積明細.行番号) AS 仕分行数</t>
    <phoneticPr fontId="2"/>
  </si>
  <si>
    <t>SQL33</t>
    <phoneticPr fontId="2"/>
  </si>
  <si>
    <t>update</t>
    <phoneticPr fontId="2"/>
  </si>
  <si>
    <t>UPDATE TD見積</t>
    <phoneticPr fontId="2"/>
  </si>
  <si>
    <t>出力日更新</t>
    <phoneticPr fontId="2"/>
  </si>
  <si>
    <t>set</t>
    <phoneticPr fontId="2"/>
  </si>
  <si>
    <t>SET 見積書出力日 = GETDATE()</t>
    <phoneticPr fontId="2"/>
  </si>
  <si>
    <t>GETDATE()は現在日付</t>
    <rPh sb="9" eb="13">
      <t>ゲンザイヒヅケ</t>
    </rPh>
    <phoneticPr fontId="2"/>
  </si>
  <si>
    <t>WHERE 見積番号 = 画面.見積番号</t>
    <rPh sb="13" eb="15">
      <t>ガメン</t>
    </rPh>
    <phoneticPr fontId="2"/>
  </si>
  <si>
    <t>SQL34</t>
    <phoneticPr fontId="2"/>
  </si>
  <si>
    <t>税率ID</t>
    <rPh sb="0" eb="2">
      <t>ゼイリツ</t>
    </rPh>
    <phoneticPr fontId="2"/>
  </si>
  <si>
    <t>TM税率.税率ID</t>
    <rPh sb="5" eb="7">
      <t>ゼイリツ</t>
    </rPh>
    <phoneticPr fontId="2"/>
  </si>
  <si>
    <t>SELECT *</t>
    <phoneticPr fontId="2"/>
  </si>
  <si>
    <t>税率</t>
    <rPh sb="0" eb="2">
      <t>ゼイリツ</t>
    </rPh>
    <phoneticPr fontId="2"/>
  </si>
  <si>
    <t>TM税率.税率</t>
    <rPh sb="5" eb="7">
      <t>ゼイリツ</t>
    </rPh>
    <phoneticPr fontId="2"/>
  </si>
  <si>
    <t>切替日付</t>
    <rPh sb="0" eb="2">
      <t>キリカエ</t>
    </rPh>
    <rPh sb="2" eb="4">
      <t>ヒヅケ</t>
    </rPh>
    <phoneticPr fontId="2"/>
  </si>
  <si>
    <t>TM税率.切替日付</t>
    <rPh sb="5" eb="7">
      <t>キリカエ</t>
    </rPh>
    <rPh sb="7" eb="9">
      <t>ヒヅケ</t>
    </rPh>
    <phoneticPr fontId="2"/>
  </si>
  <si>
    <t>旧税率</t>
    <rPh sb="0" eb="3">
      <t>キュウゼイリツ</t>
    </rPh>
    <phoneticPr fontId="2"/>
  </si>
  <si>
    <t>TM税率.旧税率</t>
    <rPh sb="5" eb="8">
      <t>キュウゼイリツ</t>
    </rPh>
    <phoneticPr fontId="2"/>
  </si>
  <si>
    <t>TM税率.初期登録日</t>
    <rPh sb="5" eb="10">
      <t>ショキトウロクビ</t>
    </rPh>
    <phoneticPr fontId="2"/>
  </si>
  <si>
    <t>TM税率.登録変更日</t>
    <rPh sb="5" eb="10">
      <t>トウロクヘンコウビ</t>
    </rPh>
    <phoneticPr fontId="2"/>
  </si>
  <si>
    <t>FROM TM税率</t>
    <phoneticPr fontId="2"/>
  </si>
  <si>
    <t>WHERE 税率ID = 'ZR'</t>
    <phoneticPr fontId="2"/>
  </si>
  <si>
    <t>SQL35</t>
    <phoneticPr fontId="2"/>
  </si>
  <si>
    <t>担当者ID</t>
    <rPh sb="0" eb="3">
      <t>タントウシャ</t>
    </rPh>
    <phoneticPr fontId="2"/>
  </si>
  <si>
    <t>TM担当者.担当者ID</t>
    <rPh sb="6" eb="9">
      <t>タントウシャ</t>
    </rPh>
    <phoneticPr fontId="2"/>
  </si>
  <si>
    <t>TM担当者.担当者名</t>
    <rPh sb="6" eb="10">
      <t>タントウシャメイ</t>
    </rPh>
    <phoneticPr fontId="2"/>
  </si>
  <si>
    <t>TM担当者.初期登録日</t>
    <rPh sb="6" eb="11">
      <t>ショキトウロクビ</t>
    </rPh>
    <phoneticPr fontId="2"/>
  </si>
  <si>
    <t>TM担当者.登録変更日</t>
    <rPh sb="6" eb="11">
      <t>トウロクヘンコウビ</t>
    </rPh>
    <phoneticPr fontId="2"/>
  </si>
  <si>
    <t>順序</t>
    <rPh sb="0" eb="2">
      <t>ジュンジョ</t>
    </rPh>
    <phoneticPr fontId="2"/>
  </si>
  <si>
    <t>TM担当者.順序</t>
    <rPh sb="6" eb="8">
      <t>ジュンジョ</t>
    </rPh>
    <phoneticPr fontId="2"/>
  </si>
  <si>
    <t>TM担当者.部署CD</t>
    <rPh sb="6" eb="8">
      <t>ブショ</t>
    </rPh>
    <phoneticPr fontId="2"/>
  </si>
  <si>
    <t>メールアドレス</t>
    <phoneticPr fontId="2"/>
  </si>
  <si>
    <t>TM担当者.メールアドレス</t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</si>
  <si>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</si>
  <si>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TM担当者.問い合わせ先</t>
    <rPh sb="6" eb="7">
      <t>ト</t>
    </rPh>
    <rPh sb="8" eb="9">
      <t>ア</t>
    </rPh>
    <rPh sb="11" eb="12">
      <t>サキ</t>
    </rPh>
    <phoneticPr fontId="2"/>
  </si>
  <si>
    <t>FROM TM担当者</t>
    <phoneticPr fontId="2"/>
  </si>
  <si>
    <t>WHERE 担当者CD = 画面.担当者CD</t>
    <rPh sb="14" eb="16">
      <t>ガメン</t>
    </rPh>
    <rPh sb="17" eb="20">
      <t>タントウシャ</t>
    </rPh>
    <phoneticPr fontId="2"/>
  </si>
  <si>
    <t>[SQL29.見積番号]</t>
    <rPh sb="7" eb="11">
      <t>ミツモリバンゴウ</t>
    </rPh>
    <phoneticPr fontId="1"/>
  </si>
  <si>
    <t>"No." + [SQL29.見積番号]</t>
    <rPh sb="15" eb="19">
      <t>ミツモリバンゴウ</t>
    </rPh>
    <phoneticPr fontId="1"/>
  </si>
  <si>
    <t>[SQL29.見積日出力],[SQL29.見積日付]</t>
    <rPh sb="7" eb="12">
      <t>ミツモリビシュツリョク</t>
    </rPh>
    <rPh sb="21" eb="25">
      <t>ミツモリヒヅケ</t>
    </rPh>
    <phoneticPr fontId="1"/>
  </si>
  <si>
    <t>[SQL29.見積日出力]が1の場合[SQL29.見積日付]を表示</t>
    <rPh sb="7" eb="10">
      <t>ミツモリビ</t>
    </rPh>
    <rPh sb="10" eb="12">
      <t>シュツリョク</t>
    </rPh>
    <rPh sb="16" eb="18">
      <t>バアイ</t>
    </rPh>
    <rPh sb="25" eb="29">
      <t>ミツモリヒヅケ</t>
    </rPh>
    <rPh sb="31" eb="33">
      <t>ヒョウジ</t>
    </rPh>
    <phoneticPr fontId="1"/>
  </si>
  <si>
    <t>[SQL29.得意先名1],[SQL29.得意先名2]</t>
    <rPh sb="7" eb="10">
      <t>トクイサキ</t>
    </rPh>
    <rPh sb="10" eb="11">
      <t>メイ</t>
    </rPh>
    <rPh sb="21" eb="24">
      <t>トクイサキ</t>
    </rPh>
    <rPh sb="24" eb="25">
      <t>メイ</t>
    </rPh>
    <phoneticPr fontId="1"/>
  </si>
  <si>
    <t>[SQL29.得意先名2]が空の場合は何も表示しない、空でない場合は[SQL29.得意先名1]を表示。</t>
    <rPh sb="7" eb="10">
      <t>トクイサキ</t>
    </rPh>
    <rPh sb="10" eb="11">
      <t>メイ</t>
    </rPh>
    <rPh sb="14" eb="15">
      <t>カラ</t>
    </rPh>
    <rPh sb="16" eb="18">
      <t>バアイ</t>
    </rPh>
    <rPh sb="19" eb="20">
      <t>ナニ</t>
    </rPh>
    <rPh sb="21" eb="23">
      <t>ヒョウジ</t>
    </rPh>
    <rPh sb="27" eb="28">
      <t>カラ</t>
    </rPh>
    <rPh sb="31" eb="33">
      <t>バアイ</t>
    </rPh>
    <rPh sb="41" eb="44">
      <t>トクイサキ</t>
    </rPh>
    <rPh sb="44" eb="45">
      <t>メイ</t>
    </rPh>
    <rPh sb="48" eb="50">
      <t>ヒョウジ</t>
    </rPh>
    <phoneticPr fontId="1"/>
  </si>
  <si>
    <t>[SQL29.得意先名1],[SQL29.得意先名2]</t>
    <phoneticPr fontId="1"/>
  </si>
  <si>
    <t>[SQL29.得意先名2]が空の場合は[SQL29.得意先名1]、空でない場合は[SQL29.得意先名2]を表示。</t>
    <rPh sb="7" eb="10">
      <t>トクイサキ</t>
    </rPh>
    <rPh sb="10" eb="11">
      <t>メイ</t>
    </rPh>
    <rPh sb="14" eb="15">
      <t>カラ</t>
    </rPh>
    <rPh sb="16" eb="18">
      <t>バアイ</t>
    </rPh>
    <rPh sb="26" eb="29">
      <t>トクイサキ</t>
    </rPh>
    <rPh sb="29" eb="30">
      <t>メイ</t>
    </rPh>
    <rPh sb="33" eb="34">
      <t>カラ</t>
    </rPh>
    <rPh sb="37" eb="39">
      <t>バアイ</t>
    </rPh>
    <phoneticPr fontId="1"/>
  </si>
  <si>
    <t>御見積金額</t>
    <rPh sb="0" eb="5">
      <t>オミツモリキンガク</t>
    </rPh>
    <phoneticPr fontId="1"/>
  </si>
  <si>
    <t>[SQL29.合計金額],[SQL29.出精値引]</t>
    <rPh sb="7" eb="11">
      <t>ゴウケイキンガク</t>
    </rPh>
    <rPh sb="20" eb="24">
      <t>シュッセイネビキ</t>
    </rPh>
    <phoneticPr fontId="1"/>
  </si>
  <si>
    <t>[SQL29.合計金額]と[SQL29.出精値引]の合計。</t>
    <rPh sb="26" eb="28">
      <t>ゴウケイ</t>
    </rPh>
    <phoneticPr fontId="1"/>
  </si>
  <si>
    <t>[SQL29.見積日付],[SQL34.切替日付],[SQL34.税率],[SQL34.旧税率]</t>
    <phoneticPr fontId="1"/>
  </si>
  <si>
    <t>[SQL29.見積日付] &gt;= [SQL34.切替日付]の場合は[SQL34.税率]、
[SQL29.見積日付] &lt; [SQL34.切替日付]の場合は[SQL34.旧税率]を[税率]とする。
"消費税等(" + [税率] + "%)"で表示。</t>
    <rPh sb="97" eb="101">
      <t>ショウヒゼイトウ</t>
    </rPh>
    <rPh sb="107" eb="109">
      <t>ゼイリツ</t>
    </rPh>
    <rPh sb="118" eb="120">
      <t>ヒョウジ</t>
    </rPh>
    <phoneticPr fontId="1"/>
  </si>
  <si>
    <t>cZeiritsu.GetbyDate</t>
    <phoneticPr fontId="1"/>
  </si>
  <si>
    <t>[SQL29.外税額]</t>
    <rPh sb="7" eb="10">
      <t>ガイゼイガク</t>
    </rPh>
    <phoneticPr fontId="1"/>
  </si>
  <si>
    <t>[5.御見積金額],[7.消費税額]</t>
    <rPh sb="3" eb="6">
      <t>オミツモリ</t>
    </rPh>
    <rPh sb="6" eb="8">
      <t>キンガク</t>
    </rPh>
    <rPh sb="13" eb="16">
      <t>ショウヒゼイ</t>
    </rPh>
    <rPh sb="16" eb="17">
      <t>ガク</t>
    </rPh>
    <phoneticPr fontId="1"/>
  </si>
  <si>
    <t>[5.御見積金額]と[7.消費税額]の合計。</t>
    <rPh sb="3" eb="8">
      <t>オミツモリキンガク</t>
    </rPh>
    <rPh sb="13" eb="17">
      <t>ショウヒゼイガク</t>
    </rPh>
    <rPh sb="19" eb="21">
      <t>ゴウケイ</t>
    </rPh>
    <phoneticPr fontId="1"/>
  </si>
  <si>
    <t>[SQL29.見積件名]</t>
    <rPh sb="7" eb="11">
      <t>ミツモリケンメイ</t>
    </rPh>
    <phoneticPr fontId="1"/>
  </si>
  <si>
    <t>[SQL29.納期表示],[SQL29.納期S],[SQL29.納期E],[SQL29.納期その他]</t>
    <rPh sb="7" eb="11">
      <t>ノウキヒョウジ</t>
    </rPh>
    <rPh sb="20" eb="22">
      <t>ノウキ</t>
    </rPh>
    <rPh sb="32" eb="34">
      <t>ノウキ</t>
    </rPh>
    <rPh sb="44" eb="46">
      <t>ノウキ</t>
    </rPh>
    <rPh sb="48" eb="49">
      <t>タ</t>
    </rPh>
    <phoneticPr fontId="1"/>
  </si>
  <si>
    <t>[SQL29.納期表示]が0のとき[SQL29.納期S]と[SQL29.納期E]がどちらもnullでない場合は[SQL29.納期S] + "～" + [SQL29.納期E]を表示、どちらか片方がnullでない場合はnullでないものを表示、どちらもnullの場合は何も表示しない。
[SQL29.納期表示]が1の場合は"別途御打ち合せによる"、2の場合は[SQL29.納期その他]を表示。</t>
    <rPh sb="7" eb="11">
      <t>ノウキヒョウジ</t>
    </rPh>
    <rPh sb="24" eb="26">
      <t>ノウキ</t>
    </rPh>
    <rPh sb="36" eb="38">
      <t>ノウキ</t>
    </rPh>
    <rPh sb="52" eb="54">
      <t>バアイ</t>
    </rPh>
    <rPh sb="62" eb="64">
      <t>ノウキ</t>
    </rPh>
    <rPh sb="82" eb="84">
      <t>ノウキ</t>
    </rPh>
    <rPh sb="87" eb="89">
      <t>ヒョウジ</t>
    </rPh>
    <rPh sb="94" eb="96">
      <t>カタホウ</t>
    </rPh>
    <rPh sb="104" eb="106">
      <t>バアイ</t>
    </rPh>
    <rPh sb="117" eb="119">
      <t>ヒョウジ</t>
    </rPh>
    <rPh sb="129" eb="131">
      <t>バアイ</t>
    </rPh>
    <rPh sb="132" eb="133">
      <t>ナニ</t>
    </rPh>
    <rPh sb="134" eb="136">
      <t>ヒョウジ</t>
    </rPh>
    <rPh sb="148" eb="152">
      <t>ノウキヒョウジ</t>
    </rPh>
    <rPh sb="156" eb="158">
      <t>バアイ</t>
    </rPh>
    <rPh sb="174" eb="176">
      <t>バアイ</t>
    </rPh>
    <rPh sb="184" eb="186">
      <t>ノウキ</t>
    </rPh>
    <rPh sb="188" eb="189">
      <t>タ</t>
    </rPh>
    <rPh sb="191" eb="193">
      <t>ヒョウジ</t>
    </rPh>
    <phoneticPr fontId="1"/>
  </si>
  <si>
    <t>[SQL29.支払条件],[SQL29.支払条件その他]</t>
    <rPh sb="7" eb="11">
      <t>シハライジョウケン</t>
    </rPh>
    <rPh sb="20" eb="24">
      <t>シハライジョウケン</t>
    </rPh>
    <rPh sb="26" eb="27">
      <t>タ</t>
    </rPh>
    <phoneticPr fontId="1"/>
  </si>
  <si>
    <t>[SQL29.支払条件]が0の場合は"別途御打ち合せによる"、1の場合は[SQL29.支払条件その他]</t>
    <rPh sb="7" eb="11">
      <t>シハライジョウケン</t>
    </rPh>
    <rPh sb="15" eb="17">
      <t>バアイ</t>
    </rPh>
    <rPh sb="19" eb="21">
      <t>ベット</t>
    </rPh>
    <rPh sb="21" eb="23">
      <t>オウ</t>
    </rPh>
    <rPh sb="24" eb="25">
      <t>アワ</t>
    </rPh>
    <rPh sb="33" eb="35">
      <t>バアイ</t>
    </rPh>
    <rPh sb="43" eb="47">
      <t>シハライジョウケン</t>
    </rPh>
    <rPh sb="49" eb="50">
      <t>タ</t>
    </rPh>
    <phoneticPr fontId="1"/>
  </si>
  <si>
    <t>[SQL29.備考]</t>
    <rPh sb="7" eb="9">
      <t>ビコウ</t>
    </rPh>
    <phoneticPr fontId="1"/>
  </si>
  <si>
    <t>[SQL35.問い合わせ先]</t>
    <rPh sb="7" eb="8">
      <t>ト</t>
    </rPh>
    <rPh sb="9" eb="10">
      <t>ア</t>
    </rPh>
    <rPh sb="12" eb="13">
      <t>サキ</t>
    </rPh>
    <phoneticPr fontId="1"/>
  </si>
  <si>
    <t>空</t>
    <rPh sb="0" eb="1">
      <t>カラ</t>
    </rPh>
    <phoneticPr fontId="1"/>
  </si>
  <si>
    <t>cTanto.GetbyID</t>
    <phoneticPr fontId="1"/>
  </si>
  <si>
    <t>SEC</t>
    <phoneticPr fontId="1"/>
  </si>
  <si>
    <t>[SQL31.仕分番号]</t>
    <rPh sb="7" eb="9">
      <t>シワケ</t>
    </rPh>
    <rPh sb="9" eb="11">
      <t>バンゴウ</t>
    </rPh>
    <phoneticPr fontId="1"/>
  </si>
  <si>
    <t>[SQL31.仕分番号]のデータ型をVARCHAR(2)に変換し、"0"と結合した後に末尾2文字を取得する</t>
    <rPh sb="7" eb="9">
      <t>シワケ</t>
    </rPh>
    <rPh sb="9" eb="11">
      <t>バンゴウ</t>
    </rPh>
    <phoneticPr fontId="1"/>
  </si>
  <si>
    <t>[SQL31.見積区分],[SQL31.漢字名称]</t>
    <rPh sb="7" eb="11">
      <t>ミツモリクブン</t>
    </rPh>
    <rPh sb="20" eb="24">
      <t>カンジメイショウ</t>
    </rPh>
    <phoneticPr fontId="1"/>
  </si>
  <si>
    <t>[SQL31.見積区分]が"C"か"A"か"S"の場合は半角スペース2つ + [SQL31.漢字名称]、それ以外の場合は[SQL31.漢字名称]のみ表示</t>
    <phoneticPr fontId="1"/>
  </si>
  <si>
    <t>[SQL31.W]</t>
    <phoneticPr fontId="1"/>
  </si>
  <si>
    <t>[SQL31.D],[SQL31.D1],[SQL31.D2]</t>
    <phoneticPr fontId="1"/>
  </si>
  <si>
    <t>[SQL31.D]が0でない場合は[SQL31.D]を表示。
[SQL31.D]が0で[SQL31.D1]と[SQL31.D2]が0でない場合は[SQL31.D1] + "/" [SQL31.D2]を表示。すべて0の場合は何も表示しない。</t>
    <phoneticPr fontId="1"/>
  </si>
  <si>
    <t>[SQL31.H],[SQL31.H1],[SQL31.H2]</t>
    <phoneticPr fontId="1"/>
  </si>
  <si>
    <t>[SQL31.H]が0でない場合は[SQL31.H]を表示。
[SQL31.H]が0で[SQL31.H1]と[SQL31.H2]が0でない場合は[SQL31.H1] + "/" [SQL31.H2]を表示。すべて0の場合は何も表示しない。</t>
    <phoneticPr fontId="1"/>
  </si>
  <si>
    <t>[SQL31.数量]</t>
    <phoneticPr fontId="1"/>
  </si>
  <si>
    <t>[33.数量_元]</t>
    <rPh sb="4" eb="6">
      <t>スウリョウ</t>
    </rPh>
    <rPh sb="7" eb="8">
      <t>モト</t>
    </rPh>
    <phoneticPr fontId="1"/>
  </si>
  <si>
    <t>[33.数量_元]が整数の場合は1の位まで表示、小数の場合は小数点第2位まで表示</t>
    <phoneticPr fontId="1"/>
  </si>
  <si>
    <t>[SQL31.単位名]</t>
    <rPh sb="7" eb="10">
      <t>タンイメイ</t>
    </rPh>
    <phoneticPr fontId="1"/>
  </si>
  <si>
    <t>[画面.書式区分],[SQL31.売上単価]</t>
    <rPh sb="1" eb="3">
      <t>ガメン</t>
    </rPh>
    <rPh sb="4" eb="6">
      <t>ショシキ</t>
    </rPh>
    <rPh sb="17" eb="21">
      <t>ウリアゲタンカ</t>
    </rPh>
    <phoneticPr fontId="1"/>
  </si>
  <si>
    <t>[画面.書式区分]が1以外の場合は[SQL31.売上単価]を表示、それ以外の場合は何も表示しない。</t>
    <rPh sb="1" eb="3">
      <t>ガメン</t>
    </rPh>
    <rPh sb="4" eb="6">
      <t>ショシキ</t>
    </rPh>
    <rPh sb="11" eb="13">
      <t>イガイ</t>
    </rPh>
    <rPh sb="14" eb="16">
      <t>バアイ</t>
    </rPh>
    <rPh sb="24" eb="26">
      <t>ウリアゲ</t>
    </rPh>
    <rPh sb="26" eb="28">
      <t>タンカ</t>
    </rPh>
    <rPh sb="30" eb="32">
      <t>ヒョウジ</t>
    </rPh>
    <rPh sb="35" eb="37">
      <t>イガイ</t>
    </rPh>
    <rPh sb="38" eb="40">
      <t>バアイ</t>
    </rPh>
    <rPh sb="41" eb="42">
      <t>ナニ</t>
    </rPh>
    <rPh sb="43" eb="45">
      <t>ヒョウジ</t>
    </rPh>
    <phoneticPr fontId="1"/>
  </si>
  <si>
    <t>[36.単価_元]</t>
    <rPh sb="4" eb="6">
      <t>タンカ</t>
    </rPh>
    <rPh sb="7" eb="8">
      <t>モト</t>
    </rPh>
    <phoneticPr fontId="1"/>
  </si>
  <si>
    <t>[32.単価_元]が整数の場合は1の位まで表示、小数の場合は小数点第2位まで表示</t>
    <rPh sb="4" eb="6">
      <t>タンカ</t>
    </rPh>
    <rPh sb="7" eb="8">
      <t>モト</t>
    </rPh>
    <phoneticPr fontId="1"/>
  </si>
  <si>
    <t>[SQL31.売上端数],[SQL31.数量],[SQL31.売上単価][画面.書式区分],[SQL31.見積区分]</t>
    <rPh sb="37" eb="39">
      <t>ガメン</t>
    </rPh>
    <rPh sb="40" eb="42">
      <t>ショシキ</t>
    </rPh>
    <rPh sb="53" eb="57">
      <t>ミツモリクブン</t>
    </rPh>
    <phoneticPr fontId="1"/>
  </si>
  <si>
    <t>[SQL31.数量]と[SQL31.売上単価]をかけ、[SQL31.売上端数]が0の場合は四捨五入、1の場合は切り上げ、2の場合は切り捨てを行ったものを[売上金額]とする。
[画面.書式区分]が1以外かつ[SQL31.見積区分]が"A","C","S"のいずれにも該当しない場合は[売上金額]を表示。
[画面.書式区分]が1以外かつ[SQL31.見積区分]が"A","C","S"のいずれかに該当する場合は[売上金額]が0であれば何も表示しない、0でなければ[売上金額]を表示。
上記以外の場合は何も表示しない。</t>
    <rPh sb="88" eb="90">
      <t>ガメン</t>
    </rPh>
    <rPh sb="91" eb="93">
      <t>ショシキ</t>
    </rPh>
    <rPh sb="98" eb="100">
      <t>イガイ</t>
    </rPh>
    <rPh sb="109" eb="113">
      <t>ミツモリクブン</t>
    </rPh>
    <rPh sb="152" eb="154">
      <t>ガメン</t>
    </rPh>
    <rPh sb="155" eb="157">
      <t>ショシキ</t>
    </rPh>
    <rPh sb="162" eb="164">
      <t>イガイ</t>
    </rPh>
    <rPh sb="173" eb="177">
      <t>ミツモリクブン</t>
    </rPh>
    <rPh sb="196" eb="198">
      <t>ガイトウ</t>
    </rPh>
    <rPh sb="200" eb="202">
      <t>バアイ</t>
    </rPh>
    <rPh sb="204" eb="208">
      <t>ウリアゲキンガク</t>
    </rPh>
    <rPh sb="215" eb="216">
      <t>ナニ</t>
    </rPh>
    <rPh sb="217" eb="219">
      <t>ヒョウジ</t>
    </rPh>
    <rPh sb="230" eb="234">
      <t>ウリアゲキンガク</t>
    </rPh>
    <rPh sb="236" eb="238">
      <t>ヒョウジ</t>
    </rPh>
    <rPh sb="240" eb="244">
      <t>ジョウキイガイ</t>
    </rPh>
    <rPh sb="245" eb="247">
      <t>バアイ</t>
    </rPh>
    <rPh sb="248" eb="249">
      <t>ナニ</t>
    </rPh>
    <rPh sb="250" eb="252">
      <t>ヒョウジ</t>
    </rPh>
    <phoneticPr fontId="1"/>
  </si>
  <si>
    <t>[[SQL31.仕分名称]</t>
    <rPh sb="8" eb="10">
      <t>シワケ</t>
    </rPh>
    <rPh sb="10" eb="12">
      <t>メイショウ</t>
    </rPh>
    <phoneticPr fontId="1"/>
  </si>
  <si>
    <t>17行目でまだデータが存在する場合、"次ページへ"を表示、
データ最終行の場合は"【合　　計】"を表示、
最終行ではなくページの終わりの場合は"【" &amp; [SQL31.名称] &amp; "小計】"を表示。</t>
    <rPh sb="33" eb="36">
      <t>サイシュウギョウ</t>
    </rPh>
    <rPh sb="37" eb="39">
      <t>バアイ</t>
    </rPh>
    <rPh sb="49" eb="51">
      <t>ヒョウジ</t>
    </rPh>
    <phoneticPr fontId="1"/>
  </si>
  <si>
    <t>[38.金額]</t>
    <rPh sb="4" eb="6">
      <t>キンガク</t>
    </rPh>
    <phoneticPr fontId="1"/>
  </si>
  <si>
    <t>[38.金額]の合計</t>
    <rPh sb="4" eb="6">
      <t>キンガク</t>
    </rPh>
    <rPh sb="8" eb="10">
      <t>ゴウケイ</t>
    </rPh>
    <phoneticPr fontId="1"/>
  </si>
  <si>
    <t>[[SQL31.仕分番号.仕分名称]</t>
    <rPh sb="13" eb="15">
      <t>シワ</t>
    </rPh>
    <rPh sb="15" eb="17">
      <t>メイショウ</t>
    </rPh>
    <phoneticPr fontId="1"/>
  </si>
  <si>
    <t>[TM会社.コールセンター番号]</t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</si>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</sst>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&quot;¥&quot;#,##0\-;&quot;¥&quot;\-#,##0\-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38" fontId="11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2" fillId="0" borderId="1" xfId="0" applyFont="1" applyBorder="1">
      <alignment vertical="center"/>
    </xf>
    <xf numFmtId="49" fontId="13" fillId="0" borderId="65" xfId="1" applyNumberFormat="1" applyFont="1" applyBorder="1" applyAlignment="1"/>
    <xf numFmtId="49" fontId="14" fillId="0" borderId="65" xfId="1" applyNumberFormat="1" applyFont="1" applyBorder="1" applyAlignment="1">
      <alignment horizontal="centerContinuous"/>
    </xf>
    <xf numFmtId="0" fontId="14" fillId="0" borderId="65" xfId="1" applyFont="1" applyBorder="1" applyAlignment="1">
      <alignment horizontal="centerContinuous"/>
    </xf>
    <xf numFmtId="0" fontId="15" fillId="0" borderId="65" xfId="1" applyFont="1" applyBorder="1" applyAlignment="1"/>
    <xf numFmtId="0" fontId="4" fillId="0" borderId="0" xfId="1"/>
    <xf numFmtId="0" fontId="17" fillId="0" borderId="0" xfId="1" applyFont="1" applyAlignment="1"/>
    <xf numFmtId="0" fontId="18" fillId="0" borderId="0" xfId="1" applyFont="1" applyBorder="1" applyAlignment="1">
      <alignment horizontal="left"/>
    </xf>
    <xf numFmtId="0" fontId="19" fillId="0" borderId="0" xfId="1" applyFont="1"/>
    <xf numFmtId="0" fontId="13" fillId="0" borderId="0" xfId="1" applyFont="1"/>
    <xf numFmtId="0" fontId="16" fillId="0" borderId="65" xfId="1" applyFont="1" applyBorder="1"/>
    <xf numFmtId="0" fontId="18" fillId="0" borderId="65" xfId="1" applyFont="1" applyBorder="1"/>
    <xf numFmtId="0" fontId="14" fillId="0" borderId="65" xfId="1" applyFont="1" applyBorder="1"/>
    <xf numFmtId="0" fontId="14" fillId="0" borderId="0" xfId="1" applyFont="1"/>
    <xf numFmtId="0" fontId="14" fillId="0" borderId="0" xfId="1" applyFont="1" applyBorder="1"/>
    <xf numFmtId="0" fontId="14" fillId="0" borderId="0" xfId="1" applyFont="1" applyBorder="1" applyAlignment="1">
      <alignment shrinkToFit="1"/>
    </xf>
    <xf numFmtId="0" fontId="20" fillId="0" borderId="0" xfId="1" applyFont="1"/>
    <xf numFmtId="0" fontId="14" fillId="0" borderId="6" xfId="1" applyFont="1" applyBorder="1"/>
    <xf numFmtId="0" fontId="14" fillId="0" borderId="6" xfId="1" applyFont="1" applyBorder="1" applyAlignment="1">
      <alignment shrinkToFit="1"/>
    </xf>
    <xf numFmtId="0" fontId="0" fillId="0" borderId="3" xfId="0" applyBorder="1">
      <alignment vertical="center"/>
    </xf>
    <xf numFmtId="0" fontId="22" fillId="0" borderId="65" xfId="1" applyFont="1" applyBorder="1" applyAlignment="1">
      <alignment vertical="center"/>
    </xf>
    <xf numFmtId="0" fontId="14" fillId="0" borderId="0" xfId="1" applyFont="1" applyAlignment="1">
      <alignment horizontal="right"/>
    </xf>
    <xf numFmtId="0" fontId="13" fillId="6" borderId="1" xfId="1" applyFont="1" applyFill="1" applyBorder="1" applyAlignment="1">
      <alignment horizontal="center" vertical="center"/>
    </xf>
    <xf numFmtId="0" fontId="13" fillId="0" borderId="1" xfId="1" applyFont="1" applyBorder="1"/>
    <xf numFmtId="0" fontId="13" fillId="0" borderId="1" xfId="1" applyNumberFormat="1" applyFont="1" applyBorder="1"/>
    <xf numFmtId="49" fontId="13" fillId="0" borderId="1" xfId="1" applyNumberFormat="1" applyFont="1" applyBorder="1" applyAlignment="1">
      <alignment horizontal="right"/>
    </xf>
    <xf numFmtId="38" fontId="13" fillId="0" borderId="1" xfId="2" applyFont="1" applyBorder="1" applyAlignment="1">
      <alignment horizontal="right"/>
    </xf>
    <xf numFmtId="38" fontId="13" fillId="0" borderId="1" xfId="2" applyFont="1" applyBorder="1" applyAlignment="1"/>
    <xf numFmtId="0" fontId="14" fillId="0" borderId="0" xfId="1" applyFont="1" applyBorder="1" applyAlignment="1">
      <alignment horizontal="left" shrinkToFit="1"/>
    </xf>
    <xf numFmtId="0" fontId="13" fillId="0" borderId="0" xfId="1" applyFont="1" applyBorder="1" applyAlignment="1">
      <alignment horizontal="center" shrinkToFit="1"/>
    </xf>
    <xf numFmtId="0" fontId="23" fillId="2" borderId="2" xfId="0" applyFont="1" applyFill="1" applyBorder="1">
      <alignment vertical="center"/>
    </xf>
    <xf numFmtId="0" fontId="3" fillId="2" borderId="43" xfId="0" quotePrefix="1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2" xfId="0" applyFont="1" applyFill="1" applyBorder="1" applyAlignment="1">
      <alignment vertical="center"/>
    </xf>
    <xf numFmtId="0" fontId="3" fillId="2" borderId="56" xfId="0" quotePrefix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13" fillId="0" borderId="5" xfId="1" applyFont="1" applyBorder="1" applyAlignment="1">
      <alignment horizontal="center"/>
    </xf>
    <xf numFmtId="0" fontId="13" fillId="0" borderId="6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14" fillId="0" borderId="65" xfId="1" applyFont="1" applyBorder="1" applyAlignment="1">
      <alignment horizontal="left" shrinkToFit="1"/>
    </xf>
    <xf numFmtId="0" fontId="16" fillId="0" borderId="0" xfId="1" applyFont="1" applyAlignment="1"/>
    <xf numFmtId="0" fontId="14" fillId="0" borderId="0" xfId="1" applyFont="1" applyAlignment="1"/>
    <xf numFmtId="0" fontId="16" fillId="0" borderId="0" xfId="1" applyFont="1" applyBorder="1" applyAlignment="1">
      <alignment shrinkToFit="1"/>
    </xf>
    <xf numFmtId="0" fontId="14" fillId="0" borderId="0" xfId="1" applyFont="1" applyBorder="1" applyAlignment="1">
      <alignment shrinkToFit="1"/>
    </xf>
    <xf numFmtId="177" fontId="18" fillId="0" borderId="65" xfId="1" applyNumberFormat="1" applyFont="1" applyBorder="1" applyAlignment="1">
      <alignment horizontal="right"/>
    </xf>
    <xf numFmtId="177" fontId="17" fillId="0" borderId="65" xfId="1" applyNumberFormat="1" applyFont="1" applyBorder="1" applyAlignment="1"/>
    <xf numFmtId="0" fontId="13" fillId="0" borderId="5" xfId="1" applyFont="1" applyBorder="1" applyAlignment="1">
      <alignment horizontal="left"/>
    </xf>
    <xf numFmtId="0" fontId="13" fillId="0" borderId="6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4" fillId="0" borderId="6" xfId="1" applyFont="1" applyBorder="1" applyAlignment="1">
      <alignment shrinkToFit="1"/>
    </xf>
    <xf numFmtId="0" fontId="13" fillId="0" borderId="65" xfId="1" applyFont="1" applyBorder="1" applyAlignment="1">
      <alignment horizontal="center" shrinkToFit="1"/>
    </xf>
    <xf numFmtId="0" fontId="13" fillId="6" borderId="5" xfId="1" applyFont="1" applyFill="1" applyBorder="1" applyAlignment="1">
      <alignment horizontal="center" vertical="center"/>
    </xf>
    <xf numFmtId="0" fontId="13" fillId="6" borderId="6" xfId="1" applyFont="1" applyFill="1" applyBorder="1" applyAlignment="1">
      <alignment horizontal="center" vertical="center"/>
    </xf>
    <xf numFmtId="0" fontId="13" fillId="6" borderId="7" xfId="1" applyFont="1" applyFill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89647</xdr:colOff>
      <xdr:row>9</xdr:row>
      <xdr:rowOff>197223</xdr:rowOff>
    </xdr:from>
    <xdr:to>
      <xdr:col>57</xdr:col>
      <xdr:colOff>201254</xdr:colOff>
      <xdr:row>45</xdr:row>
      <xdr:rowOff>98611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671" y="2079811"/>
          <a:ext cx="13728995" cy="8937812"/>
        </a:xfrm>
        <a:prstGeom prst="rect">
          <a:avLst/>
        </a:prstGeom>
      </xdr:spPr>
    </xdr:pic>
    <xdr:clientData/>
  </xdr:twoCellAnchor>
  <xdr:twoCellAnchor>
    <xdr:from>
      <xdr:col>10</xdr:col>
      <xdr:colOff>87728</xdr:colOff>
      <xdr:row>9</xdr:row>
      <xdr:rowOff>215156</xdr:rowOff>
    </xdr:from>
    <xdr:to>
      <xdr:col>11</xdr:col>
      <xdr:colOff>150480</xdr:colOff>
      <xdr:row>11</xdr:row>
      <xdr:rowOff>36503</xdr:rowOff>
    </xdr:to>
    <xdr:sp macro="" textlink="">
      <xdr:nvSpPr>
        <xdr:cNvPr id="3" name="正方形/長方形 2"/>
        <xdr:cNvSpPr/>
      </xdr:nvSpPr>
      <xdr:spPr>
        <a:xfrm>
          <a:off x="2722071" y="2098385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255496</xdr:colOff>
      <xdr:row>9</xdr:row>
      <xdr:rowOff>213235</xdr:rowOff>
    </xdr:from>
    <xdr:to>
      <xdr:col>53</xdr:col>
      <xdr:colOff>35219</xdr:colOff>
      <xdr:row>11</xdr:row>
      <xdr:rowOff>34582</xdr:rowOff>
    </xdr:to>
    <xdr:sp macro="" textlink="">
      <xdr:nvSpPr>
        <xdr:cNvPr id="5" name="正方形/長方形 4"/>
        <xdr:cNvSpPr/>
      </xdr:nvSpPr>
      <xdr:spPr>
        <a:xfrm>
          <a:off x="14494010" y="2096464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240126</xdr:colOff>
      <xdr:row>13</xdr:row>
      <xdr:rowOff>231162</xdr:rowOff>
    </xdr:from>
    <xdr:to>
      <xdr:col>10</xdr:col>
      <xdr:colOff>24972</xdr:colOff>
      <xdr:row>15</xdr:row>
      <xdr:rowOff>52508</xdr:rowOff>
    </xdr:to>
    <xdr:sp macro="" textlink="">
      <xdr:nvSpPr>
        <xdr:cNvPr id="6" name="正方形/長方形 5"/>
        <xdr:cNvSpPr/>
      </xdr:nvSpPr>
      <xdr:spPr>
        <a:xfrm>
          <a:off x="2308412" y="3115876"/>
          <a:ext cx="350903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240126</xdr:colOff>
      <xdr:row>12</xdr:row>
      <xdr:rowOff>124866</xdr:rowOff>
    </xdr:from>
    <xdr:to>
      <xdr:col>10</xdr:col>
      <xdr:colOff>24972</xdr:colOff>
      <xdr:row>13</xdr:row>
      <xdr:rowOff>196585</xdr:rowOff>
    </xdr:to>
    <xdr:sp macro="" textlink="">
      <xdr:nvSpPr>
        <xdr:cNvPr id="7" name="正方形/長方形 6"/>
        <xdr:cNvSpPr/>
      </xdr:nvSpPr>
      <xdr:spPr>
        <a:xfrm>
          <a:off x="2308412" y="275920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188258</xdr:colOff>
      <xdr:row>20</xdr:row>
      <xdr:rowOff>101814</xdr:rowOff>
    </xdr:from>
    <xdr:to>
      <xdr:col>22</xdr:col>
      <xdr:colOff>251010</xdr:colOff>
      <xdr:row>21</xdr:row>
      <xdr:rowOff>173533</xdr:rowOff>
    </xdr:to>
    <xdr:sp macro="" textlink="">
      <xdr:nvSpPr>
        <xdr:cNvPr id="8" name="正方形/長方形 7"/>
        <xdr:cNvSpPr/>
      </xdr:nvSpPr>
      <xdr:spPr>
        <a:xfrm>
          <a:off x="5935915" y="4739128"/>
          <a:ext cx="345781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188259</xdr:colOff>
      <xdr:row>21</xdr:row>
      <xdr:rowOff>217074</xdr:rowOff>
    </xdr:from>
    <xdr:to>
      <xdr:col>22</xdr:col>
      <xdr:colOff>251011</xdr:colOff>
      <xdr:row>23</xdr:row>
      <xdr:rowOff>37780</xdr:rowOff>
    </xdr:to>
    <xdr:sp macro="" textlink="">
      <xdr:nvSpPr>
        <xdr:cNvPr id="9" name="正方形/長方形 8"/>
        <xdr:cNvSpPr/>
      </xdr:nvSpPr>
      <xdr:spPr>
        <a:xfrm>
          <a:off x="5935916" y="5104760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188259</xdr:colOff>
      <xdr:row>23</xdr:row>
      <xdr:rowOff>59551</xdr:rowOff>
    </xdr:from>
    <xdr:to>
      <xdr:col>22</xdr:col>
      <xdr:colOff>251011</xdr:colOff>
      <xdr:row>24</xdr:row>
      <xdr:rowOff>131269</xdr:rowOff>
    </xdr:to>
    <xdr:sp macro="" textlink="">
      <xdr:nvSpPr>
        <xdr:cNvPr id="10" name="正方形/長方形 9"/>
        <xdr:cNvSpPr/>
      </xdr:nvSpPr>
      <xdr:spPr>
        <a:xfrm>
          <a:off x="5935916" y="5447980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251012</xdr:colOff>
      <xdr:row>25</xdr:row>
      <xdr:rowOff>195944</xdr:rowOff>
    </xdr:from>
    <xdr:to>
      <xdr:col>16</xdr:col>
      <xdr:colOff>35858</xdr:colOff>
      <xdr:row>27</xdr:row>
      <xdr:rowOff>17291</xdr:rowOff>
    </xdr:to>
    <xdr:sp macro="" textlink="">
      <xdr:nvSpPr>
        <xdr:cNvPr id="11" name="正方形/長方形 10"/>
        <xdr:cNvSpPr/>
      </xdr:nvSpPr>
      <xdr:spPr>
        <a:xfrm>
          <a:off x="4017469" y="6085115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206188</xdr:colOff>
      <xdr:row>29</xdr:row>
      <xdr:rowOff>182495</xdr:rowOff>
    </xdr:from>
    <xdr:to>
      <xdr:col>15</xdr:col>
      <xdr:colOff>268940</xdr:colOff>
      <xdr:row>31</xdr:row>
      <xdr:rowOff>3843</xdr:rowOff>
    </xdr:to>
    <xdr:sp macro="" textlink="">
      <xdr:nvSpPr>
        <xdr:cNvPr id="12" name="正方形/長方形 11"/>
        <xdr:cNvSpPr/>
      </xdr:nvSpPr>
      <xdr:spPr>
        <a:xfrm>
          <a:off x="3972645" y="7073152"/>
          <a:ext cx="345781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206189</xdr:colOff>
      <xdr:row>28</xdr:row>
      <xdr:rowOff>87085</xdr:rowOff>
    </xdr:from>
    <xdr:to>
      <xdr:col>15</xdr:col>
      <xdr:colOff>268941</xdr:colOff>
      <xdr:row>29</xdr:row>
      <xdr:rowOff>158803</xdr:rowOff>
    </xdr:to>
    <xdr:sp macro="" textlink="">
      <xdr:nvSpPr>
        <xdr:cNvPr id="13" name="正方形/長方形 12"/>
        <xdr:cNvSpPr/>
      </xdr:nvSpPr>
      <xdr:spPr>
        <a:xfrm>
          <a:off x="3972646" y="6727371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14088</xdr:colOff>
      <xdr:row>32</xdr:row>
      <xdr:rowOff>79402</xdr:rowOff>
    </xdr:from>
    <xdr:to>
      <xdr:col>16</xdr:col>
      <xdr:colOff>76841</xdr:colOff>
      <xdr:row>33</xdr:row>
      <xdr:rowOff>150479</xdr:rowOff>
    </xdr:to>
    <xdr:sp macro="" textlink="">
      <xdr:nvSpPr>
        <xdr:cNvPr id="14" name="正方形/長方形 13"/>
        <xdr:cNvSpPr/>
      </xdr:nvSpPr>
      <xdr:spPr>
        <a:xfrm>
          <a:off x="4063574" y="7721173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175452</xdr:colOff>
      <xdr:row>31</xdr:row>
      <xdr:rowOff>37780</xdr:rowOff>
    </xdr:from>
    <xdr:to>
      <xdr:col>46</xdr:col>
      <xdr:colOff>238205</xdr:colOff>
      <xdr:row>32</xdr:row>
      <xdr:rowOff>108857</xdr:rowOff>
    </xdr:to>
    <xdr:sp macro="" textlink="">
      <xdr:nvSpPr>
        <xdr:cNvPr id="15" name="正方形/長方形 14"/>
        <xdr:cNvSpPr/>
      </xdr:nvSpPr>
      <xdr:spPr>
        <a:xfrm>
          <a:off x="12715795" y="7429180"/>
          <a:ext cx="345781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252933</xdr:colOff>
      <xdr:row>29</xdr:row>
      <xdr:rowOff>249091</xdr:rowOff>
    </xdr:from>
    <xdr:to>
      <xdr:col>49</xdr:col>
      <xdr:colOff>32656</xdr:colOff>
      <xdr:row>31</xdr:row>
      <xdr:rowOff>70439</xdr:rowOff>
    </xdr:to>
    <xdr:sp macro="" textlink="">
      <xdr:nvSpPr>
        <xdr:cNvPr id="16" name="正方形/長方形 15"/>
        <xdr:cNvSpPr/>
      </xdr:nvSpPr>
      <xdr:spPr>
        <a:xfrm>
          <a:off x="13359333" y="7139748"/>
          <a:ext cx="345780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121023</xdr:colOff>
      <xdr:row>23</xdr:row>
      <xdr:rowOff>80682</xdr:rowOff>
    </xdr:from>
    <xdr:to>
      <xdr:col>44</xdr:col>
      <xdr:colOff>183775</xdr:colOff>
      <xdr:row>24</xdr:row>
      <xdr:rowOff>152400</xdr:rowOff>
    </xdr:to>
    <xdr:sp macro="" textlink="">
      <xdr:nvSpPr>
        <xdr:cNvPr id="17" name="正方形/長方形 16"/>
        <xdr:cNvSpPr/>
      </xdr:nvSpPr>
      <xdr:spPr>
        <a:xfrm>
          <a:off x="12095309" y="5469111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123583</xdr:colOff>
      <xdr:row>21</xdr:row>
      <xdr:rowOff>239486</xdr:rowOff>
    </xdr:from>
    <xdr:to>
      <xdr:col>44</xdr:col>
      <xdr:colOff>186336</xdr:colOff>
      <xdr:row>23</xdr:row>
      <xdr:rowOff>60833</xdr:rowOff>
    </xdr:to>
    <xdr:sp macro="" textlink="">
      <xdr:nvSpPr>
        <xdr:cNvPr id="18" name="正方形/長方形 17"/>
        <xdr:cNvSpPr/>
      </xdr:nvSpPr>
      <xdr:spPr>
        <a:xfrm>
          <a:off x="12097869" y="5127172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106936</xdr:colOff>
      <xdr:row>28</xdr:row>
      <xdr:rowOff>138953</xdr:rowOff>
    </xdr:from>
    <xdr:to>
      <xdr:col>50</xdr:col>
      <xdr:colOff>169688</xdr:colOff>
      <xdr:row>29</xdr:row>
      <xdr:rowOff>210671</xdr:rowOff>
    </xdr:to>
    <xdr:sp macro="" textlink="">
      <xdr:nvSpPr>
        <xdr:cNvPr id="19" name="正方形/長方形 18"/>
        <xdr:cNvSpPr/>
      </xdr:nvSpPr>
      <xdr:spPr>
        <a:xfrm>
          <a:off x="13779393" y="6779239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122945</xdr:colOff>
      <xdr:row>25</xdr:row>
      <xdr:rowOff>222197</xdr:rowOff>
    </xdr:from>
    <xdr:to>
      <xdr:col>44</xdr:col>
      <xdr:colOff>185697</xdr:colOff>
      <xdr:row>27</xdr:row>
      <xdr:rowOff>42903</xdr:rowOff>
    </xdr:to>
    <xdr:sp macro="" textlink="">
      <xdr:nvSpPr>
        <xdr:cNvPr id="20" name="正方形/長方形 19"/>
        <xdr:cNvSpPr/>
      </xdr:nvSpPr>
      <xdr:spPr>
        <a:xfrm>
          <a:off x="12097231" y="6111368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122944</xdr:colOff>
      <xdr:row>24</xdr:row>
      <xdr:rowOff>181215</xdr:rowOff>
    </xdr:from>
    <xdr:to>
      <xdr:col>44</xdr:col>
      <xdr:colOff>185696</xdr:colOff>
      <xdr:row>26</xdr:row>
      <xdr:rowOff>2562</xdr:rowOff>
    </xdr:to>
    <xdr:sp macro="" textlink="">
      <xdr:nvSpPr>
        <xdr:cNvPr id="21" name="正方形/長方形 20"/>
        <xdr:cNvSpPr/>
      </xdr:nvSpPr>
      <xdr:spPr>
        <a:xfrm>
          <a:off x="12097230" y="5820015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109498</xdr:colOff>
      <xdr:row>42</xdr:row>
      <xdr:rowOff>172249</xdr:rowOff>
    </xdr:from>
    <xdr:to>
      <xdr:col>14</xdr:col>
      <xdr:colOff>172250</xdr:colOff>
      <xdr:row>43</xdr:row>
      <xdr:rowOff>243969</xdr:rowOff>
    </xdr:to>
    <xdr:sp macro="" textlink="">
      <xdr:nvSpPr>
        <xdr:cNvPr id="22" name="正方形/長方形 21"/>
        <xdr:cNvSpPr/>
      </xdr:nvSpPr>
      <xdr:spPr>
        <a:xfrm>
          <a:off x="3592927" y="10317735"/>
          <a:ext cx="345780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100533</xdr:colOff>
      <xdr:row>37</xdr:row>
      <xdr:rowOff>146636</xdr:rowOff>
    </xdr:from>
    <xdr:to>
      <xdr:col>14</xdr:col>
      <xdr:colOff>163285</xdr:colOff>
      <xdr:row>38</xdr:row>
      <xdr:rowOff>217715</xdr:rowOff>
    </xdr:to>
    <xdr:sp macro="" textlink="">
      <xdr:nvSpPr>
        <xdr:cNvPr id="23" name="正方形/長方形 22"/>
        <xdr:cNvSpPr/>
      </xdr:nvSpPr>
      <xdr:spPr>
        <a:xfrm>
          <a:off x="3583962" y="904026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259337</xdr:colOff>
      <xdr:row>37</xdr:row>
      <xdr:rowOff>144715</xdr:rowOff>
    </xdr:from>
    <xdr:to>
      <xdr:col>11</xdr:col>
      <xdr:colOff>39060</xdr:colOff>
      <xdr:row>38</xdr:row>
      <xdr:rowOff>215794</xdr:rowOff>
    </xdr:to>
    <xdr:sp macro="" textlink="">
      <xdr:nvSpPr>
        <xdr:cNvPr id="24" name="正方形/長方形 23"/>
        <xdr:cNvSpPr/>
      </xdr:nvSpPr>
      <xdr:spPr>
        <a:xfrm>
          <a:off x="2610651" y="903834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100532</xdr:colOff>
      <xdr:row>36</xdr:row>
      <xdr:rowOff>38421</xdr:rowOff>
    </xdr:from>
    <xdr:to>
      <xdr:col>14</xdr:col>
      <xdr:colOff>163284</xdr:colOff>
      <xdr:row>37</xdr:row>
      <xdr:rowOff>110138</xdr:rowOff>
    </xdr:to>
    <xdr:sp macro="" textlink="">
      <xdr:nvSpPr>
        <xdr:cNvPr id="25" name="正方形/長方形 24"/>
        <xdr:cNvSpPr/>
      </xdr:nvSpPr>
      <xdr:spPr>
        <a:xfrm>
          <a:off x="3583961" y="8681678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59551</xdr:colOff>
      <xdr:row>37</xdr:row>
      <xdr:rowOff>135751</xdr:rowOff>
    </xdr:from>
    <xdr:to>
      <xdr:col>37</xdr:col>
      <xdr:colOff>122304</xdr:colOff>
      <xdr:row>38</xdr:row>
      <xdr:rowOff>206830</xdr:rowOff>
    </xdr:to>
    <xdr:sp macro="" textlink="">
      <xdr:nvSpPr>
        <xdr:cNvPr id="26" name="正方形/長方形 25"/>
        <xdr:cNvSpPr/>
      </xdr:nvSpPr>
      <xdr:spPr>
        <a:xfrm>
          <a:off x="10052637" y="9029380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12807</xdr:colOff>
      <xdr:row>37</xdr:row>
      <xdr:rowOff>126787</xdr:rowOff>
    </xdr:from>
    <xdr:to>
      <xdr:col>33</xdr:col>
      <xdr:colOff>75558</xdr:colOff>
      <xdr:row>38</xdr:row>
      <xdr:rowOff>198506</xdr:rowOff>
    </xdr:to>
    <xdr:sp macro="" textlink="">
      <xdr:nvSpPr>
        <xdr:cNvPr id="27" name="正方形/長方形 26"/>
        <xdr:cNvSpPr/>
      </xdr:nvSpPr>
      <xdr:spPr>
        <a:xfrm>
          <a:off x="8873778" y="9020416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243327</xdr:colOff>
      <xdr:row>37</xdr:row>
      <xdr:rowOff>135750</xdr:rowOff>
    </xdr:from>
    <xdr:to>
      <xdr:col>29</xdr:col>
      <xdr:colOff>23050</xdr:colOff>
      <xdr:row>38</xdr:row>
      <xdr:rowOff>206829</xdr:rowOff>
    </xdr:to>
    <xdr:sp macro="" textlink="">
      <xdr:nvSpPr>
        <xdr:cNvPr id="28" name="正方形/長方形 27"/>
        <xdr:cNvSpPr/>
      </xdr:nvSpPr>
      <xdr:spPr>
        <a:xfrm>
          <a:off x="7689156" y="902937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194661</xdr:colOff>
      <xdr:row>37</xdr:row>
      <xdr:rowOff>124865</xdr:rowOff>
    </xdr:from>
    <xdr:to>
      <xdr:col>24</xdr:col>
      <xdr:colOff>257413</xdr:colOff>
      <xdr:row>38</xdr:row>
      <xdr:rowOff>195944</xdr:rowOff>
    </xdr:to>
    <xdr:sp macro="" textlink="">
      <xdr:nvSpPr>
        <xdr:cNvPr id="29" name="正方形/長方形 28"/>
        <xdr:cNvSpPr/>
      </xdr:nvSpPr>
      <xdr:spPr>
        <a:xfrm>
          <a:off x="6508375" y="9018494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100533</xdr:colOff>
      <xdr:row>37</xdr:row>
      <xdr:rowOff>135751</xdr:rowOff>
    </xdr:from>
    <xdr:to>
      <xdr:col>51</xdr:col>
      <xdr:colOff>163286</xdr:colOff>
      <xdr:row>38</xdr:row>
      <xdr:rowOff>206830</xdr:rowOff>
    </xdr:to>
    <xdr:sp macro="" textlink="">
      <xdr:nvSpPr>
        <xdr:cNvPr id="30" name="正方形/長方形 29"/>
        <xdr:cNvSpPr/>
      </xdr:nvSpPr>
      <xdr:spPr>
        <a:xfrm>
          <a:off x="14056019" y="9029380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162647</xdr:colOff>
      <xdr:row>37</xdr:row>
      <xdr:rowOff>126786</xdr:rowOff>
    </xdr:from>
    <xdr:to>
      <xdr:col>45</xdr:col>
      <xdr:colOff>225398</xdr:colOff>
      <xdr:row>38</xdr:row>
      <xdr:rowOff>198505</xdr:rowOff>
    </xdr:to>
    <xdr:sp macro="" textlink="">
      <xdr:nvSpPr>
        <xdr:cNvPr id="31" name="正方形/長方形 30"/>
        <xdr:cNvSpPr/>
      </xdr:nvSpPr>
      <xdr:spPr>
        <a:xfrm>
          <a:off x="12419961" y="9020415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112058</xdr:colOff>
      <xdr:row>37</xdr:row>
      <xdr:rowOff>133828</xdr:rowOff>
    </xdr:from>
    <xdr:to>
      <xdr:col>41</xdr:col>
      <xdr:colOff>174810</xdr:colOff>
      <xdr:row>38</xdr:row>
      <xdr:rowOff>204907</xdr:rowOff>
    </xdr:to>
    <xdr:sp macro="" textlink="">
      <xdr:nvSpPr>
        <xdr:cNvPr id="32" name="正方形/長方形 31"/>
        <xdr:cNvSpPr/>
      </xdr:nvSpPr>
      <xdr:spPr>
        <a:xfrm>
          <a:off x="11237258" y="9027457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89647</xdr:colOff>
      <xdr:row>42</xdr:row>
      <xdr:rowOff>172249</xdr:rowOff>
    </xdr:from>
    <xdr:to>
      <xdr:col>51</xdr:col>
      <xdr:colOff>152400</xdr:colOff>
      <xdr:row>43</xdr:row>
      <xdr:rowOff>243969</xdr:rowOff>
    </xdr:to>
    <xdr:sp macro="" textlink="">
      <xdr:nvSpPr>
        <xdr:cNvPr id="33" name="正方形/長方形 32"/>
        <xdr:cNvSpPr/>
      </xdr:nvSpPr>
      <xdr:spPr>
        <a:xfrm>
          <a:off x="14045133" y="10317735"/>
          <a:ext cx="345781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198504</xdr:colOff>
      <xdr:row>21</xdr:row>
      <xdr:rowOff>215154</xdr:rowOff>
    </xdr:from>
    <xdr:to>
      <xdr:col>9</xdr:col>
      <xdr:colOff>266380</xdr:colOff>
      <xdr:row>23</xdr:row>
      <xdr:rowOff>35860</xdr:rowOff>
    </xdr:to>
    <xdr:sp macro="" textlink="">
      <xdr:nvSpPr>
        <xdr:cNvPr id="34" name="正方形/長方形 33"/>
        <xdr:cNvSpPr/>
      </xdr:nvSpPr>
      <xdr:spPr>
        <a:xfrm>
          <a:off x="2266790" y="5102840"/>
          <a:ext cx="350904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68580</xdr:colOff>
      <xdr:row>1</xdr:row>
      <xdr:rowOff>182880</xdr:rowOff>
    </xdr:from>
    <xdr:to>
      <xdr:col>12</xdr:col>
      <xdr:colOff>1089660</xdr:colOff>
      <xdr:row>5</xdr:row>
      <xdr:rowOff>220980</xdr:rowOff>
    </xdr:to>
    <xdr:sp macro="" textlink="">
      <xdr:nvSpPr>
        <xdr:cNvPr id="2" name="inei1_松﨑 由誉"/>
        <xdr:cNvSpPr/>
      </xdr:nvSpPr>
      <xdr:spPr bwMode="auto">
        <a:xfrm>
          <a:off x="7947660" y="449580"/>
          <a:ext cx="1021080" cy="967740"/>
        </a:xfrm>
        <a:prstGeom prst="rect">
          <a:avLst/>
        </a:prstGeom>
        <a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8</xdr:col>
      <xdr:colOff>800099</xdr:colOff>
      <xdr:row>2</xdr:row>
      <xdr:rowOff>168762</xdr:rowOff>
    </xdr:from>
    <xdr:to>
      <xdr:col>12</xdr:col>
      <xdr:colOff>411382</xdr:colOff>
      <xdr:row>5</xdr:row>
      <xdr:rowOff>83820</xdr:rowOff>
    </xdr:to>
    <xdr:pic>
      <xdr:nvPicPr>
        <xdr:cNvPr id="3" name="図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8359" y="664062"/>
          <a:ext cx="2362103" cy="616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198208</xdr:colOff>
      <xdr:row>45</xdr:row>
      <xdr:rowOff>39509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79968" cy="100979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H0300_&#32076;&#36942;&#30906;&#35469;&#34920;_&#24115;&#31080;&#35373;&#35336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T-200037.SSP-HITOMI1/Desktop/MH0400_&#35211;&#31309;&#26360;&#20986;&#21147;_&#24115;&#31080;&#35373;&#35336;&#2636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400_&#35211;&#31309;&#26360;_&#24115;&#31080;&#35373;&#35336;&#263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H0400_&#35211;&#31309;&#2636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確認事項"/>
      <sheetName val="別紙_テンプレート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処理詳細"/>
      <sheetName val="確認事項"/>
      <sheetName val="別紙_テンプレート"/>
      <sheetName val="別紙_印刷レイアウト"/>
      <sheetName val="参照"/>
    </sheetNames>
    <sheetDataSet>
      <sheetData sheetId="0">
        <row r="3">
          <cell r="B3" t="str">
            <v>XXXXXXXX</v>
          </cell>
          <cell r="H3" t="str">
            <v>MH0400</v>
          </cell>
          <cell r="L3" t="str">
            <v>運用自動化</v>
          </cell>
          <cell r="R3" t="str">
            <v>帳票設計書</v>
          </cell>
          <cell r="X3" t="str">
            <v>MH0400_見積書_帳票設計書</v>
          </cell>
          <cell r="AK3" t="str">
            <v>見積書</v>
          </cell>
          <cell r="AX3"/>
          <cell r="BB3"/>
          <cell r="BF3"/>
          <cell r="BJ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4" t="s">
        <v>0</v>
      </c>
      <c r="C2" s="165"/>
      <c r="D2" s="165"/>
      <c r="E2" s="165"/>
      <c r="F2" s="165"/>
      <c r="G2" s="165"/>
      <c r="H2" s="165" t="s">
        <v>17</v>
      </c>
      <c r="I2" s="165"/>
      <c r="J2" s="165"/>
      <c r="K2" s="165"/>
      <c r="L2" s="165" t="s">
        <v>867</v>
      </c>
      <c r="M2" s="165"/>
      <c r="N2" s="165"/>
      <c r="O2" s="165"/>
      <c r="P2" s="165"/>
      <c r="Q2" s="165"/>
      <c r="R2" s="165" t="s">
        <v>2</v>
      </c>
      <c r="S2" s="165"/>
      <c r="T2" s="165"/>
      <c r="U2" s="165"/>
      <c r="V2" s="165"/>
      <c r="W2" s="165"/>
      <c r="X2" s="166" t="s">
        <v>3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31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5</v>
      </c>
      <c r="AY2" s="165"/>
      <c r="AZ2" s="165"/>
      <c r="BA2" s="165"/>
      <c r="BB2" s="165" t="s">
        <v>4</v>
      </c>
      <c r="BC2" s="165"/>
      <c r="BD2" s="165"/>
      <c r="BE2" s="165"/>
      <c r="BF2" s="165" t="s">
        <v>6</v>
      </c>
      <c r="BG2" s="165"/>
      <c r="BH2" s="165"/>
      <c r="BI2" s="165"/>
      <c r="BJ2" s="165" t="s">
        <v>7</v>
      </c>
      <c r="BK2" s="165"/>
      <c r="BL2" s="165"/>
      <c r="BM2" s="179"/>
      <c r="BN2" s="14"/>
    </row>
    <row r="3" spans="1:66" ht="20.100000000000001" customHeight="1" x14ac:dyDescent="0.45">
      <c r="A3" s="8"/>
      <c r="B3" s="169" t="s">
        <v>865</v>
      </c>
      <c r="C3" s="170"/>
      <c r="D3" s="170"/>
      <c r="E3" s="170"/>
      <c r="F3" s="170"/>
      <c r="G3" s="170"/>
      <c r="H3" s="170" t="str">
        <f ca="1">LEFT($X$3,FIND("_",$X$3)-1)</f>
        <v>UN0200</v>
      </c>
      <c r="I3" s="170"/>
      <c r="J3" s="170"/>
      <c r="K3" s="170"/>
      <c r="L3" s="170" t="s">
        <v>866</v>
      </c>
      <c r="M3" s="170"/>
      <c r="N3" s="170"/>
      <c r="O3" s="170"/>
      <c r="P3" s="170"/>
      <c r="Q3" s="170"/>
      <c r="R3" s="173" t="str">
        <f ca="1">MID($X$3,FIND("_",$X$3,FIND("_",$X$3)+1)+1,LEN($X$3)-FIND("_",$X$3,FIND("_",$X$3)+1))</f>
        <v>帳票設計書</v>
      </c>
      <c r="S3" s="170"/>
      <c r="T3" s="170"/>
      <c r="U3" s="170"/>
      <c r="V3" s="170"/>
      <c r="W3" s="170"/>
      <c r="X3" s="174" t="str">
        <f ca="1">REPLACE(LEFT(CELL("filename",$B$2),FIND(".x",CELL("filename",$B$2))-1),1,FIND("[",CELL("filename",$B$2)),)</f>
        <v>UN0200_納品書_帳票設計書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MID($X$3,FIND("_",$X$3)+1,FIND("_",$X$3,FIND("_",$X$3)+1)-FIND("_",$X$3)-1)</f>
        <v>納品書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v>45581</v>
      </c>
      <c r="AY3" s="170"/>
      <c r="AZ3" s="170"/>
      <c r="BA3" s="170"/>
      <c r="BB3" s="170" t="s">
        <v>868</v>
      </c>
      <c r="BC3" s="170"/>
      <c r="BD3" s="170"/>
      <c r="BE3" s="170"/>
      <c r="BF3" s="181">
        <v>45581</v>
      </c>
      <c r="BG3" s="170"/>
      <c r="BH3" s="170"/>
      <c r="BI3" s="170"/>
      <c r="BJ3" s="170" t="s">
        <v>868</v>
      </c>
      <c r="BK3" s="170"/>
      <c r="BL3" s="170"/>
      <c r="BM3" s="182"/>
      <c r="BN3" s="14"/>
    </row>
    <row r="4" spans="1:66" ht="20.100000000000001" customHeight="1" thickBot="1" x14ac:dyDescent="0.5">
      <c r="A4" s="8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4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0" t="s">
        <v>8</v>
      </c>
      <c r="D8" s="180"/>
      <c r="E8" s="180"/>
      <c r="F8" s="180"/>
      <c r="G8" s="180" t="s">
        <v>9</v>
      </c>
      <c r="H8" s="180"/>
      <c r="I8" s="180"/>
      <c r="J8" s="180"/>
      <c r="K8" s="180" t="s">
        <v>10</v>
      </c>
      <c r="L8" s="180"/>
      <c r="M8" s="180"/>
      <c r="N8" s="180"/>
      <c r="O8" s="180" t="s">
        <v>11</v>
      </c>
      <c r="P8" s="180"/>
      <c r="Q8" s="180"/>
      <c r="R8" s="180"/>
      <c r="S8" s="180"/>
      <c r="T8" s="180"/>
      <c r="U8" s="180"/>
      <c r="V8" s="180"/>
      <c r="W8" s="180"/>
      <c r="X8" s="180"/>
      <c r="Y8" s="180" t="s">
        <v>12</v>
      </c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7"/>
      <c r="BN8" s="14"/>
    </row>
    <row r="9" spans="1:66" ht="20.100000000000001" customHeight="1" x14ac:dyDescent="0.45">
      <c r="A9" s="8"/>
      <c r="B9" s="7"/>
      <c r="C9" s="183">
        <v>45581</v>
      </c>
      <c r="D9" s="184"/>
      <c r="E9" s="184"/>
      <c r="F9" s="185"/>
      <c r="G9" s="186" t="s">
        <v>16</v>
      </c>
      <c r="H9" s="187"/>
      <c r="I9" s="187"/>
      <c r="J9" s="188"/>
      <c r="K9" s="189" t="s">
        <v>868</v>
      </c>
      <c r="L9" s="184"/>
      <c r="M9" s="184"/>
      <c r="N9" s="18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83"/>
      <c r="D10" s="184"/>
      <c r="E10" s="184"/>
      <c r="F10" s="185"/>
      <c r="G10" s="186"/>
      <c r="H10" s="187"/>
      <c r="I10" s="187"/>
      <c r="J10" s="188"/>
      <c r="K10" s="189"/>
      <c r="L10" s="184"/>
      <c r="M10" s="184"/>
      <c r="N10" s="18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83"/>
      <c r="D11" s="184"/>
      <c r="E11" s="184"/>
      <c r="F11" s="185"/>
      <c r="G11" s="186"/>
      <c r="H11" s="187"/>
      <c r="I11" s="187"/>
      <c r="J11" s="188"/>
      <c r="K11" s="189"/>
      <c r="L11" s="184"/>
      <c r="M11" s="184"/>
      <c r="N11" s="18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83"/>
      <c r="D36" s="184"/>
      <c r="E36" s="184"/>
      <c r="F36" s="185"/>
      <c r="G36" s="186"/>
      <c r="H36" s="187"/>
      <c r="I36" s="187"/>
      <c r="J36" s="188"/>
      <c r="K36" s="189"/>
      <c r="L36" s="184"/>
      <c r="M36" s="184"/>
      <c r="N36" s="18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83"/>
      <c r="D37" s="184"/>
      <c r="E37" s="184"/>
      <c r="F37" s="185"/>
      <c r="G37" s="186"/>
      <c r="H37" s="187"/>
      <c r="I37" s="187"/>
      <c r="J37" s="188"/>
      <c r="K37" s="189"/>
      <c r="L37" s="184"/>
      <c r="M37" s="184"/>
      <c r="N37" s="18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83"/>
      <c r="D38" s="184"/>
      <c r="E38" s="184"/>
      <c r="F38" s="185"/>
      <c r="G38" s="186"/>
      <c r="H38" s="187"/>
      <c r="I38" s="187"/>
      <c r="J38" s="188"/>
      <c r="K38" s="189"/>
      <c r="L38" s="184"/>
      <c r="M38" s="184"/>
      <c r="N38" s="18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83"/>
      <c r="D39" s="184"/>
      <c r="E39" s="184"/>
      <c r="F39" s="185"/>
      <c r="G39" s="186"/>
      <c r="H39" s="187"/>
      <c r="I39" s="187"/>
      <c r="J39" s="188"/>
      <c r="K39" s="189"/>
      <c r="L39" s="184"/>
      <c r="M39" s="184"/>
      <c r="N39" s="18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83"/>
      <c r="D40" s="184"/>
      <c r="E40" s="184"/>
      <c r="F40" s="185"/>
      <c r="G40" s="186"/>
      <c r="H40" s="187"/>
      <c r="I40" s="187"/>
      <c r="J40" s="188"/>
      <c r="K40" s="189"/>
      <c r="L40" s="184"/>
      <c r="M40" s="184"/>
      <c r="N40" s="18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83"/>
      <c r="D41" s="184"/>
      <c r="E41" s="184"/>
      <c r="F41" s="185"/>
      <c r="G41" s="186"/>
      <c r="H41" s="187"/>
      <c r="I41" s="187"/>
      <c r="J41" s="188"/>
      <c r="K41" s="189"/>
      <c r="L41" s="184"/>
      <c r="M41" s="184"/>
      <c r="N41" s="18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83"/>
      <c r="D42" s="184"/>
      <c r="E42" s="184"/>
      <c r="F42" s="185"/>
      <c r="G42" s="186"/>
      <c r="H42" s="187"/>
      <c r="I42" s="187"/>
      <c r="J42" s="188"/>
      <c r="K42" s="189"/>
      <c r="L42" s="184"/>
      <c r="M42" s="184"/>
      <c r="N42" s="18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83"/>
      <c r="D43" s="184"/>
      <c r="E43" s="184"/>
      <c r="F43" s="185"/>
      <c r="G43" s="186"/>
      <c r="H43" s="187"/>
      <c r="I43" s="187"/>
      <c r="J43" s="188"/>
      <c r="K43" s="189"/>
      <c r="L43" s="184"/>
      <c r="M43" s="184"/>
      <c r="N43" s="18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83"/>
      <c r="D44" s="184"/>
      <c r="E44" s="184"/>
      <c r="F44" s="185"/>
      <c r="G44" s="186"/>
      <c r="H44" s="187"/>
      <c r="I44" s="187"/>
      <c r="J44" s="188"/>
      <c r="K44" s="189"/>
      <c r="L44" s="184"/>
      <c r="M44" s="184"/>
      <c r="N44" s="18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83"/>
      <c r="D45" s="184"/>
      <c r="E45" s="184"/>
      <c r="F45" s="185"/>
      <c r="G45" s="186"/>
      <c r="H45" s="187"/>
      <c r="I45" s="187"/>
      <c r="J45" s="188"/>
      <c r="K45" s="189"/>
      <c r="L45" s="184"/>
      <c r="M45" s="184"/>
      <c r="N45" s="18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83"/>
      <c r="D46" s="184"/>
      <c r="E46" s="184"/>
      <c r="F46" s="185"/>
      <c r="G46" s="186"/>
      <c r="H46" s="187"/>
      <c r="I46" s="187"/>
      <c r="J46" s="188"/>
      <c r="K46" s="189"/>
      <c r="L46" s="184"/>
      <c r="M46" s="184"/>
      <c r="N46" s="18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83"/>
      <c r="D47" s="184"/>
      <c r="E47" s="184"/>
      <c r="F47" s="185"/>
      <c r="G47" s="186"/>
      <c r="H47" s="187"/>
      <c r="I47" s="187"/>
      <c r="J47" s="188"/>
      <c r="K47" s="189"/>
      <c r="L47" s="184"/>
      <c r="M47" s="184"/>
      <c r="N47" s="18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4" t="s">
        <v>0</v>
      </c>
      <c r="C2" s="165"/>
      <c r="D2" s="165"/>
      <c r="E2" s="165"/>
      <c r="F2" s="165"/>
      <c r="G2" s="165"/>
      <c r="H2" s="165" t="s">
        <v>17</v>
      </c>
      <c r="I2" s="165"/>
      <c r="J2" s="165"/>
      <c r="K2" s="165"/>
      <c r="L2" s="165" t="s">
        <v>867</v>
      </c>
      <c r="M2" s="165"/>
      <c r="N2" s="165"/>
      <c r="O2" s="165"/>
      <c r="P2" s="165"/>
      <c r="Q2" s="165"/>
      <c r="R2" s="165" t="s">
        <v>2</v>
      </c>
      <c r="S2" s="165"/>
      <c r="T2" s="165"/>
      <c r="U2" s="165"/>
      <c r="V2" s="165"/>
      <c r="W2" s="165"/>
      <c r="X2" s="166" t="s">
        <v>3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32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5</v>
      </c>
      <c r="AY2" s="165"/>
      <c r="AZ2" s="165"/>
      <c r="BA2" s="165"/>
      <c r="BB2" s="165" t="s">
        <v>4</v>
      </c>
      <c r="BC2" s="165"/>
      <c r="BD2" s="165"/>
      <c r="BE2" s="165"/>
      <c r="BF2" s="165" t="s">
        <v>6</v>
      </c>
      <c r="BG2" s="165"/>
      <c r="BH2" s="165"/>
      <c r="BI2" s="165"/>
      <c r="BJ2" s="165" t="s">
        <v>7</v>
      </c>
      <c r="BK2" s="165"/>
      <c r="BL2" s="165"/>
      <c r="BM2" s="179"/>
      <c r="BN2" s="35"/>
    </row>
    <row r="3" spans="1:66" ht="20.100000000000001" customHeight="1" x14ac:dyDescent="0.45">
      <c r="A3" s="32"/>
      <c r="B3" s="169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UN0200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UN0200_納品書_帳票設計書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納品書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182"/>
      <c r="BN3" s="35"/>
    </row>
    <row r="4" spans="1:66" ht="20.100000000000001" customHeight="1" thickBot="1" x14ac:dyDescent="0.5">
      <c r="A4" s="32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90"/>
      <c r="AY4" s="190"/>
      <c r="AZ4" s="190"/>
      <c r="BA4" s="190"/>
      <c r="BB4" s="172"/>
      <c r="BC4" s="172"/>
      <c r="BD4" s="172"/>
      <c r="BE4" s="172"/>
      <c r="BF4" s="190"/>
      <c r="BG4" s="190"/>
      <c r="BH4" s="190"/>
      <c r="BI4" s="190"/>
      <c r="BJ4" s="172"/>
      <c r="BK4" s="172"/>
      <c r="BL4" s="172"/>
      <c r="BM4" s="174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納品書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151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146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147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148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148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149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150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183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4" t="s">
        <v>0</v>
      </c>
      <c r="C2" s="165"/>
      <c r="D2" s="165"/>
      <c r="E2" s="165"/>
      <c r="F2" s="165"/>
      <c r="G2" s="165"/>
      <c r="H2" s="165" t="s">
        <v>17</v>
      </c>
      <c r="I2" s="165"/>
      <c r="J2" s="165"/>
      <c r="K2" s="165"/>
      <c r="L2" s="165" t="s">
        <v>867</v>
      </c>
      <c r="M2" s="165"/>
      <c r="N2" s="165"/>
      <c r="O2" s="165"/>
      <c r="P2" s="165"/>
      <c r="Q2" s="165"/>
      <c r="R2" s="165" t="s">
        <v>2</v>
      </c>
      <c r="S2" s="165"/>
      <c r="T2" s="165"/>
      <c r="U2" s="165"/>
      <c r="V2" s="165"/>
      <c r="W2" s="165"/>
      <c r="X2" s="166" t="s">
        <v>3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32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5</v>
      </c>
      <c r="AY2" s="165"/>
      <c r="AZ2" s="165"/>
      <c r="BA2" s="165"/>
      <c r="BB2" s="165" t="s">
        <v>4</v>
      </c>
      <c r="BC2" s="165"/>
      <c r="BD2" s="165"/>
      <c r="BE2" s="165"/>
      <c r="BF2" s="165" t="s">
        <v>6</v>
      </c>
      <c r="BG2" s="165"/>
      <c r="BH2" s="165"/>
      <c r="BI2" s="165"/>
      <c r="BJ2" s="165" t="s">
        <v>7</v>
      </c>
      <c r="BK2" s="165"/>
      <c r="BL2" s="165"/>
      <c r="BM2" s="179"/>
      <c r="BN2" s="15"/>
    </row>
    <row r="3" spans="1:66" ht="20.100000000000001" customHeight="1" x14ac:dyDescent="0.45">
      <c r="A3" s="9"/>
      <c r="B3" s="169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UN0200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UN0200_納品書_帳票設計書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納品書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182"/>
      <c r="BN3" s="15"/>
    </row>
    <row r="4" spans="1:66" ht="20.100000000000001" customHeight="1" thickBot="1" x14ac:dyDescent="0.5">
      <c r="A4" s="9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90"/>
      <c r="AY4" s="190"/>
      <c r="AZ4" s="190"/>
      <c r="BA4" s="190"/>
      <c r="BB4" s="172"/>
      <c r="BC4" s="172"/>
      <c r="BD4" s="172"/>
      <c r="BE4" s="172"/>
      <c r="BF4" s="190"/>
      <c r="BG4" s="190"/>
      <c r="BH4" s="190"/>
      <c r="BI4" s="190"/>
      <c r="BJ4" s="172"/>
      <c r="BK4" s="172"/>
      <c r="BL4" s="172"/>
      <c r="BM4" s="174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4" t="s">
        <v>0</v>
      </c>
      <c r="C2" s="165"/>
      <c r="D2" s="165"/>
      <c r="E2" s="165"/>
      <c r="F2" s="165"/>
      <c r="G2" s="165"/>
      <c r="H2" s="165" t="s">
        <v>17</v>
      </c>
      <c r="I2" s="165"/>
      <c r="J2" s="165"/>
      <c r="K2" s="165"/>
      <c r="L2" s="165" t="s">
        <v>867</v>
      </c>
      <c r="M2" s="165"/>
      <c r="N2" s="165"/>
      <c r="O2" s="165"/>
      <c r="P2" s="165"/>
      <c r="Q2" s="165"/>
      <c r="R2" s="165" t="s">
        <v>2</v>
      </c>
      <c r="S2" s="165"/>
      <c r="T2" s="165"/>
      <c r="U2" s="165"/>
      <c r="V2" s="165"/>
      <c r="W2" s="165"/>
      <c r="X2" s="166" t="s">
        <v>3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32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5</v>
      </c>
      <c r="AY2" s="165"/>
      <c r="AZ2" s="165"/>
      <c r="BA2" s="165"/>
      <c r="BB2" s="165" t="s">
        <v>4</v>
      </c>
      <c r="BC2" s="165"/>
      <c r="BD2" s="165"/>
      <c r="BE2" s="165"/>
      <c r="BF2" s="165" t="s">
        <v>6</v>
      </c>
      <c r="BG2" s="165"/>
      <c r="BH2" s="165"/>
      <c r="BI2" s="165"/>
      <c r="BJ2" s="165" t="s">
        <v>7</v>
      </c>
      <c r="BK2" s="165"/>
      <c r="BL2" s="165"/>
      <c r="BM2" s="179"/>
      <c r="BN2" s="15"/>
    </row>
    <row r="3" spans="1:85" ht="20.100000000000001" customHeight="1" x14ac:dyDescent="0.45">
      <c r="A3" s="9"/>
      <c r="B3" s="169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UN0200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UN0200_納品書_帳票設計書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納品書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182"/>
      <c r="BN3" s="15"/>
    </row>
    <row r="4" spans="1:85" ht="20.100000000000001" customHeight="1" thickBot="1" x14ac:dyDescent="0.5">
      <c r="A4" s="9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90"/>
      <c r="AY4" s="190"/>
      <c r="AZ4" s="190"/>
      <c r="BA4" s="190"/>
      <c r="BB4" s="172"/>
      <c r="BC4" s="172"/>
      <c r="BD4" s="172"/>
      <c r="BE4" s="172"/>
      <c r="BF4" s="190"/>
      <c r="BG4" s="190"/>
      <c r="BH4" s="190"/>
      <c r="BI4" s="190"/>
      <c r="BJ4" s="172"/>
      <c r="BK4" s="172"/>
      <c r="BL4" s="172"/>
      <c r="BM4" s="174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51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27" t="s">
        <v>20</v>
      </c>
      <c r="F10" s="228"/>
      <c r="G10" s="228"/>
      <c r="H10" s="228"/>
      <c r="I10" s="228"/>
      <c r="J10" s="228"/>
      <c r="K10" s="228"/>
      <c r="L10" s="229"/>
      <c r="M10" s="222" t="s">
        <v>24</v>
      </c>
      <c r="N10" s="223"/>
      <c r="O10" s="223"/>
      <c r="P10" s="222" t="s">
        <v>33</v>
      </c>
      <c r="Q10" s="223"/>
      <c r="R10" s="223"/>
      <c r="S10" s="222" t="s">
        <v>34</v>
      </c>
      <c r="T10" s="223"/>
      <c r="U10" s="223"/>
      <c r="V10" s="222" t="s">
        <v>36</v>
      </c>
      <c r="W10" s="223"/>
      <c r="X10" s="223"/>
      <c r="Y10" s="223"/>
      <c r="Z10" s="223"/>
      <c r="AA10" s="224"/>
      <c r="AB10" s="222" t="s">
        <v>35</v>
      </c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4"/>
      <c r="AR10" s="222" t="s">
        <v>42</v>
      </c>
      <c r="AS10" s="223"/>
      <c r="AT10" s="223"/>
      <c r="AU10" s="223"/>
      <c r="AV10" s="223"/>
      <c r="AW10" s="224"/>
      <c r="AX10" s="222" t="s">
        <v>43</v>
      </c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3"/>
      <c r="BR10" s="223"/>
      <c r="BS10" s="223"/>
      <c r="BT10" s="22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04" t="s">
        <v>133</v>
      </c>
      <c r="F11" s="205"/>
      <c r="G11" s="205"/>
      <c r="H11" s="205"/>
      <c r="I11" s="205"/>
      <c r="J11" s="205"/>
      <c r="K11" s="205"/>
      <c r="L11" s="206"/>
      <c r="M11" s="189" t="s">
        <v>38</v>
      </c>
      <c r="N11" s="184"/>
      <c r="O11" s="184"/>
      <c r="P11" s="189" t="s">
        <v>134</v>
      </c>
      <c r="Q11" s="184"/>
      <c r="R11" s="184"/>
      <c r="S11" s="189">
        <v>4</v>
      </c>
      <c r="T11" s="184"/>
      <c r="U11" s="184"/>
      <c r="V11" s="210" t="s">
        <v>813</v>
      </c>
      <c r="W11" s="211"/>
      <c r="X11" s="211"/>
      <c r="Y11" s="211"/>
      <c r="Z11" s="211"/>
      <c r="AA11" s="213"/>
      <c r="AB11" s="207" t="s">
        <v>814</v>
      </c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9"/>
      <c r="AR11" s="189"/>
      <c r="AS11" s="184"/>
      <c r="AT11" s="184"/>
      <c r="AU11" s="184"/>
      <c r="AV11" s="184"/>
      <c r="AW11" s="185"/>
      <c r="AX11" s="210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04" t="s">
        <v>135</v>
      </c>
      <c r="F12" s="205"/>
      <c r="G12" s="205"/>
      <c r="H12" s="205"/>
      <c r="I12" s="205"/>
      <c r="J12" s="205"/>
      <c r="K12" s="205"/>
      <c r="L12" s="206"/>
      <c r="M12" s="189" t="s">
        <v>8</v>
      </c>
      <c r="N12" s="184"/>
      <c r="O12" s="184"/>
      <c r="P12" s="189" t="s">
        <v>134</v>
      </c>
      <c r="Q12" s="184"/>
      <c r="R12" s="184"/>
      <c r="S12" s="189">
        <v>8</v>
      </c>
      <c r="T12" s="184"/>
      <c r="U12" s="184"/>
      <c r="V12" s="210" t="s">
        <v>815</v>
      </c>
      <c r="W12" s="211"/>
      <c r="X12" s="211"/>
      <c r="Y12" s="211"/>
      <c r="Z12" s="211"/>
      <c r="AA12" s="213"/>
      <c r="AB12" s="207" t="s">
        <v>816</v>
      </c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9"/>
      <c r="AR12" s="189" t="s">
        <v>182</v>
      </c>
      <c r="AS12" s="184"/>
      <c r="AT12" s="184"/>
      <c r="AU12" s="184"/>
      <c r="AV12" s="184"/>
      <c r="AW12" s="185"/>
      <c r="AX12" s="210"/>
      <c r="AY12" s="211"/>
      <c r="AZ12" s="211"/>
      <c r="BA12" s="211"/>
      <c r="BB12" s="211"/>
      <c r="BC12" s="211"/>
      <c r="BD12" s="211"/>
      <c r="BE12" s="211"/>
      <c r="BF12" s="211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1"/>
      <c r="BR12" s="211"/>
      <c r="BS12" s="211"/>
      <c r="BT12" s="21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04" t="s">
        <v>136</v>
      </c>
      <c r="F13" s="205"/>
      <c r="G13" s="205"/>
      <c r="H13" s="205"/>
      <c r="I13" s="205"/>
      <c r="J13" s="205"/>
      <c r="K13" s="205"/>
      <c r="L13" s="206"/>
      <c r="M13" s="189" t="s">
        <v>38</v>
      </c>
      <c r="N13" s="184"/>
      <c r="O13" s="184"/>
      <c r="P13" s="189" t="s">
        <v>137</v>
      </c>
      <c r="Q13" s="184"/>
      <c r="R13" s="184"/>
      <c r="S13" s="189">
        <v>17</v>
      </c>
      <c r="T13" s="184"/>
      <c r="U13" s="184"/>
      <c r="V13" s="210" t="s">
        <v>817</v>
      </c>
      <c r="W13" s="211"/>
      <c r="X13" s="211"/>
      <c r="Y13" s="211"/>
      <c r="Z13" s="211"/>
      <c r="AA13" s="213"/>
      <c r="AB13" s="207" t="s">
        <v>818</v>
      </c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9"/>
      <c r="AR13" s="189"/>
      <c r="AS13" s="184"/>
      <c r="AT13" s="184"/>
      <c r="AU13" s="184"/>
      <c r="AV13" s="184"/>
      <c r="AW13" s="185"/>
      <c r="AX13" s="210"/>
      <c r="AY13" s="211"/>
      <c r="AZ13" s="211"/>
      <c r="BA13" s="211"/>
      <c r="BB13" s="211"/>
      <c r="BC13" s="211"/>
      <c r="BD13" s="211"/>
      <c r="BE13" s="211"/>
      <c r="BF13" s="211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1"/>
      <c r="BT13" s="21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04" t="s">
        <v>138</v>
      </c>
      <c r="F14" s="205"/>
      <c r="G14" s="205"/>
      <c r="H14" s="205"/>
      <c r="I14" s="205"/>
      <c r="J14" s="205"/>
      <c r="K14" s="205"/>
      <c r="L14" s="206"/>
      <c r="M14" s="189" t="s">
        <v>38</v>
      </c>
      <c r="N14" s="184"/>
      <c r="O14" s="184"/>
      <c r="P14" s="189" t="s">
        <v>137</v>
      </c>
      <c r="Q14" s="184"/>
      <c r="R14" s="184"/>
      <c r="S14" s="189" t="s">
        <v>139</v>
      </c>
      <c r="T14" s="184"/>
      <c r="U14" s="184"/>
      <c r="V14" s="210" t="s">
        <v>819</v>
      </c>
      <c r="W14" s="211"/>
      <c r="X14" s="211"/>
      <c r="Y14" s="211"/>
      <c r="Z14" s="211"/>
      <c r="AA14" s="213"/>
      <c r="AB14" s="207" t="s">
        <v>820</v>
      </c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9"/>
      <c r="AR14" s="189"/>
      <c r="AS14" s="184"/>
      <c r="AT14" s="184"/>
      <c r="AU14" s="184"/>
      <c r="AV14" s="184"/>
      <c r="AW14" s="185"/>
      <c r="AX14" s="210"/>
      <c r="AY14" s="211"/>
      <c r="AZ14" s="211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04" t="s">
        <v>821</v>
      </c>
      <c r="F15" s="205"/>
      <c r="G15" s="205"/>
      <c r="H15" s="205"/>
      <c r="I15" s="205"/>
      <c r="J15" s="205"/>
      <c r="K15" s="205"/>
      <c r="L15" s="206"/>
      <c r="M15" s="189" t="s">
        <v>47</v>
      </c>
      <c r="N15" s="184"/>
      <c r="O15" s="184"/>
      <c r="P15" s="189" t="s">
        <v>134</v>
      </c>
      <c r="Q15" s="184"/>
      <c r="R15" s="184"/>
      <c r="S15" s="189">
        <v>13</v>
      </c>
      <c r="T15" s="184"/>
      <c r="U15" s="184"/>
      <c r="V15" s="210" t="s">
        <v>822</v>
      </c>
      <c r="W15" s="211"/>
      <c r="X15" s="211"/>
      <c r="Y15" s="211"/>
      <c r="Z15" s="211"/>
      <c r="AA15" s="213"/>
      <c r="AB15" s="207" t="s">
        <v>823</v>
      </c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9"/>
      <c r="AR15" s="189" t="s">
        <v>181</v>
      </c>
      <c r="AS15" s="184"/>
      <c r="AT15" s="184"/>
      <c r="AU15" s="184"/>
      <c r="AV15" s="184"/>
      <c r="AW15" s="185"/>
      <c r="AX15" s="210"/>
      <c r="AY15" s="211"/>
      <c r="AZ15" s="211"/>
      <c r="BA15" s="211"/>
      <c r="BB15" s="211"/>
      <c r="BC15" s="211"/>
      <c r="BD15" s="211"/>
      <c r="BE15" s="211"/>
      <c r="BF15" s="211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1"/>
      <c r="BR15" s="211"/>
      <c r="BS15" s="211"/>
      <c r="BT15" s="21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04" t="s">
        <v>140</v>
      </c>
      <c r="F16" s="205"/>
      <c r="G16" s="205"/>
      <c r="H16" s="205"/>
      <c r="I16" s="205"/>
      <c r="J16" s="205"/>
      <c r="K16" s="205"/>
      <c r="L16" s="206"/>
      <c r="M16" s="189" t="s">
        <v>38</v>
      </c>
      <c r="N16" s="184"/>
      <c r="O16" s="184"/>
      <c r="P16" s="189" t="s">
        <v>137</v>
      </c>
      <c r="Q16" s="184"/>
      <c r="R16" s="184"/>
      <c r="S16" s="189">
        <v>8</v>
      </c>
      <c r="T16" s="184"/>
      <c r="U16" s="184"/>
      <c r="V16" s="207" t="s">
        <v>824</v>
      </c>
      <c r="W16" s="208"/>
      <c r="X16" s="208"/>
      <c r="Y16" s="208"/>
      <c r="Z16" s="208"/>
      <c r="AA16" s="209"/>
      <c r="AB16" s="214" t="s">
        <v>825</v>
      </c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9"/>
      <c r="AR16" s="189"/>
      <c r="AS16" s="184"/>
      <c r="AT16" s="184"/>
      <c r="AU16" s="184"/>
      <c r="AV16" s="184"/>
      <c r="AW16" s="185"/>
      <c r="AX16" s="210" t="s">
        <v>826</v>
      </c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04" t="s">
        <v>141</v>
      </c>
      <c r="F17" s="205"/>
      <c r="G17" s="205"/>
      <c r="H17" s="205"/>
      <c r="I17" s="205"/>
      <c r="J17" s="205"/>
      <c r="K17" s="205"/>
      <c r="L17" s="206"/>
      <c r="M17" s="189" t="s">
        <v>47</v>
      </c>
      <c r="N17" s="184"/>
      <c r="O17" s="184"/>
      <c r="P17" s="189" t="s">
        <v>134</v>
      </c>
      <c r="Q17" s="184"/>
      <c r="R17" s="184"/>
      <c r="S17" s="189">
        <v>13</v>
      </c>
      <c r="T17" s="184"/>
      <c r="U17" s="184"/>
      <c r="V17" s="210" t="s">
        <v>827</v>
      </c>
      <c r="W17" s="211"/>
      <c r="X17" s="211"/>
      <c r="Y17" s="211"/>
      <c r="Z17" s="211"/>
      <c r="AA17" s="213"/>
      <c r="AB17" s="207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9"/>
      <c r="AR17" s="189" t="s">
        <v>181</v>
      </c>
      <c r="AS17" s="184"/>
      <c r="AT17" s="184"/>
      <c r="AU17" s="184"/>
      <c r="AV17" s="184"/>
      <c r="AW17" s="185"/>
      <c r="AX17" s="210"/>
      <c r="AY17" s="211"/>
      <c r="AZ17" s="211"/>
      <c r="BA17" s="211"/>
      <c r="BB17" s="211"/>
      <c r="BC17" s="211"/>
      <c r="BD17" s="211"/>
      <c r="BE17" s="211"/>
      <c r="BF17" s="211"/>
      <c r="BG17" s="211"/>
      <c r="BH17" s="211"/>
      <c r="BI17" s="211"/>
      <c r="BJ17" s="211"/>
      <c r="BK17" s="211"/>
      <c r="BL17" s="211"/>
      <c r="BM17" s="211"/>
      <c r="BN17" s="211"/>
      <c r="BO17" s="211"/>
      <c r="BP17" s="211"/>
      <c r="BQ17" s="211"/>
      <c r="BR17" s="211"/>
      <c r="BS17" s="211"/>
      <c r="BT17" s="21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04" t="s">
        <v>142</v>
      </c>
      <c r="F18" s="205"/>
      <c r="G18" s="205"/>
      <c r="H18" s="205"/>
      <c r="I18" s="205"/>
      <c r="J18" s="205"/>
      <c r="K18" s="205"/>
      <c r="L18" s="206"/>
      <c r="M18" s="189" t="s">
        <v>47</v>
      </c>
      <c r="N18" s="184"/>
      <c r="O18" s="184"/>
      <c r="P18" s="189" t="s">
        <v>134</v>
      </c>
      <c r="Q18" s="184"/>
      <c r="R18" s="184"/>
      <c r="S18" s="189">
        <v>13</v>
      </c>
      <c r="T18" s="184"/>
      <c r="U18" s="184"/>
      <c r="V18" s="210" t="s">
        <v>828</v>
      </c>
      <c r="W18" s="211"/>
      <c r="X18" s="211"/>
      <c r="Y18" s="211"/>
      <c r="Z18" s="211"/>
      <c r="AA18" s="213"/>
      <c r="AB18" s="207" t="s">
        <v>829</v>
      </c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9"/>
      <c r="AR18" s="189" t="s">
        <v>181</v>
      </c>
      <c r="AS18" s="184"/>
      <c r="AT18" s="184"/>
      <c r="AU18" s="184"/>
      <c r="AV18" s="184"/>
      <c r="AW18" s="185"/>
      <c r="AX18" s="210"/>
      <c r="AY18" s="211"/>
      <c r="AZ18" s="211"/>
      <c r="BA18" s="211"/>
      <c r="BB18" s="211"/>
      <c r="BC18" s="211"/>
      <c r="BD18" s="211"/>
      <c r="BE18" s="211"/>
      <c r="BF18" s="211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1"/>
      <c r="BR18" s="211"/>
      <c r="BS18" s="211"/>
      <c r="BT18" s="212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04" t="s">
        <v>143</v>
      </c>
      <c r="F19" s="205"/>
      <c r="G19" s="205"/>
      <c r="H19" s="205"/>
      <c r="I19" s="205"/>
      <c r="J19" s="205"/>
      <c r="K19" s="205"/>
      <c r="L19" s="206"/>
      <c r="M19" s="189" t="s">
        <v>38</v>
      </c>
      <c r="N19" s="184"/>
      <c r="O19" s="184"/>
      <c r="P19" s="189" t="s">
        <v>137</v>
      </c>
      <c r="Q19" s="184"/>
      <c r="R19" s="184"/>
      <c r="S19" s="189" t="s">
        <v>139</v>
      </c>
      <c r="T19" s="184"/>
      <c r="U19" s="184"/>
      <c r="V19" s="210" t="s">
        <v>830</v>
      </c>
      <c r="W19" s="211"/>
      <c r="X19" s="211"/>
      <c r="Y19" s="211"/>
      <c r="Z19" s="211"/>
      <c r="AA19" s="213"/>
      <c r="AB19" s="207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9"/>
      <c r="AR19" s="189"/>
      <c r="AS19" s="184"/>
      <c r="AT19" s="184"/>
      <c r="AU19" s="184"/>
      <c r="AV19" s="184"/>
      <c r="AW19" s="185"/>
      <c r="AX19" s="210"/>
      <c r="AY19" s="211"/>
      <c r="AZ19" s="211"/>
      <c r="BA19" s="211"/>
      <c r="BB19" s="211"/>
      <c r="BC19" s="211"/>
      <c r="BD19" s="211"/>
      <c r="BE19" s="211"/>
      <c r="BF19" s="211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1"/>
      <c r="BR19" s="211"/>
      <c r="BS19" s="211"/>
      <c r="BT19" s="212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04" t="s">
        <v>144</v>
      </c>
      <c r="F20" s="205"/>
      <c r="G20" s="205"/>
      <c r="H20" s="205"/>
      <c r="I20" s="205"/>
      <c r="J20" s="205"/>
      <c r="K20" s="205"/>
      <c r="L20" s="206"/>
      <c r="M20" s="189" t="s">
        <v>38</v>
      </c>
      <c r="N20" s="184"/>
      <c r="O20" s="184"/>
      <c r="P20" s="189" t="s">
        <v>137</v>
      </c>
      <c r="Q20" s="184"/>
      <c r="R20" s="184"/>
      <c r="S20" s="189" t="s">
        <v>139</v>
      </c>
      <c r="T20" s="184"/>
      <c r="U20" s="184"/>
      <c r="V20" s="210" t="s">
        <v>831</v>
      </c>
      <c r="W20" s="211"/>
      <c r="X20" s="211"/>
      <c r="Y20" s="211"/>
      <c r="Z20" s="211"/>
      <c r="AA20" s="213"/>
      <c r="AB20" s="214" t="s">
        <v>832</v>
      </c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9"/>
      <c r="AR20" s="189"/>
      <c r="AS20" s="184"/>
      <c r="AT20" s="184"/>
      <c r="AU20" s="184"/>
      <c r="AV20" s="184"/>
      <c r="AW20" s="185"/>
      <c r="AX20" s="210"/>
      <c r="AY20" s="211"/>
      <c r="AZ20" s="211"/>
      <c r="BA20" s="211"/>
      <c r="BB20" s="211"/>
      <c r="BC20" s="211"/>
      <c r="BD20" s="211"/>
      <c r="BE20" s="211"/>
      <c r="BF20" s="211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1"/>
      <c r="BR20" s="211"/>
      <c r="BS20" s="211"/>
      <c r="BT20" s="21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04" t="s">
        <v>145</v>
      </c>
      <c r="F21" s="205"/>
      <c r="G21" s="205"/>
      <c r="H21" s="205"/>
      <c r="I21" s="205"/>
      <c r="J21" s="205"/>
      <c r="K21" s="205"/>
      <c r="L21" s="206"/>
      <c r="M21" s="189" t="s">
        <v>38</v>
      </c>
      <c r="N21" s="184"/>
      <c r="O21" s="184"/>
      <c r="P21" s="189" t="s">
        <v>137</v>
      </c>
      <c r="Q21" s="184"/>
      <c r="R21" s="184"/>
      <c r="S21" s="189" t="s">
        <v>139</v>
      </c>
      <c r="T21" s="184"/>
      <c r="U21" s="184"/>
      <c r="V21" s="210" t="s">
        <v>833</v>
      </c>
      <c r="W21" s="211"/>
      <c r="X21" s="211"/>
      <c r="Y21" s="211"/>
      <c r="Z21" s="211"/>
      <c r="AA21" s="213"/>
      <c r="AB21" s="207" t="s">
        <v>834</v>
      </c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9"/>
      <c r="AR21" s="189"/>
      <c r="AS21" s="184"/>
      <c r="AT21" s="184"/>
      <c r="AU21" s="184"/>
      <c r="AV21" s="184"/>
      <c r="AW21" s="185"/>
      <c r="AX21" s="210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1"/>
      <c r="BR21" s="211"/>
      <c r="BS21" s="211"/>
      <c r="BT21" s="21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04" t="s">
        <v>43</v>
      </c>
      <c r="F22" s="205"/>
      <c r="G22" s="205"/>
      <c r="H22" s="205"/>
      <c r="I22" s="205"/>
      <c r="J22" s="205"/>
      <c r="K22" s="205"/>
      <c r="L22" s="206"/>
      <c r="M22" s="189" t="s">
        <v>38</v>
      </c>
      <c r="N22" s="184"/>
      <c r="O22" s="184"/>
      <c r="P22" s="189" t="s">
        <v>137</v>
      </c>
      <c r="Q22" s="184"/>
      <c r="R22" s="184"/>
      <c r="S22" s="189" t="s">
        <v>139</v>
      </c>
      <c r="T22" s="184"/>
      <c r="U22" s="184"/>
      <c r="V22" s="210" t="s">
        <v>835</v>
      </c>
      <c r="W22" s="211"/>
      <c r="X22" s="211"/>
      <c r="Y22" s="211"/>
      <c r="Z22" s="211"/>
      <c r="AA22" s="213"/>
      <c r="AB22" s="207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9"/>
      <c r="AR22" s="189"/>
      <c r="AS22" s="184"/>
      <c r="AT22" s="184"/>
      <c r="AU22" s="184"/>
      <c r="AV22" s="184"/>
      <c r="AW22" s="185"/>
      <c r="AX22" s="210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1"/>
      <c r="BR22" s="211"/>
      <c r="BS22" s="211"/>
      <c r="BT22" s="21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16" t="s">
        <v>152</v>
      </c>
      <c r="F23" s="217"/>
      <c r="G23" s="217"/>
      <c r="H23" s="217"/>
      <c r="I23" s="217"/>
      <c r="J23" s="217"/>
      <c r="K23" s="217"/>
      <c r="L23" s="218"/>
      <c r="M23" s="189" t="s">
        <v>47</v>
      </c>
      <c r="N23" s="184"/>
      <c r="O23" s="184"/>
      <c r="P23" s="189" t="s">
        <v>134</v>
      </c>
      <c r="Q23" s="184"/>
      <c r="R23" s="184"/>
      <c r="S23" s="189">
        <v>7</v>
      </c>
      <c r="T23" s="184"/>
      <c r="U23" s="184"/>
      <c r="V23" s="219" t="s">
        <v>153</v>
      </c>
      <c r="W23" s="220"/>
      <c r="X23" s="220"/>
      <c r="Y23" s="220"/>
      <c r="Z23" s="220"/>
      <c r="AA23" s="226"/>
      <c r="AB23" s="207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9"/>
      <c r="AR23" s="189"/>
      <c r="AS23" s="184"/>
      <c r="AT23" s="184"/>
      <c r="AU23" s="184"/>
      <c r="AV23" s="184"/>
      <c r="AW23" s="185"/>
      <c r="AX23" s="210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1"/>
      <c r="BR23" s="211"/>
      <c r="BS23" s="211"/>
      <c r="BT23" s="21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16" t="s">
        <v>154</v>
      </c>
      <c r="F24" s="217"/>
      <c r="G24" s="217"/>
      <c r="H24" s="217"/>
      <c r="I24" s="217"/>
      <c r="J24" s="217"/>
      <c r="K24" s="217"/>
      <c r="L24" s="218"/>
      <c r="M24" s="189" t="s">
        <v>38</v>
      </c>
      <c r="N24" s="184"/>
      <c r="O24" s="184"/>
      <c r="P24" s="189" t="s">
        <v>137</v>
      </c>
      <c r="Q24" s="184"/>
      <c r="R24" s="184"/>
      <c r="S24" s="189">
        <v>41</v>
      </c>
      <c r="T24" s="184"/>
      <c r="U24" s="184"/>
      <c r="V24" s="219" t="s">
        <v>155</v>
      </c>
      <c r="W24" s="220"/>
      <c r="X24" s="220"/>
      <c r="Y24" s="220"/>
      <c r="Z24" s="220"/>
      <c r="AA24" s="226"/>
      <c r="AB24" s="207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9"/>
      <c r="AR24" s="189"/>
      <c r="AS24" s="184"/>
      <c r="AT24" s="184"/>
      <c r="AU24" s="184"/>
      <c r="AV24" s="184"/>
      <c r="AW24" s="185"/>
      <c r="AX24" s="210"/>
      <c r="AY24" s="211"/>
      <c r="AZ24" s="211"/>
      <c r="BA24" s="211"/>
      <c r="BB24" s="211"/>
      <c r="BC24" s="211"/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1"/>
      <c r="BR24" s="211"/>
      <c r="BS24" s="211"/>
      <c r="BT24" s="21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16" t="s">
        <v>156</v>
      </c>
      <c r="F25" s="217"/>
      <c r="G25" s="217"/>
      <c r="H25" s="217"/>
      <c r="I25" s="217"/>
      <c r="J25" s="217"/>
      <c r="K25" s="217"/>
      <c r="L25" s="218"/>
      <c r="M25" s="189" t="s">
        <v>47</v>
      </c>
      <c r="N25" s="184"/>
      <c r="O25" s="184"/>
      <c r="P25" s="189" t="s">
        <v>134</v>
      </c>
      <c r="Q25" s="184"/>
      <c r="R25" s="184"/>
      <c r="S25" s="189">
        <v>11</v>
      </c>
      <c r="T25" s="184"/>
      <c r="U25" s="184"/>
      <c r="V25" s="219" t="s">
        <v>157</v>
      </c>
      <c r="W25" s="220"/>
      <c r="X25" s="220"/>
      <c r="Y25" s="220"/>
      <c r="Z25" s="220"/>
      <c r="AA25" s="226"/>
      <c r="AB25" s="207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9"/>
      <c r="AR25" s="189"/>
      <c r="AS25" s="184"/>
      <c r="AT25" s="184"/>
      <c r="AU25" s="184"/>
      <c r="AV25" s="184"/>
      <c r="AW25" s="185"/>
      <c r="AX25" s="210"/>
      <c r="AY25" s="211"/>
      <c r="AZ25" s="211"/>
      <c r="BA25" s="211"/>
      <c r="BB25" s="211"/>
      <c r="BC25" s="211"/>
      <c r="BD25" s="211"/>
      <c r="BE25" s="211"/>
      <c r="BF25" s="211"/>
      <c r="BG25" s="211"/>
      <c r="BH25" s="211"/>
      <c r="BI25" s="211"/>
      <c r="BJ25" s="211"/>
      <c r="BK25" s="211"/>
      <c r="BL25" s="211"/>
      <c r="BM25" s="211"/>
      <c r="BN25" s="211"/>
      <c r="BO25" s="211"/>
      <c r="BP25" s="211"/>
      <c r="BQ25" s="211"/>
      <c r="BR25" s="211"/>
      <c r="BS25" s="211"/>
      <c r="BT25" s="21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16" t="s">
        <v>158</v>
      </c>
      <c r="F26" s="217"/>
      <c r="G26" s="217"/>
      <c r="H26" s="217"/>
      <c r="I26" s="217"/>
      <c r="J26" s="217"/>
      <c r="K26" s="217"/>
      <c r="L26" s="218"/>
      <c r="M26" s="189" t="s">
        <v>47</v>
      </c>
      <c r="N26" s="184"/>
      <c r="O26" s="184"/>
      <c r="P26" s="189" t="s">
        <v>134</v>
      </c>
      <c r="Q26" s="184"/>
      <c r="R26" s="184"/>
      <c r="S26" s="189">
        <v>11</v>
      </c>
      <c r="T26" s="184"/>
      <c r="U26" s="184"/>
      <c r="V26" s="219" t="s">
        <v>159</v>
      </c>
      <c r="W26" s="220"/>
      <c r="X26" s="220"/>
      <c r="Y26" s="220"/>
      <c r="Z26" s="220"/>
      <c r="AA26" s="226"/>
      <c r="AB26" s="207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9"/>
      <c r="AR26" s="189"/>
      <c r="AS26" s="184"/>
      <c r="AT26" s="184"/>
      <c r="AU26" s="184"/>
      <c r="AV26" s="184"/>
      <c r="AW26" s="185"/>
      <c r="AX26" s="210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/>
      <c r="BO26" s="211"/>
      <c r="BP26" s="211"/>
      <c r="BQ26" s="211"/>
      <c r="BR26" s="211"/>
      <c r="BS26" s="211"/>
      <c r="BT26" s="21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04" t="s">
        <v>163</v>
      </c>
      <c r="F27" s="205"/>
      <c r="G27" s="205"/>
      <c r="H27" s="205"/>
      <c r="I27" s="205"/>
      <c r="J27" s="205"/>
      <c r="K27" s="205"/>
      <c r="L27" s="206"/>
      <c r="M27" s="189" t="s">
        <v>47</v>
      </c>
      <c r="N27" s="184"/>
      <c r="O27" s="184"/>
      <c r="P27" s="189" t="s">
        <v>134</v>
      </c>
      <c r="Q27" s="184"/>
      <c r="R27" s="184"/>
      <c r="S27" s="189">
        <v>11</v>
      </c>
      <c r="T27" s="184"/>
      <c r="U27" s="184"/>
      <c r="V27" s="219" t="s">
        <v>864</v>
      </c>
      <c r="W27" s="220"/>
      <c r="X27" s="220"/>
      <c r="Y27" s="220"/>
      <c r="Z27" s="220"/>
      <c r="AA27" s="226"/>
      <c r="AB27" s="207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9"/>
      <c r="AR27" s="189"/>
      <c r="AS27" s="184"/>
      <c r="AT27" s="184"/>
      <c r="AU27" s="184"/>
      <c r="AV27" s="184"/>
      <c r="AW27" s="185"/>
      <c r="AX27" s="210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04" t="s">
        <v>160</v>
      </c>
      <c r="F28" s="205"/>
      <c r="G28" s="205"/>
      <c r="H28" s="205"/>
      <c r="I28" s="205"/>
      <c r="J28" s="205"/>
      <c r="K28" s="205"/>
      <c r="L28" s="206"/>
      <c r="M28" s="189" t="s">
        <v>38</v>
      </c>
      <c r="N28" s="184"/>
      <c r="O28" s="184"/>
      <c r="P28" s="189" t="s">
        <v>137</v>
      </c>
      <c r="Q28" s="184"/>
      <c r="R28" s="184"/>
      <c r="S28" s="189">
        <v>20</v>
      </c>
      <c r="T28" s="184"/>
      <c r="U28" s="184"/>
      <c r="V28" s="210" t="s">
        <v>836</v>
      </c>
      <c r="W28" s="211"/>
      <c r="X28" s="211"/>
      <c r="Y28" s="211"/>
      <c r="Z28" s="211"/>
      <c r="AA28" s="213"/>
      <c r="AB28" s="207" t="s">
        <v>161</v>
      </c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9"/>
      <c r="AR28" s="189" t="s">
        <v>180</v>
      </c>
      <c r="AS28" s="184"/>
      <c r="AT28" s="184"/>
      <c r="AU28" s="184"/>
      <c r="AV28" s="184"/>
      <c r="AW28" s="185"/>
      <c r="AX28" s="210" t="s">
        <v>838</v>
      </c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211"/>
      <c r="BP28" s="211"/>
      <c r="BQ28" s="211"/>
      <c r="BR28" s="211"/>
      <c r="BS28" s="211"/>
      <c r="BT28" s="21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04" t="s">
        <v>162</v>
      </c>
      <c r="F29" s="205"/>
      <c r="G29" s="205"/>
      <c r="H29" s="205"/>
      <c r="I29" s="205"/>
      <c r="J29" s="205"/>
      <c r="K29" s="205"/>
      <c r="L29" s="206"/>
      <c r="M29" s="189" t="s">
        <v>38</v>
      </c>
      <c r="N29" s="184"/>
      <c r="O29" s="184"/>
      <c r="P29" s="189" t="s">
        <v>134</v>
      </c>
      <c r="Q29" s="184"/>
      <c r="R29" s="184"/>
      <c r="S29" s="189">
        <v>41</v>
      </c>
      <c r="T29" s="184"/>
      <c r="U29" s="184"/>
      <c r="V29" s="210" t="s">
        <v>837</v>
      </c>
      <c r="W29" s="211"/>
      <c r="X29" s="211"/>
      <c r="Y29" s="211"/>
      <c r="Z29" s="211"/>
      <c r="AA29" s="213"/>
      <c r="AB29" s="207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9"/>
      <c r="AR29" s="189"/>
      <c r="AS29" s="184"/>
      <c r="AT29" s="184"/>
      <c r="AU29" s="184"/>
      <c r="AV29" s="184"/>
      <c r="AW29" s="185"/>
      <c r="AX29" s="210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1"/>
      <c r="BR29" s="211"/>
      <c r="BS29" s="211"/>
      <c r="BT29" s="21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04" t="s">
        <v>164</v>
      </c>
      <c r="F30" s="205"/>
      <c r="G30" s="205"/>
      <c r="H30" s="205"/>
      <c r="I30" s="205"/>
      <c r="J30" s="205"/>
      <c r="K30" s="205"/>
      <c r="L30" s="206"/>
      <c r="M30" s="189" t="s">
        <v>38</v>
      </c>
      <c r="N30" s="184"/>
      <c r="O30" s="184"/>
      <c r="P30" s="189" t="s">
        <v>137</v>
      </c>
      <c r="Q30" s="184"/>
      <c r="R30" s="184"/>
      <c r="S30" s="189" t="s">
        <v>139</v>
      </c>
      <c r="T30" s="184"/>
      <c r="U30" s="184"/>
      <c r="V30" s="210" t="s">
        <v>863</v>
      </c>
      <c r="W30" s="211"/>
      <c r="X30" s="211"/>
      <c r="Y30" s="211"/>
      <c r="Z30" s="211"/>
      <c r="AA30" s="213"/>
      <c r="AB30" s="207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9"/>
      <c r="AR30" s="194"/>
      <c r="AS30" s="195"/>
      <c r="AT30" s="195"/>
      <c r="AU30" s="195"/>
      <c r="AV30" s="195"/>
      <c r="AW30" s="196"/>
      <c r="AX30" s="197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203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04" t="s">
        <v>839</v>
      </c>
      <c r="F31" s="205"/>
      <c r="G31" s="205"/>
      <c r="H31" s="205"/>
      <c r="I31" s="205"/>
      <c r="J31" s="205"/>
      <c r="K31" s="205"/>
      <c r="L31" s="206"/>
      <c r="M31" s="189" t="s">
        <v>38</v>
      </c>
      <c r="N31" s="184"/>
      <c r="O31" s="184"/>
      <c r="P31" s="189" t="s">
        <v>134</v>
      </c>
      <c r="Q31" s="184"/>
      <c r="R31" s="184"/>
      <c r="S31" s="189">
        <v>4</v>
      </c>
      <c r="T31" s="184"/>
      <c r="U31" s="184"/>
      <c r="V31" s="210" t="s">
        <v>840</v>
      </c>
      <c r="W31" s="211"/>
      <c r="X31" s="211"/>
      <c r="Y31" s="211"/>
      <c r="Z31" s="211"/>
      <c r="AA31" s="213"/>
      <c r="AB31" s="207" t="s">
        <v>841</v>
      </c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9"/>
      <c r="AR31" s="189"/>
      <c r="AS31" s="184"/>
      <c r="AT31" s="184"/>
      <c r="AU31" s="184"/>
      <c r="AV31" s="184"/>
      <c r="AW31" s="185"/>
      <c r="AX31" s="210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211"/>
      <c r="BP31" s="211"/>
      <c r="BQ31" s="211"/>
      <c r="BR31" s="211"/>
      <c r="BS31" s="211"/>
      <c r="BT31" s="212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204" t="s">
        <v>165</v>
      </c>
      <c r="F32" s="205"/>
      <c r="G32" s="205"/>
      <c r="H32" s="205"/>
      <c r="I32" s="205"/>
      <c r="J32" s="205"/>
      <c r="K32" s="205"/>
      <c r="L32" s="206"/>
      <c r="M32" s="189" t="s">
        <v>38</v>
      </c>
      <c r="N32" s="184"/>
      <c r="O32" s="184"/>
      <c r="P32" s="189" t="s">
        <v>137</v>
      </c>
      <c r="Q32" s="184"/>
      <c r="R32" s="184"/>
      <c r="S32" s="189" t="s">
        <v>139</v>
      </c>
      <c r="T32" s="184"/>
      <c r="U32" s="184"/>
      <c r="V32" s="210" t="s">
        <v>842</v>
      </c>
      <c r="W32" s="211"/>
      <c r="X32" s="211"/>
      <c r="Y32" s="211"/>
      <c r="Z32" s="211"/>
      <c r="AA32" s="213"/>
      <c r="AB32" s="207" t="s">
        <v>843</v>
      </c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9"/>
      <c r="AR32" s="189"/>
      <c r="AS32" s="184"/>
      <c r="AT32" s="184"/>
      <c r="AU32" s="184"/>
      <c r="AV32" s="184"/>
      <c r="AW32" s="185"/>
      <c r="AX32" s="219" t="s">
        <v>184</v>
      </c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0"/>
      <c r="BJ32" s="220"/>
      <c r="BK32" s="220"/>
      <c r="BL32" s="220"/>
      <c r="BM32" s="220"/>
      <c r="BN32" s="220"/>
      <c r="BO32" s="220"/>
      <c r="BP32" s="220"/>
      <c r="BQ32" s="220"/>
      <c r="BR32" s="220"/>
      <c r="BS32" s="220"/>
      <c r="BT32" s="22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204" t="s">
        <v>166</v>
      </c>
      <c r="F33" s="205"/>
      <c r="G33" s="205"/>
      <c r="H33" s="205"/>
      <c r="I33" s="205"/>
      <c r="J33" s="205"/>
      <c r="K33" s="205"/>
      <c r="L33" s="206"/>
      <c r="M33" s="189" t="s">
        <v>38</v>
      </c>
      <c r="N33" s="184"/>
      <c r="O33" s="184"/>
      <c r="P33" s="189" t="s">
        <v>134</v>
      </c>
      <c r="Q33" s="184"/>
      <c r="R33" s="184"/>
      <c r="S33" s="189">
        <v>9</v>
      </c>
      <c r="T33" s="184"/>
      <c r="U33" s="184"/>
      <c r="V33" s="210" t="s">
        <v>844</v>
      </c>
      <c r="W33" s="211"/>
      <c r="X33" s="211"/>
      <c r="Y33" s="211"/>
      <c r="Z33" s="211"/>
      <c r="AA33" s="213"/>
      <c r="AB33" s="207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9"/>
      <c r="AR33" s="189"/>
      <c r="AS33" s="184"/>
      <c r="AT33" s="184"/>
      <c r="AU33" s="184"/>
      <c r="AV33" s="184"/>
      <c r="AW33" s="185"/>
      <c r="AX33" s="210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211"/>
      <c r="BP33" s="211"/>
      <c r="BQ33" s="211"/>
      <c r="BR33" s="211"/>
      <c r="BS33" s="211"/>
      <c r="BT33" s="212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04" t="s">
        <v>167</v>
      </c>
      <c r="F34" s="205"/>
      <c r="G34" s="205"/>
      <c r="H34" s="205"/>
      <c r="I34" s="205"/>
      <c r="J34" s="205"/>
      <c r="K34" s="205"/>
      <c r="L34" s="206"/>
      <c r="M34" s="189" t="s">
        <v>38</v>
      </c>
      <c r="N34" s="184"/>
      <c r="O34" s="184"/>
      <c r="P34" s="189" t="s">
        <v>134</v>
      </c>
      <c r="Q34" s="184"/>
      <c r="R34" s="184"/>
      <c r="S34" s="189">
        <v>9</v>
      </c>
      <c r="T34" s="184"/>
      <c r="U34" s="184"/>
      <c r="V34" s="210" t="s">
        <v>845</v>
      </c>
      <c r="W34" s="211"/>
      <c r="X34" s="211"/>
      <c r="Y34" s="211"/>
      <c r="Z34" s="211"/>
      <c r="AA34" s="213"/>
      <c r="AB34" s="214" t="s">
        <v>846</v>
      </c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9"/>
      <c r="AR34" s="189"/>
      <c r="AS34" s="184"/>
      <c r="AT34" s="184"/>
      <c r="AU34" s="184"/>
      <c r="AV34" s="184"/>
      <c r="AW34" s="185"/>
      <c r="AX34" s="210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1"/>
      <c r="BR34" s="211"/>
      <c r="BS34" s="211"/>
      <c r="BT34" s="212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204" t="s">
        <v>168</v>
      </c>
      <c r="F35" s="205"/>
      <c r="G35" s="205"/>
      <c r="H35" s="205"/>
      <c r="I35" s="205"/>
      <c r="J35" s="205"/>
      <c r="K35" s="205"/>
      <c r="L35" s="206"/>
      <c r="M35" s="189" t="s">
        <v>38</v>
      </c>
      <c r="N35" s="184"/>
      <c r="O35" s="184"/>
      <c r="P35" s="189" t="s">
        <v>134</v>
      </c>
      <c r="Q35" s="184"/>
      <c r="R35" s="184"/>
      <c r="S35" s="189">
        <v>9</v>
      </c>
      <c r="T35" s="184"/>
      <c r="U35" s="184"/>
      <c r="V35" s="210" t="s">
        <v>847</v>
      </c>
      <c r="W35" s="211"/>
      <c r="X35" s="211"/>
      <c r="Y35" s="211"/>
      <c r="Z35" s="211"/>
      <c r="AA35" s="213"/>
      <c r="AB35" s="214" t="s">
        <v>848</v>
      </c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9"/>
      <c r="AR35" s="194"/>
      <c r="AS35" s="195"/>
      <c r="AT35" s="195"/>
      <c r="AU35" s="195"/>
      <c r="AV35" s="195"/>
      <c r="AW35" s="196"/>
      <c r="AX35" s="197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198"/>
      <c r="BO35" s="198"/>
      <c r="BP35" s="198"/>
      <c r="BQ35" s="198"/>
      <c r="BR35" s="198"/>
      <c r="BS35" s="198"/>
      <c r="BT35" s="203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216" t="s">
        <v>175</v>
      </c>
      <c r="F36" s="217"/>
      <c r="G36" s="217"/>
      <c r="H36" s="217"/>
      <c r="I36" s="217"/>
      <c r="J36" s="217"/>
      <c r="K36" s="217"/>
      <c r="L36" s="218"/>
      <c r="M36" s="189" t="s">
        <v>47</v>
      </c>
      <c r="N36" s="184"/>
      <c r="O36" s="184"/>
      <c r="P36" s="189" t="s">
        <v>134</v>
      </c>
      <c r="Q36" s="184"/>
      <c r="R36" s="184"/>
      <c r="S36" s="189">
        <v>6</v>
      </c>
      <c r="T36" s="184"/>
      <c r="U36" s="184"/>
      <c r="V36" s="210" t="s">
        <v>849</v>
      </c>
      <c r="W36" s="211"/>
      <c r="X36" s="211"/>
      <c r="Y36" s="211"/>
      <c r="Z36" s="211"/>
      <c r="AA36" s="213"/>
      <c r="AB36" s="214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9"/>
      <c r="AR36" s="189"/>
      <c r="AS36" s="184"/>
      <c r="AT36" s="184"/>
      <c r="AU36" s="184"/>
      <c r="AV36" s="184"/>
      <c r="AW36" s="185"/>
      <c r="AX36" s="210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211"/>
      <c r="BP36" s="211"/>
      <c r="BQ36" s="211"/>
      <c r="BR36" s="211"/>
      <c r="BS36" s="211"/>
      <c r="BT36" s="212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204" t="s">
        <v>169</v>
      </c>
      <c r="F37" s="205"/>
      <c r="G37" s="205"/>
      <c r="H37" s="205"/>
      <c r="I37" s="205"/>
      <c r="J37" s="205"/>
      <c r="K37" s="205"/>
      <c r="L37" s="206"/>
      <c r="M37" s="189" t="s">
        <v>47</v>
      </c>
      <c r="N37" s="184"/>
      <c r="O37" s="184"/>
      <c r="P37" s="189" t="s">
        <v>134</v>
      </c>
      <c r="Q37" s="184"/>
      <c r="R37" s="184"/>
      <c r="S37" s="189">
        <v>9</v>
      </c>
      <c r="T37" s="184"/>
      <c r="U37" s="184"/>
      <c r="V37" s="210" t="s">
        <v>850</v>
      </c>
      <c r="W37" s="211"/>
      <c r="X37" s="211"/>
      <c r="Y37" s="211"/>
      <c r="Z37" s="211"/>
      <c r="AA37" s="213"/>
      <c r="AB37" s="207" t="s">
        <v>851</v>
      </c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9"/>
      <c r="AR37" s="215" t="s">
        <v>177</v>
      </c>
      <c r="AS37" s="184"/>
      <c r="AT37" s="184"/>
      <c r="AU37" s="184"/>
      <c r="AV37" s="184"/>
      <c r="AW37" s="185"/>
      <c r="AX37" s="210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211"/>
      <c r="BP37" s="211"/>
      <c r="BQ37" s="211"/>
      <c r="BR37" s="211"/>
      <c r="BS37" s="211"/>
      <c r="BT37" s="212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204" t="s">
        <v>170</v>
      </c>
      <c r="F38" s="205"/>
      <c r="G38" s="205"/>
      <c r="H38" s="205"/>
      <c r="I38" s="205"/>
      <c r="J38" s="205"/>
      <c r="K38" s="205"/>
      <c r="L38" s="206"/>
      <c r="M38" s="189" t="s">
        <v>38</v>
      </c>
      <c r="N38" s="184"/>
      <c r="O38" s="184"/>
      <c r="P38" s="189" t="s">
        <v>137</v>
      </c>
      <c r="Q38" s="184"/>
      <c r="R38" s="184"/>
      <c r="S38" s="189">
        <v>3</v>
      </c>
      <c r="T38" s="184"/>
      <c r="U38" s="184"/>
      <c r="V38" s="210" t="s">
        <v>852</v>
      </c>
      <c r="W38" s="211"/>
      <c r="X38" s="211"/>
      <c r="Y38" s="211"/>
      <c r="Z38" s="211"/>
      <c r="AA38" s="213"/>
      <c r="AB38" s="207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9"/>
      <c r="AR38" s="189"/>
      <c r="AS38" s="184"/>
      <c r="AT38" s="184"/>
      <c r="AU38" s="184"/>
      <c r="AV38" s="184"/>
      <c r="AW38" s="185"/>
      <c r="AX38" s="210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2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216" t="s">
        <v>176</v>
      </c>
      <c r="F39" s="217"/>
      <c r="G39" s="217"/>
      <c r="H39" s="217"/>
      <c r="I39" s="217"/>
      <c r="J39" s="217"/>
      <c r="K39" s="217"/>
      <c r="L39" s="218"/>
      <c r="M39" s="189" t="s">
        <v>47</v>
      </c>
      <c r="N39" s="184"/>
      <c r="O39" s="184"/>
      <c r="P39" s="189" t="s">
        <v>134</v>
      </c>
      <c r="Q39" s="184"/>
      <c r="R39" s="184"/>
      <c r="S39" s="189">
        <v>6</v>
      </c>
      <c r="T39" s="184"/>
      <c r="U39" s="184"/>
      <c r="V39" s="210" t="s">
        <v>853</v>
      </c>
      <c r="W39" s="211"/>
      <c r="X39" s="211"/>
      <c r="Y39" s="211"/>
      <c r="Z39" s="211"/>
      <c r="AA39" s="213"/>
      <c r="AB39" s="207" t="s">
        <v>854</v>
      </c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9"/>
      <c r="AR39" s="189"/>
      <c r="AS39" s="184"/>
      <c r="AT39" s="184"/>
      <c r="AU39" s="184"/>
      <c r="AV39" s="184"/>
      <c r="AW39" s="185"/>
      <c r="AX39" s="210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211"/>
      <c r="BP39" s="211"/>
      <c r="BQ39" s="211"/>
      <c r="BR39" s="211"/>
      <c r="BS39" s="211"/>
      <c r="BT39" s="212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x14ac:dyDescent="0.45">
      <c r="A40" s="29"/>
      <c r="B40" s="44"/>
      <c r="C40" s="29"/>
      <c r="D40" s="37">
        <v>30</v>
      </c>
      <c r="E40" s="204" t="s">
        <v>171</v>
      </c>
      <c r="F40" s="205"/>
      <c r="G40" s="205"/>
      <c r="H40" s="205"/>
      <c r="I40" s="205"/>
      <c r="J40" s="205"/>
      <c r="K40" s="205"/>
      <c r="L40" s="206"/>
      <c r="M40" s="189" t="s">
        <v>47</v>
      </c>
      <c r="N40" s="184"/>
      <c r="O40" s="184"/>
      <c r="P40" s="189" t="s">
        <v>134</v>
      </c>
      <c r="Q40" s="184"/>
      <c r="R40" s="184"/>
      <c r="S40" s="189">
        <v>12</v>
      </c>
      <c r="T40" s="184"/>
      <c r="U40" s="184"/>
      <c r="V40" s="210" t="s">
        <v>855</v>
      </c>
      <c r="W40" s="211"/>
      <c r="X40" s="211"/>
      <c r="Y40" s="211"/>
      <c r="Z40" s="211"/>
      <c r="AA40" s="213"/>
      <c r="AB40" s="207" t="s">
        <v>856</v>
      </c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9"/>
      <c r="AR40" s="215" t="s">
        <v>177</v>
      </c>
      <c r="AS40" s="184"/>
      <c r="AT40" s="184"/>
      <c r="AU40" s="184"/>
      <c r="AV40" s="184"/>
      <c r="AW40" s="185"/>
      <c r="AX40" s="210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211"/>
      <c r="BP40" s="211"/>
      <c r="BQ40" s="211"/>
      <c r="BR40" s="211"/>
      <c r="BS40" s="211"/>
      <c r="BT40" s="212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204" t="s">
        <v>172</v>
      </c>
      <c r="F41" s="205"/>
      <c r="G41" s="205"/>
      <c r="H41" s="205"/>
      <c r="I41" s="205"/>
      <c r="J41" s="205"/>
      <c r="K41" s="205"/>
      <c r="L41" s="206"/>
      <c r="M41" s="189" t="s">
        <v>47</v>
      </c>
      <c r="N41" s="184"/>
      <c r="O41" s="184"/>
      <c r="P41" s="189" t="s">
        <v>134</v>
      </c>
      <c r="Q41" s="184"/>
      <c r="R41" s="184"/>
      <c r="S41" s="189">
        <v>12</v>
      </c>
      <c r="T41" s="184"/>
      <c r="U41" s="184"/>
      <c r="V41" s="210" t="s">
        <v>857</v>
      </c>
      <c r="W41" s="211"/>
      <c r="X41" s="211"/>
      <c r="Y41" s="211"/>
      <c r="Z41" s="211"/>
      <c r="AA41" s="213"/>
      <c r="AB41" s="214" t="s">
        <v>858</v>
      </c>
      <c r="AC41" s="20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9"/>
      <c r="AR41" s="215">
        <v>9999</v>
      </c>
      <c r="AS41" s="184"/>
      <c r="AT41" s="184"/>
      <c r="AU41" s="184"/>
      <c r="AV41" s="184"/>
      <c r="AW41" s="185"/>
      <c r="AX41" s="210" t="s">
        <v>178</v>
      </c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211"/>
      <c r="BP41" s="211"/>
      <c r="BQ41" s="211"/>
      <c r="BR41" s="211"/>
      <c r="BS41" s="211"/>
      <c r="BT41" s="212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0.100000000000001" customHeight="1" x14ac:dyDescent="0.45">
      <c r="A42" s="29"/>
      <c r="B42" s="44"/>
      <c r="C42" s="29"/>
      <c r="D42" s="37">
        <v>32</v>
      </c>
      <c r="E42" s="204" t="s">
        <v>173</v>
      </c>
      <c r="F42" s="205"/>
      <c r="G42" s="205"/>
      <c r="H42" s="205"/>
      <c r="I42" s="205"/>
      <c r="J42" s="205"/>
      <c r="K42" s="205"/>
      <c r="L42" s="206"/>
      <c r="M42" s="189" t="s">
        <v>38</v>
      </c>
      <c r="N42" s="184"/>
      <c r="O42" s="184"/>
      <c r="P42" s="189" t="s">
        <v>137</v>
      </c>
      <c r="Q42" s="184"/>
      <c r="R42" s="184"/>
      <c r="S42" s="189" t="s">
        <v>139</v>
      </c>
      <c r="T42" s="184"/>
      <c r="U42" s="184"/>
      <c r="V42" s="207" t="s">
        <v>859</v>
      </c>
      <c r="W42" s="208"/>
      <c r="X42" s="208"/>
      <c r="Y42" s="208"/>
      <c r="Z42" s="208"/>
      <c r="AA42" s="209"/>
      <c r="AB42" s="214" t="s">
        <v>860</v>
      </c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9"/>
      <c r="AR42" s="189" t="s">
        <v>179</v>
      </c>
      <c r="AS42" s="184"/>
      <c r="AT42" s="184"/>
      <c r="AU42" s="184"/>
      <c r="AV42" s="184"/>
      <c r="AW42" s="185"/>
      <c r="AX42" s="210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2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19.5" customHeight="1" x14ac:dyDescent="0.45">
      <c r="A43" s="29"/>
      <c r="B43" s="44"/>
      <c r="C43" s="29"/>
      <c r="D43" s="37">
        <v>33</v>
      </c>
      <c r="E43" s="204" t="s">
        <v>174</v>
      </c>
      <c r="F43" s="205"/>
      <c r="G43" s="205"/>
      <c r="H43" s="205"/>
      <c r="I43" s="205"/>
      <c r="J43" s="205"/>
      <c r="K43" s="205"/>
      <c r="L43" s="206"/>
      <c r="M43" s="189" t="s">
        <v>47</v>
      </c>
      <c r="N43" s="184"/>
      <c r="O43" s="184"/>
      <c r="P43" s="189" t="s">
        <v>134</v>
      </c>
      <c r="Q43" s="184"/>
      <c r="R43" s="184"/>
      <c r="S43" s="189">
        <v>12</v>
      </c>
      <c r="T43" s="184"/>
      <c r="U43" s="184"/>
      <c r="V43" s="207" t="s">
        <v>861</v>
      </c>
      <c r="W43" s="208"/>
      <c r="X43" s="208"/>
      <c r="Y43" s="208"/>
      <c r="Z43" s="208"/>
      <c r="AA43" s="209"/>
      <c r="AB43" s="207" t="s">
        <v>862</v>
      </c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9"/>
      <c r="AR43" s="189"/>
      <c r="AS43" s="184"/>
      <c r="AT43" s="184"/>
      <c r="AU43" s="184"/>
      <c r="AV43" s="184"/>
      <c r="AW43" s="185"/>
      <c r="AX43" s="210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2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19.5" customHeight="1" x14ac:dyDescent="0.45">
      <c r="A44" s="29"/>
      <c r="B44" s="44"/>
      <c r="C44" s="29"/>
      <c r="D44" s="37">
        <v>34</v>
      </c>
      <c r="E44" s="204"/>
      <c r="F44" s="205"/>
      <c r="G44" s="205"/>
      <c r="H44" s="205"/>
      <c r="I44" s="205"/>
      <c r="J44" s="205"/>
      <c r="K44" s="205"/>
      <c r="L44" s="206"/>
      <c r="M44" s="189"/>
      <c r="N44" s="184"/>
      <c r="O44" s="184"/>
      <c r="P44" s="189"/>
      <c r="Q44" s="184"/>
      <c r="R44" s="184"/>
      <c r="S44" s="189"/>
      <c r="T44" s="184"/>
      <c r="U44" s="184"/>
      <c r="V44" s="210"/>
      <c r="W44" s="211"/>
      <c r="X44" s="211"/>
      <c r="Y44" s="211"/>
      <c r="Z44" s="211"/>
      <c r="AA44" s="213"/>
      <c r="AB44" s="207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9"/>
      <c r="AR44" s="189"/>
      <c r="AS44" s="184"/>
      <c r="AT44" s="184"/>
      <c r="AU44" s="184"/>
      <c r="AV44" s="184"/>
      <c r="AW44" s="185"/>
      <c r="AX44" s="210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2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20.100000000000001" customHeight="1" thickBot="1" x14ac:dyDescent="0.5">
      <c r="A45" s="29"/>
      <c r="B45" s="44"/>
      <c r="C45" s="29"/>
      <c r="D45" s="37">
        <v>35</v>
      </c>
      <c r="E45" s="191"/>
      <c r="F45" s="192"/>
      <c r="G45" s="192"/>
      <c r="H45" s="192"/>
      <c r="I45" s="192"/>
      <c r="J45" s="192"/>
      <c r="K45" s="192"/>
      <c r="L45" s="193"/>
      <c r="M45" s="194"/>
      <c r="N45" s="195"/>
      <c r="O45" s="196"/>
      <c r="P45" s="194"/>
      <c r="Q45" s="195"/>
      <c r="R45" s="195"/>
      <c r="S45" s="194"/>
      <c r="T45" s="195"/>
      <c r="U45" s="195"/>
      <c r="V45" s="197"/>
      <c r="W45" s="198"/>
      <c r="X45" s="198"/>
      <c r="Y45" s="198"/>
      <c r="Z45" s="198"/>
      <c r="AA45" s="199"/>
      <c r="AB45" s="200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2"/>
      <c r="AR45" s="194"/>
      <c r="AS45" s="195"/>
      <c r="AT45" s="195"/>
      <c r="AU45" s="195"/>
      <c r="AV45" s="195"/>
      <c r="AW45" s="196"/>
      <c r="AX45" s="197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203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20.100000000000001" customHeight="1" thickTop="1" thickBot="1" x14ac:dyDescent="0.5">
      <c r="A46" s="29"/>
      <c r="B46" s="40"/>
      <c r="C46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46"/>
      <c r="BR46" s="46"/>
      <c r="BS46" s="46"/>
      <c r="BT46" s="46"/>
      <c r="BU46" s="28"/>
    </row>
    <row r="47" spans="1:85" ht="20.100000000000001" customHeight="1" thickTop="1" x14ac:dyDescent="0.45">
      <c r="A47" s="29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33"/>
      <c r="BD47" s="33"/>
      <c r="BE47" s="33"/>
      <c r="BF47" s="33"/>
      <c r="BG47" s="33"/>
      <c r="BH47" s="33"/>
      <c r="BI47" s="42"/>
      <c r="BJ47" s="42"/>
      <c r="BK47" s="42"/>
      <c r="BL47" s="42"/>
      <c r="BM47" s="42"/>
      <c r="BN47" s="42"/>
      <c r="BO47" s="42"/>
      <c r="BP47" s="4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68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68" ht="20.100000000000001" customHeight="1" x14ac:dyDescent="0.45">
      <c r="B60" s="3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68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31"/>
      <c r="BP61" s="31"/>
    </row>
    <row r="62" spans="1:68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31"/>
      <c r="BP62" s="31"/>
    </row>
    <row r="63" spans="1:68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31"/>
      <c r="BP63" s="31"/>
    </row>
    <row r="64" spans="1:68" ht="20.100000000000001" customHeight="1" x14ac:dyDescent="0.45">
      <c r="A64" s="29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31"/>
      <c r="BP64" s="31"/>
    </row>
    <row r="65" spans="1:68" ht="20.100000000000001" customHeight="1" x14ac:dyDescent="0.45">
      <c r="A65" s="29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31"/>
      <c r="BP65" s="31"/>
    </row>
    <row r="66" spans="1:68" ht="20.100000000000001" customHeight="1" x14ac:dyDescent="0.4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</row>
    <row r="67" spans="1:68" ht="20.100000000000001" customHeight="1" x14ac:dyDescent="0.4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</row>
    <row r="68" spans="1:68" ht="20.100000000000001" customHeight="1" x14ac:dyDescent="0.4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</row>
  </sheetData>
  <mergeCells count="30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参照!$A$1:$A$6</xm:f>
          </x14:formula1>
          <xm:sqref>M44:O45</xm:sqref>
        </x14:dataValidation>
        <x14:dataValidation type="list" allowBlank="1" showInputMessage="1" showErrorMessage="1">
          <x14:formula1>
            <xm:f>'C:\Users\NT-200037.SSP-HITOMI1\Desktop\[MH0400_見積書出力_帳票設計書.xlsx]参照'!#REF!</xm:f>
          </x14:formula1>
          <xm:sqref>M23:O30</xm:sqref>
        </x14:dataValidation>
        <x14:dataValidation type="list" allowBlank="1" showInputMessage="1" showErrorMessage="1">
          <x14:formula1>
            <xm:f>'\\192.168.10.37\share\02_開発\【YJY】2023_三和商研受発注システム開発\03_基本設計\02_帳票設計\[MH0400_見積書_帳票設計書.xlsx]参照'!#REF!</xm:f>
          </x14:formula1>
          <xm:sqref>M11:O22 M31:O43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34"/>
      <c r="D2" s="234"/>
      <c r="E2" s="234"/>
      <c r="F2" s="234"/>
      <c r="G2" s="234"/>
      <c r="H2" s="234" t="s">
        <v>17</v>
      </c>
      <c r="I2" s="234"/>
      <c r="J2" s="234"/>
      <c r="K2" s="234"/>
      <c r="L2" s="234" t="s">
        <v>1</v>
      </c>
      <c r="M2" s="234"/>
      <c r="N2" s="234"/>
      <c r="O2" s="234"/>
      <c r="P2" s="234"/>
      <c r="Q2" s="234"/>
      <c r="R2" s="234" t="s">
        <v>2</v>
      </c>
      <c r="S2" s="234"/>
      <c r="T2" s="234"/>
      <c r="U2" s="234"/>
      <c r="V2" s="234"/>
      <c r="W2" s="234"/>
      <c r="X2" s="240" t="s">
        <v>3</v>
      </c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2"/>
      <c r="AK2" s="240" t="s">
        <v>32</v>
      </c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2"/>
      <c r="AX2" s="234" t="s">
        <v>5</v>
      </c>
      <c r="AY2" s="234"/>
      <c r="AZ2" s="234"/>
      <c r="BA2" s="234"/>
      <c r="BB2" s="234" t="s">
        <v>4</v>
      </c>
      <c r="BC2" s="234"/>
      <c r="BD2" s="234"/>
      <c r="BE2" s="234"/>
      <c r="BF2" s="234" t="s">
        <v>6</v>
      </c>
      <c r="BG2" s="234"/>
      <c r="BH2" s="234"/>
      <c r="BI2" s="234"/>
      <c r="BJ2" s="234" t="s">
        <v>7</v>
      </c>
      <c r="BK2" s="234"/>
      <c r="BL2" s="234"/>
      <c r="BM2" s="235"/>
    </row>
    <row r="3" spans="2:65" ht="20.100000000000001" customHeight="1" x14ac:dyDescent="0.45">
      <c r="B3" s="243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UN0200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UN0200_納品書_帳票設計書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納品書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232"/>
    </row>
    <row r="4" spans="2:65" ht="20.100000000000001" customHeight="1" thickBot="1" x14ac:dyDescent="0.5">
      <c r="B4" s="244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30"/>
      <c r="AY4" s="230"/>
      <c r="AZ4" s="230"/>
      <c r="BA4" s="230"/>
      <c r="BB4" s="231"/>
      <c r="BC4" s="231"/>
      <c r="BD4" s="231"/>
      <c r="BE4" s="231"/>
      <c r="BF4" s="230"/>
      <c r="BG4" s="230"/>
      <c r="BH4" s="230"/>
      <c r="BI4" s="230"/>
      <c r="BJ4" s="231"/>
      <c r="BK4" s="231"/>
      <c r="BL4" s="231"/>
      <c r="BM4" s="23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55</v>
      </c>
      <c r="C7" s="90"/>
      <c r="D7" s="90"/>
      <c r="E7" s="90"/>
      <c r="F7" s="90"/>
      <c r="G7" s="90"/>
      <c r="H7" s="92" t="s">
        <v>83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84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85</v>
      </c>
      <c r="K8" s="52"/>
      <c r="L8" s="52"/>
      <c r="M8" s="52"/>
      <c r="N8" s="52"/>
      <c r="O8" s="52"/>
      <c r="P8" s="52"/>
      <c r="Q8" s="52"/>
      <c r="R8" s="124" t="s">
        <v>86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87</v>
      </c>
      <c r="K9" s="52"/>
      <c r="L9" s="52"/>
      <c r="M9" s="52"/>
      <c r="N9" s="52"/>
      <c r="O9" s="52"/>
      <c r="P9" s="52"/>
      <c r="Q9" s="52"/>
      <c r="R9" s="124" t="s">
        <v>88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56</v>
      </c>
      <c r="I10" s="31"/>
      <c r="J10" s="111" t="s">
        <v>57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61</v>
      </c>
      <c r="I14" s="55"/>
      <c r="J14" s="107" t="s">
        <v>62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65</v>
      </c>
      <c r="M17" s="109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66</v>
      </c>
      <c r="M18" s="109" t="s">
        <v>64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67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65</v>
      </c>
      <c r="M22" s="104" t="s">
        <v>70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71</v>
      </c>
      <c r="I23" s="31"/>
      <c r="J23" s="111"/>
      <c r="K23" s="109" t="s">
        <v>72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65</v>
      </c>
      <c r="K24" s="109" t="s">
        <v>74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66</v>
      </c>
      <c r="K25" s="109" t="s">
        <v>74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75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65</v>
      </c>
      <c r="K28" s="31" t="s">
        <v>78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79</v>
      </c>
      <c r="I32" s="31"/>
      <c r="J32" s="111" t="s">
        <v>80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81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9" t="s">
        <v>0</v>
      </c>
      <c r="C2" s="234"/>
      <c r="D2" s="234"/>
      <c r="E2" s="234"/>
      <c r="F2" s="234"/>
      <c r="G2" s="234"/>
      <c r="H2" s="234" t="s">
        <v>17</v>
      </c>
      <c r="I2" s="234"/>
      <c r="J2" s="234"/>
      <c r="K2" s="234"/>
      <c r="L2" s="234" t="s">
        <v>867</v>
      </c>
      <c r="M2" s="234"/>
      <c r="N2" s="234"/>
      <c r="O2" s="234"/>
      <c r="P2" s="234"/>
      <c r="Q2" s="234"/>
      <c r="R2" s="234" t="s">
        <v>2</v>
      </c>
      <c r="S2" s="234"/>
      <c r="T2" s="234"/>
      <c r="U2" s="234"/>
      <c r="V2" s="234"/>
      <c r="W2" s="234"/>
      <c r="X2" s="240" t="s">
        <v>3</v>
      </c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2"/>
      <c r="AK2" s="240" t="s">
        <v>32</v>
      </c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2"/>
      <c r="AX2" s="234" t="s">
        <v>5</v>
      </c>
      <c r="AY2" s="234"/>
      <c r="AZ2" s="234"/>
      <c r="BA2" s="234"/>
      <c r="BB2" s="234" t="s">
        <v>4</v>
      </c>
      <c r="BC2" s="234"/>
      <c r="BD2" s="234"/>
      <c r="BE2" s="234"/>
      <c r="BF2" s="234" t="s">
        <v>6</v>
      </c>
      <c r="BG2" s="234"/>
      <c r="BH2" s="234"/>
      <c r="BI2" s="234"/>
      <c r="BJ2" s="234" t="s">
        <v>7</v>
      </c>
      <c r="BK2" s="234"/>
      <c r="BL2" s="234"/>
      <c r="BM2" s="235"/>
    </row>
    <row r="3" spans="2:65" ht="20.100000000000001" customHeight="1" x14ac:dyDescent="0.45">
      <c r="B3" s="243" t="str">
        <f>[4]変更履歴!B3</f>
        <v>XXXXXXXX</v>
      </c>
      <c r="C3" s="170"/>
      <c r="D3" s="170"/>
      <c r="E3" s="170"/>
      <c r="F3" s="170"/>
      <c r="G3" s="170"/>
      <c r="H3" s="170" t="str">
        <f>[4]変更履歴!H3</f>
        <v>MH0400</v>
      </c>
      <c r="I3" s="170"/>
      <c r="J3" s="170"/>
      <c r="K3" s="170"/>
      <c r="L3" s="170" t="str">
        <f>[4]変更履歴!L3</f>
        <v>運用自動化</v>
      </c>
      <c r="M3" s="170"/>
      <c r="N3" s="170"/>
      <c r="O3" s="170"/>
      <c r="P3" s="170"/>
      <c r="Q3" s="170"/>
      <c r="R3" s="170" t="str">
        <f>[4]変更履歴!R3</f>
        <v>帳票設計書</v>
      </c>
      <c r="S3" s="170"/>
      <c r="T3" s="170"/>
      <c r="U3" s="170"/>
      <c r="V3" s="170"/>
      <c r="W3" s="170"/>
      <c r="X3" s="174" t="str">
        <f>[4]変更履歴!X3</f>
        <v>MH0400_見積書_帳票設計書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>[4]変更履歴!AK3</f>
        <v>見積書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[4]変更履歴!AX3</f>
        <v>0</v>
      </c>
      <c r="AY3" s="181"/>
      <c r="AZ3" s="181"/>
      <c r="BA3" s="181"/>
      <c r="BB3" s="170">
        <f>[4]変更履歴!BB3</f>
        <v>0</v>
      </c>
      <c r="BC3" s="170"/>
      <c r="BD3" s="170"/>
      <c r="BE3" s="170"/>
      <c r="BF3" s="181">
        <f>[4]変更履歴!BF3</f>
        <v>0</v>
      </c>
      <c r="BG3" s="181"/>
      <c r="BH3" s="181"/>
      <c r="BI3" s="181"/>
      <c r="BJ3" s="170">
        <f>[4]変更履歴!BJ3</f>
        <v>0</v>
      </c>
      <c r="BK3" s="170"/>
      <c r="BL3" s="170"/>
      <c r="BM3" s="232"/>
    </row>
    <row r="4" spans="2:65" ht="20.100000000000001" customHeight="1" thickBot="1" x14ac:dyDescent="0.5">
      <c r="B4" s="244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30"/>
      <c r="AY4" s="230"/>
      <c r="AZ4" s="230"/>
      <c r="BA4" s="230"/>
      <c r="BB4" s="231"/>
      <c r="BC4" s="231"/>
      <c r="BD4" s="231"/>
      <c r="BE4" s="231"/>
      <c r="BF4" s="230"/>
      <c r="BG4" s="230"/>
      <c r="BH4" s="230"/>
      <c r="BI4" s="230"/>
      <c r="BJ4" s="231"/>
      <c r="BK4" s="231"/>
      <c r="BL4" s="231"/>
      <c r="BM4" s="233"/>
    </row>
    <row r="5" spans="2:65" ht="5.0999999999999996" customHeight="1" thickBot="1" x14ac:dyDescent="0.5"/>
    <row r="6" spans="2:65" ht="20.100000000000001" customHeight="1" x14ac:dyDescent="0.45">
      <c r="B6" s="89" t="s">
        <v>185</v>
      </c>
      <c r="C6" s="90"/>
      <c r="D6" s="90"/>
      <c r="E6" s="90"/>
      <c r="F6" s="90"/>
      <c r="G6" s="91"/>
      <c r="H6" s="92" t="s">
        <v>83</v>
      </c>
      <c r="I6" s="90"/>
      <c r="J6" s="120" t="s">
        <v>186</v>
      </c>
      <c r="K6" s="121"/>
      <c r="L6" s="121"/>
      <c r="M6" s="121"/>
      <c r="N6" s="121"/>
      <c r="O6" s="121"/>
      <c r="P6" s="121"/>
      <c r="Q6" s="122"/>
      <c r="R6" s="121" t="s">
        <v>187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188</v>
      </c>
      <c r="K7" s="52"/>
      <c r="L7" s="52"/>
      <c r="M7" s="52"/>
      <c r="N7" s="52"/>
      <c r="O7" s="52"/>
      <c r="P7" s="52"/>
      <c r="Q7" s="125"/>
      <c r="R7" s="52" t="s">
        <v>189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190</v>
      </c>
      <c r="K8" s="52"/>
      <c r="L8" s="52"/>
      <c r="M8" s="52"/>
      <c r="N8" s="52"/>
      <c r="O8" s="52"/>
      <c r="P8" s="52"/>
      <c r="Q8" s="125"/>
      <c r="R8" s="52" t="s">
        <v>191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192</v>
      </c>
      <c r="K9" s="52"/>
      <c r="L9" s="52"/>
      <c r="M9" s="52"/>
      <c r="N9" s="52"/>
      <c r="O9" s="52"/>
      <c r="P9" s="52"/>
      <c r="Q9" s="125"/>
      <c r="R9" s="52" t="s">
        <v>193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194</v>
      </c>
      <c r="K10" s="52"/>
      <c r="L10" s="52"/>
      <c r="M10" s="52"/>
      <c r="N10" s="52"/>
      <c r="O10" s="52"/>
      <c r="P10" s="52"/>
      <c r="Q10" s="125"/>
      <c r="R10" s="52" t="s">
        <v>195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196</v>
      </c>
      <c r="K11" s="52"/>
      <c r="L11" s="52"/>
      <c r="M11" s="52"/>
      <c r="N11" s="52"/>
      <c r="O11" s="52"/>
      <c r="P11" s="52"/>
      <c r="Q11" s="125"/>
      <c r="R11" s="52" t="s">
        <v>197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198</v>
      </c>
      <c r="K12" s="52"/>
      <c r="L12" s="52"/>
      <c r="M12" s="52"/>
      <c r="N12" s="52"/>
      <c r="O12" s="52"/>
      <c r="P12" s="52"/>
      <c r="Q12" s="125"/>
      <c r="R12" s="52" t="s">
        <v>199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200</v>
      </c>
      <c r="K13" s="52"/>
      <c r="L13" s="52"/>
      <c r="M13" s="52"/>
      <c r="N13" s="52"/>
      <c r="O13" s="52"/>
      <c r="P13" s="52"/>
      <c r="Q13" s="125"/>
      <c r="R13" s="52" t="s">
        <v>201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202</v>
      </c>
      <c r="K14" s="52"/>
      <c r="L14" s="52"/>
      <c r="M14" s="52"/>
      <c r="N14" s="52"/>
      <c r="O14" s="52"/>
      <c r="P14" s="52"/>
      <c r="Q14" s="125"/>
      <c r="R14" s="52" t="s">
        <v>203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100" t="s">
        <v>52</v>
      </c>
      <c r="I15" s="55"/>
      <c r="J15" s="100" t="s">
        <v>204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01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02"/>
    </row>
    <row r="16" spans="2:65" ht="20.100000000000001" customHeight="1" thickBot="1" x14ac:dyDescent="0.5">
      <c r="B16" s="95"/>
      <c r="C16" s="31"/>
      <c r="D16" s="31"/>
      <c r="E16" s="31"/>
      <c r="F16" s="31"/>
      <c r="G16" s="96"/>
      <c r="H16" s="100" t="s">
        <v>54</v>
      </c>
      <c r="I16" s="55"/>
      <c r="J16" s="158" t="s">
        <v>205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01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02"/>
    </row>
    <row r="17" spans="2:61" ht="20.100000000000001" customHeight="1" x14ac:dyDescent="0.45">
      <c r="B17" s="89" t="s">
        <v>206</v>
      </c>
      <c r="C17" s="90"/>
      <c r="D17" s="90"/>
      <c r="E17" s="90"/>
      <c r="F17" s="90"/>
      <c r="G17" s="91"/>
      <c r="H17" s="92" t="s">
        <v>83</v>
      </c>
      <c r="I17" s="90"/>
      <c r="J17" s="120" t="s">
        <v>186</v>
      </c>
      <c r="K17" s="121"/>
      <c r="L17" s="121"/>
      <c r="M17" s="121"/>
      <c r="N17" s="121"/>
      <c r="O17" s="121"/>
      <c r="P17" s="121"/>
      <c r="Q17" s="122"/>
      <c r="R17" s="121" t="s">
        <v>187</v>
      </c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2"/>
      <c r="AK17" s="93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4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03" t="s">
        <v>207</v>
      </c>
      <c r="K18" s="104"/>
      <c r="L18" s="104"/>
      <c r="M18" s="104"/>
      <c r="N18" s="104"/>
      <c r="O18" s="104"/>
      <c r="P18" s="104"/>
      <c r="Q18" s="127"/>
      <c r="R18" s="104" t="s">
        <v>208</v>
      </c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27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03" t="s">
        <v>209</v>
      </c>
      <c r="K19" s="104"/>
      <c r="L19" s="104"/>
      <c r="M19" s="104"/>
      <c r="N19" s="104"/>
      <c r="O19" s="104"/>
      <c r="P19" s="104"/>
      <c r="Q19" s="127"/>
      <c r="R19" s="104" t="s">
        <v>210</v>
      </c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27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97"/>
      <c r="I20" s="31"/>
      <c r="J20" s="103" t="s">
        <v>211</v>
      </c>
      <c r="K20" s="104"/>
      <c r="L20" s="104"/>
      <c r="M20" s="104"/>
      <c r="N20" s="104"/>
      <c r="O20" s="104"/>
      <c r="P20" s="104"/>
      <c r="Q20" s="127"/>
      <c r="R20" s="104" t="s">
        <v>212</v>
      </c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27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97"/>
      <c r="I21" s="31"/>
      <c r="J21" s="103" t="s">
        <v>188</v>
      </c>
      <c r="K21" s="104"/>
      <c r="L21" s="104"/>
      <c r="M21" s="104"/>
      <c r="N21" s="104"/>
      <c r="O21" s="104"/>
      <c r="P21" s="104"/>
      <c r="Q21" s="127"/>
      <c r="R21" s="104" t="s">
        <v>189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27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97"/>
      <c r="I22" s="31"/>
      <c r="J22" s="103" t="s">
        <v>213</v>
      </c>
      <c r="K22" s="104"/>
      <c r="L22" s="104"/>
      <c r="M22" s="104"/>
      <c r="N22" s="104"/>
      <c r="O22" s="104"/>
      <c r="P22" s="104"/>
      <c r="Q22" s="127"/>
      <c r="R22" s="104" t="s">
        <v>214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27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03" t="s">
        <v>215</v>
      </c>
      <c r="K23" s="104"/>
      <c r="L23" s="104"/>
      <c r="M23" s="104"/>
      <c r="N23" s="104"/>
      <c r="O23" s="104"/>
      <c r="P23" s="104"/>
      <c r="Q23" s="127"/>
      <c r="R23" s="104" t="s">
        <v>216</v>
      </c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27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97"/>
      <c r="I24" s="31"/>
      <c r="J24" s="103" t="s">
        <v>217</v>
      </c>
      <c r="K24" s="104"/>
      <c r="L24" s="104"/>
      <c r="M24" s="104"/>
      <c r="N24" s="104"/>
      <c r="O24" s="104"/>
      <c r="P24" s="104"/>
      <c r="Q24" s="127"/>
      <c r="R24" s="104" t="s">
        <v>218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27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100" t="s">
        <v>52</v>
      </c>
      <c r="I25" s="55"/>
      <c r="J25" s="100" t="s">
        <v>219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100" t="s">
        <v>54</v>
      </c>
      <c r="I26" s="55"/>
      <c r="J26" s="100" t="s">
        <v>220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1" t="s">
        <v>221</v>
      </c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2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222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8" t="s">
        <v>223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 t="s">
        <v>224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 t="s">
        <v>225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 t="s">
        <v>226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8" t="s">
        <v>227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 t="s">
        <v>228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 t="s">
        <v>229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 t="s">
        <v>230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8" t="s">
        <v>231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 t="s">
        <v>232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thickBot="1" x14ac:dyDescent="0.5">
      <c r="B33" s="95"/>
      <c r="C33" s="31"/>
      <c r="D33" s="31"/>
      <c r="E33" s="31"/>
      <c r="F33" s="31"/>
      <c r="G33" s="96"/>
      <c r="H33" s="100" t="s">
        <v>233</v>
      </c>
      <c r="I33" s="55"/>
      <c r="J33" s="100" t="s">
        <v>234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101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102"/>
    </row>
    <row r="34" spans="2:61" ht="20.100000000000001" customHeight="1" x14ac:dyDescent="0.45">
      <c r="B34" s="89" t="s">
        <v>235</v>
      </c>
      <c r="C34" s="90"/>
      <c r="D34" s="90"/>
      <c r="E34" s="90"/>
      <c r="F34" s="90"/>
      <c r="G34" s="91"/>
      <c r="H34" s="92" t="s">
        <v>83</v>
      </c>
      <c r="I34" s="90"/>
      <c r="J34" s="159" t="s">
        <v>236</v>
      </c>
      <c r="K34" s="121"/>
      <c r="L34" s="121"/>
      <c r="M34" s="121"/>
      <c r="N34" s="121"/>
      <c r="O34" s="121"/>
      <c r="P34" s="121"/>
      <c r="Q34" s="122"/>
      <c r="R34" s="121" t="s">
        <v>237</v>
      </c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2"/>
      <c r="AK34" s="93" t="s">
        <v>238</v>
      </c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4"/>
    </row>
    <row r="35" spans="2:61" ht="20.100000000000001" customHeight="1" thickBot="1" x14ac:dyDescent="0.5">
      <c r="B35" s="123"/>
      <c r="C35" s="31"/>
      <c r="D35" s="31"/>
      <c r="E35" s="31"/>
      <c r="F35" s="31"/>
      <c r="G35" s="96"/>
      <c r="H35" s="100" t="s">
        <v>52</v>
      </c>
      <c r="I35" s="55"/>
      <c r="J35" s="100" t="s">
        <v>239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01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02"/>
    </row>
    <row r="36" spans="2:61" ht="20.100000000000001" customHeight="1" x14ac:dyDescent="0.45">
      <c r="B36" s="89" t="s">
        <v>240</v>
      </c>
      <c r="C36" s="90"/>
      <c r="D36" s="90"/>
      <c r="E36" s="90"/>
      <c r="F36" s="90"/>
      <c r="G36" s="91"/>
      <c r="H36" s="92" t="s">
        <v>83</v>
      </c>
      <c r="I36" s="90"/>
      <c r="J36" s="120" t="s">
        <v>186</v>
      </c>
      <c r="K36" s="121"/>
      <c r="L36" s="121"/>
      <c r="M36" s="121"/>
      <c r="N36" s="121"/>
      <c r="O36" s="121"/>
      <c r="P36" s="121"/>
      <c r="Q36" s="122"/>
      <c r="R36" s="120" t="s">
        <v>241</v>
      </c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2"/>
      <c r="AK36" s="93" t="s">
        <v>242</v>
      </c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4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97"/>
      <c r="I37" s="31"/>
      <c r="J37" s="103" t="s">
        <v>243</v>
      </c>
      <c r="K37" s="104"/>
      <c r="L37" s="104"/>
      <c r="M37" s="104"/>
      <c r="N37" s="104"/>
      <c r="O37" s="104"/>
      <c r="P37" s="104"/>
      <c r="Q37" s="127"/>
      <c r="R37" s="103" t="s">
        <v>244</v>
      </c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27"/>
      <c r="AK37" s="98" t="s">
        <v>245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123"/>
      <c r="C38" s="31"/>
      <c r="D38" s="31"/>
      <c r="E38" s="31"/>
      <c r="F38" s="31"/>
      <c r="G38" s="96"/>
      <c r="H38" s="97"/>
      <c r="I38" s="31"/>
      <c r="J38" s="103" t="s">
        <v>246</v>
      </c>
      <c r="K38" s="104"/>
      <c r="L38" s="104"/>
      <c r="M38" s="104"/>
      <c r="N38" s="104"/>
      <c r="O38" s="104"/>
      <c r="P38" s="104"/>
      <c r="Q38" s="127"/>
      <c r="R38" s="103" t="s">
        <v>247</v>
      </c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27"/>
      <c r="AK38" s="98" t="s">
        <v>248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123"/>
      <c r="C39" s="31"/>
      <c r="D39" s="31"/>
      <c r="E39" s="31"/>
      <c r="F39" s="31"/>
      <c r="G39" s="96"/>
      <c r="H39" s="97"/>
      <c r="I39" s="31"/>
      <c r="J39" s="103" t="s">
        <v>249</v>
      </c>
      <c r="K39" s="104"/>
      <c r="L39" s="104"/>
      <c r="M39" s="104"/>
      <c r="N39" s="104"/>
      <c r="O39" s="104"/>
      <c r="P39" s="104"/>
      <c r="Q39" s="127"/>
      <c r="R39" s="103" t="s">
        <v>250</v>
      </c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27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123"/>
      <c r="C40" s="31"/>
      <c r="D40" s="31"/>
      <c r="E40" s="31"/>
      <c r="F40" s="31"/>
      <c r="G40" s="96"/>
      <c r="H40" s="97"/>
      <c r="I40" s="31"/>
      <c r="J40" s="103" t="s">
        <v>251</v>
      </c>
      <c r="K40" s="104"/>
      <c r="L40" s="104"/>
      <c r="M40" s="104"/>
      <c r="N40" s="104"/>
      <c r="O40" s="104"/>
      <c r="P40" s="104"/>
      <c r="Q40" s="127"/>
      <c r="R40" s="103" t="s">
        <v>252</v>
      </c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27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123"/>
      <c r="C41" s="31"/>
      <c r="D41" s="31"/>
      <c r="E41" s="31"/>
      <c r="F41" s="31"/>
      <c r="G41" s="96"/>
      <c r="H41" s="97"/>
      <c r="I41" s="31"/>
      <c r="J41" s="103" t="s">
        <v>253</v>
      </c>
      <c r="K41" s="104"/>
      <c r="L41" s="104"/>
      <c r="M41" s="104"/>
      <c r="N41" s="104"/>
      <c r="O41" s="104"/>
      <c r="P41" s="104"/>
      <c r="Q41" s="127"/>
      <c r="R41" s="103" t="s">
        <v>254</v>
      </c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27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123"/>
      <c r="C42" s="31"/>
      <c r="D42" s="31"/>
      <c r="E42" s="31"/>
      <c r="F42" s="31"/>
      <c r="G42" s="96"/>
      <c r="H42" s="97"/>
      <c r="I42" s="31"/>
      <c r="J42" s="103" t="s">
        <v>255</v>
      </c>
      <c r="K42" s="104"/>
      <c r="L42" s="104"/>
      <c r="M42" s="104"/>
      <c r="N42" s="104"/>
      <c r="O42" s="104"/>
      <c r="P42" s="104"/>
      <c r="Q42" s="127"/>
      <c r="R42" s="103" t="s">
        <v>256</v>
      </c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27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123"/>
      <c r="C43" s="31"/>
      <c r="D43" s="31"/>
      <c r="E43" s="31"/>
      <c r="F43" s="31"/>
      <c r="G43" s="96"/>
      <c r="H43" s="97"/>
      <c r="I43" s="31"/>
      <c r="J43" s="103" t="s">
        <v>257</v>
      </c>
      <c r="K43" s="104"/>
      <c r="L43" s="104"/>
      <c r="M43" s="104"/>
      <c r="N43" s="104"/>
      <c r="O43" s="104"/>
      <c r="P43" s="104"/>
      <c r="Q43" s="127"/>
      <c r="R43" s="103" t="s">
        <v>258</v>
      </c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27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123"/>
      <c r="C44" s="31"/>
      <c r="D44" s="31"/>
      <c r="E44" s="31"/>
      <c r="F44" s="31"/>
      <c r="G44" s="96"/>
      <c r="H44" s="97"/>
      <c r="I44" s="31"/>
      <c r="J44" s="103" t="s">
        <v>259</v>
      </c>
      <c r="K44" s="104"/>
      <c r="L44" s="104"/>
      <c r="M44" s="104"/>
      <c r="N44" s="104"/>
      <c r="O44" s="104"/>
      <c r="P44" s="104"/>
      <c r="Q44" s="127"/>
      <c r="R44" s="103" t="s">
        <v>260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27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123"/>
      <c r="C45" s="31"/>
      <c r="D45" s="31"/>
      <c r="E45" s="31"/>
      <c r="F45" s="31"/>
      <c r="G45" s="96"/>
      <c r="H45" s="97"/>
      <c r="I45" s="31"/>
      <c r="J45" s="103" t="s">
        <v>261</v>
      </c>
      <c r="K45" s="104"/>
      <c r="L45" s="104"/>
      <c r="M45" s="104"/>
      <c r="N45" s="104"/>
      <c r="O45" s="104"/>
      <c r="P45" s="104"/>
      <c r="Q45" s="127"/>
      <c r="R45" s="103" t="s">
        <v>262</v>
      </c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27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123"/>
      <c r="C46" s="31"/>
      <c r="D46" s="31"/>
      <c r="E46" s="31"/>
      <c r="F46" s="31"/>
      <c r="G46" s="96"/>
      <c r="H46" s="97"/>
      <c r="I46" s="31"/>
      <c r="J46" s="103" t="s">
        <v>263</v>
      </c>
      <c r="K46" s="104"/>
      <c r="L46" s="104"/>
      <c r="M46" s="104"/>
      <c r="N46" s="104"/>
      <c r="O46" s="104"/>
      <c r="P46" s="104"/>
      <c r="Q46" s="127"/>
      <c r="R46" s="103" t="s">
        <v>264</v>
      </c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27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123"/>
      <c r="C47" s="31"/>
      <c r="D47" s="31"/>
      <c r="E47" s="31"/>
      <c r="F47" s="31"/>
      <c r="G47" s="96"/>
      <c r="H47" s="97"/>
      <c r="I47" s="31"/>
      <c r="J47" s="103" t="s">
        <v>265</v>
      </c>
      <c r="K47" s="104"/>
      <c r="L47" s="104"/>
      <c r="M47" s="104"/>
      <c r="N47" s="104"/>
      <c r="O47" s="104"/>
      <c r="P47" s="104"/>
      <c r="Q47" s="127"/>
      <c r="R47" s="103" t="s">
        <v>266</v>
      </c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27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123"/>
      <c r="C48" s="31"/>
      <c r="D48" s="31"/>
      <c r="E48" s="31"/>
      <c r="F48" s="31"/>
      <c r="G48" s="96"/>
      <c r="H48" s="97"/>
      <c r="I48" s="31"/>
      <c r="J48" s="103" t="s">
        <v>267</v>
      </c>
      <c r="K48" s="104"/>
      <c r="L48" s="104"/>
      <c r="M48" s="104"/>
      <c r="N48" s="104"/>
      <c r="O48" s="104"/>
      <c r="P48" s="104"/>
      <c r="Q48" s="127"/>
      <c r="R48" s="103" t="s">
        <v>268</v>
      </c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27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123"/>
      <c r="C49" s="31"/>
      <c r="D49" s="31"/>
      <c r="E49" s="31"/>
      <c r="F49" s="31"/>
      <c r="G49" s="96"/>
      <c r="H49" s="97"/>
      <c r="I49" s="31"/>
      <c r="J49" s="103" t="s">
        <v>269</v>
      </c>
      <c r="K49" s="104"/>
      <c r="L49" s="104"/>
      <c r="M49" s="104"/>
      <c r="N49" s="104"/>
      <c r="O49" s="104"/>
      <c r="P49" s="104"/>
      <c r="Q49" s="127"/>
      <c r="R49" s="103" t="s">
        <v>270</v>
      </c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27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123"/>
      <c r="C50" s="31"/>
      <c r="D50" s="31"/>
      <c r="E50" s="31"/>
      <c r="F50" s="31"/>
      <c r="G50" s="96"/>
      <c r="H50" s="97"/>
      <c r="I50" s="31"/>
      <c r="J50" s="103" t="s">
        <v>271</v>
      </c>
      <c r="K50" s="104"/>
      <c r="L50" s="104"/>
      <c r="M50" s="104"/>
      <c r="N50" s="104"/>
      <c r="O50" s="104"/>
      <c r="P50" s="104"/>
      <c r="Q50" s="127"/>
      <c r="R50" s="103" t="s">
        <v>272</v>
      </c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27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123"/>
      <c r="C51" s="31"/>
      <c r="D51" s="31"/>
      <c r="E51" s="31"/>
      <c r="F51" s="31"/>
      <c r="G51" s="96"/>
      <c r="H51" s="97"/>
      <c r="I51" s="31"/>
      <c r="J51" s="103" t="s">
        <v>273</v>
      </c>
      <c r="K51" s="104"/>
      <c r="L51" s="104"/>
      <c r="M51" s="104"/>
      <c r="N51" s="104"/>
      <c r="O51" s="104"/>
      <c r="P51" s="104"/>
      <c r="Q51" s="127"/>
      <c r="R51" s="103" t="s">
        <v>274</v>
      </c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27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3"/>
      <c r="C52" s="31"/>
      <c r="D52" s="31"/>
      <c r="E52" s="31"/>
      <c r="F52" s="31"/>
      <c r="G52" s="96"/>
      <c r="H52" s="97"/>
      <c r="I52" s="31"/>
      <c r="J52" s="103" t="s">
        <v>275</v>
      </c>
      <c r="K52" s="104"/>
      <c r="L52" s="104"/>
      <c r="M52" s="104"/>
      <c r="N52" s="104"/>
      <c r="O52" s="104"/>
      <c r="P52" s="104"/>
      <c r="Q52" s="127"/>
      <c r="R52" s="103" t="s">
        <v>276</v>
      </c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27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3"/>
      <c r="C53" s="31"/>
      <c r="D53" s="31"/>
      <c r="E53" s="31"/>
      <c r="F53" s="31"/>
      <c r="G53" s="96"/>
      <c r="H53" s="97"/>
      <c r="I53" s="31"/>
      <c r="J53" s="103" t="s">
        <v>277</v>
      </c>
      <c r="K53" s="104"/>
      <c r="L53" s="104"/>
      <c r="M53" s="104"/>
      <c r="N53" s="104"/>
      <c r="O53" s="104"/>
      <c r="P53" s="104"/>
      <c r="Q53" s="127"/>
      <c r="R53" s="103" t="s">
        <v>278</v>
      </c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27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3"/>
      <c r="C54" s="31"/>
      <c r="D54" s="31"/>
      <c r="E54" s="31"/>
      <c r="F54" s="31"/>
      <c r="G54" s="96"/>
      <c r="H54" s="97"/>
      <c r="I54" s="31"/>
      <c r="J54" s="103" t="s">
        <v>279</v>
      </c>
      <c r="K54" s="104"/>
      <c r="L54" s="104"/>
      <c r="M54" s="104"/>
      <c r="N54" s="104"/>
      <c r="O54" s="104"/>
      <c r="P54" s="104"/>
      <c r="Q54" s="127"/>
      <c r="R54" s="103" t="s">
        <v>280</v>
      </c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27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3"/>
      <c r="C55" s="31"/>
      <c r="D55" s="31"/>
      <c r="E55" s="31"/>
      <c r="F55" s="31"/>
      <c r="G55" s="96"/>
      <c r="H55" s="97"/>
      <c r="I55" s="31"/>
      <c r="J55" s="103" t="s">
        <v>281</v>
      </c>
      <c r="K55" s="104"/>
      <c r="L55" s="104"/>
      <c r="M55" s="104"/>
      <c r="N55" s="104"/>
      <c r="O55" s="104"/>
      <c r="P55" s="104"/>
      <c r="Q55" s="127"/>
      <c r="R55" s="103" t="s">
        <v>282</v>
      </c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27"/>
      <c r="AK55" s="98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123"/>
      <c r="C56" s="31"/>
      <c r="D56" s="31"/>
      <c r="E56" s="31"/>
      <c r="F56" s="31"/>
      <c r="G56" s="96"/>
      <c r="H56" s="97"/>
      <c r="I56" s="31"/>
      <c r="J56" s="103" t="s">
        <v>283</v>
      </c>
      <c r="K56" s="104"/>
      <c r="L56" s="104"/>
      <c r="M56" s="104"/>
      <c r="N56" s="104"/>
      <c r="O56" s="104"/>
      <c r="P56" s="104"/>
      <c r="Q56" s="127"/>
      <c r="R56" s="103" t="s">
        <v>284</v>
      </c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27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123"/>
      <c r="C57" s="31"/>
      <c r="D57" s="31"/>
      <c r="E57" s="31"/>
      <c r="F57" s="31"/>
      <c r="G57" s="96"/>
      <c r="H57" s="97"/>
      <c r="I57" s="31"/>
      <c r="J57" s="103" t="s">
        <v>285</v>
      </c>
      <c r="K57" s="104"/>
      <c r="L57" s="104"/>
      <c r="M57" s="104"/>
      <c r="N57" s="104"/>
      <c r="O57" s="104"/>
      <c r="P57" s="104"/>
      <c r="Q57" s="127"/>
      <c r="R57" s="103" t="s">
        <v>286</v>
      </c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27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/>
      <c r="C58" s="31"/>
      <c r="D58" s="31"/>
      <c r="E58" s="31"/>
      <c r="F58" s="31"/>
      <c r="G58" s="96"/>
      <c r="H58" s="97"/>
      <c r="I58" s="31"/>
      <c r="J58" s="103" t="s">
        <v>287</v>
      </c>
      <c r="K58" s="104"/>
      <c r="L58" s="104"/>
      <c r="M58" s="104"/>
      <c r="N58" s="104"/>
      <c r="O58" s="104"/>
      <c r="P58" s="104"/>
      <c r="Q58" s="127"/>
      <c r="R58" s="103" t="s">
        <v>288</v>
      </c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27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/>
      <c r="C59" s="31"/>
      <c r="D59" s="31"/>
      <c r="E59" s="31"/>
      <c r="F59" s="31"/>
      <c r="G59" s="96"/>
      <c r="H59" s="97"/>
      <c r="I59" s="31"/>
      <c r="J59" s="103" t="s">
        <v>289</v>
      </c>
      <c r="K59" s="104"/>
      <c r="L59" s="104"/>
      <c r="M59" s="104"/>
      <c r="N59" s="104"/>
      <c r="O59" s="104"/>
      <c r="P59" s="104"/>
      <c r="Q59" s="127"/>
      <c r="R59" s="103" t="s">
        <v>290</v>
      </c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27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97"/>
      <c r="I60" s="31"/>
      <c r="J60" s="103" t="s">
        <v>200</v>
      </c>
      <c r="K60" s="104"/>
      <c r="L60" s="104"/>
      <c r="M60" s="104"/>
      <c r="N60" s="104"/>
      <c r="O60" s="104"/>
      <c r="P60" s="104"/>
      <c r="Q60" s="127"/>
      <c r="R60" s="103" t="s">
        <v>291</v>
      </c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27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H61" s="97"/>
      <c r="I61" s="31"/>
      <c r="J61" s="103" t="s">
        <v>292</v>
      </c>
      <c r="K61" s="104"/>
      <c r="L61" s="104"/>
      <c r="M61" s="104"/>
      <c r="N61" s="104"/>
      <c r="O61" s="104"/>
      <c r="P61" s="104"/>
      <c r="Q61" s="127"/>
      <c r="R61" s="103" t="s">
        <v>293</v>
      </c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27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97"/>
      <c r="I62" s="31"/>
      <c r="J62" s="103" t="s">
        <v>294</v>
      </c>
      <c r="K62" s="104"/>
      <c r="L62" s="104"/>
      <c r="M62" s="104"/>
      <c r="N62" s="104"/>
      <c r="O62" s="104"/>
      <c r="P62" s="104"/>
      <c r="Q62" s="127"/>
      <c r="R62" s="103" t="s">
        <v>295</v>
      </c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27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97"/>
      <c r="I63" s="31"/>
      <c r="J63" s="103" t="s">
        <v>296</v>
      </c>
      <c r="K63" s="104"/>
      <c r="L63" s="104"/>
      <c r="M63" s="104"/>
      <c r="N63" s="104"/>
      <c r="O63" s="104"/>
      <c r="P63" s="104"/>
      <c r="Q63" s="127"/>
      <c r="R63" s="103" t="s">
        <v>297</v>
      </c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27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97"/>
      <c r="I64" s="31"/>
      <c r="J64" s="103" t="s">
        <v>298</v>
      </c>
      <c r="K64" s="104"/>
      <c r="L64" s="104"/>
      <c r="M64" s="104"/>
      <c r="N64" s="104"/>
      <c r="O64" s="104"/>
      <c r="P64" s="104"/>
      <c r="Q64" s="127"/>
      <c r="R64" s="103" t="s">
        <v>299</v>
      </c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27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97"/>
      <c r="I65" s="31"/>
      <c r="J65" s="103" t="s">
        <v>300</v>
      </c>
      <c r="K65" s="104"/>
      <c r="L65" s="104"/>
      <c r="M65" s="104"/>
      <c r="N65" s="104"/>
      <c r="O65" s="104"/>
      <c r="P65" s="104"/>
      <c r="Q65" s="127"/>
      <c r="R65" s="103" t="s">
        <v>301</v>
      </c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27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97"/>
      <c r="I66" s="31"/>
      <c r="J66" s="103" t="s">
        <v>302</v>
      </c>
      <c r="K66" s="104"/>
      <c r="L66" s="104"/>
      <c r="M66" s="104"/>
      <c r="N66" s="104"/>
      <c r="O66" s="104"/>
      <c r="P66" s="104"/>
      <c r="Q66" s="127"/>
      <c r="R66" s="103" t="s">
        <v>303</v>
      </c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27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97"/>
      <c r="I67" s="31"/>
      <c r="J67" s="103" t="s">
        <v>304</v>
      </c>
      <c r="K67" s="104"/>
      <c r="L67" s="104"/>
      <c r="M67" s="104"/>
      <c r="N67" s="104"/>
      <c r="O67" s="104"/>
      <c r="P67" s="104"/>
      <c r="Q67" s="127"/>
      <c r="R67" s="103" t="s">
        <v>305</v>
      </c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27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97"/>
      <c r="I68" s="31"/>
      <c r="J68" s="103" t="s">
        <v>306</v>
      </c>
      <c r="K68" s="104"/>
      <c r="L68" s="104"/>
      <c r="M68" s="104"/>
      <c r="N68" s="104"/>
      <c r="O68" s="104"/>
      <c r="P68" s="104"/>
      <c r="Q68" s="127"/>
      <c r="R68" s="103" t="s">
        <v>307</v>
      </c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27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23"/>
      <c r="C69" s="31"/>
      <c r="D69" s="31"/>
      <c r="E69" s="31"/>
      <c r="F69" s="31"/>
      <c r="G69" s="96"/>
      <c r="H69" s="97"/>
      <c r="I69" s="31"/>
      <c r="J69" s="103" t="s">
        <v>308</v>
      </c>
      <c r="K69" s="104"/>
      <c r="L69" s="104"/>
      <c r="M69" s="104"/>
      <c r="N69" s="104"/>
      <c r="O69" s="104"/>
      <c r="P69" s="104"/>
      <c r="Q69" s="127"/>
      <c r="R69" s="103" t="s">
        <v>309</v>
      </c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27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23"/>
      <c r="C70" s="31"/>
      <c r="D70" s="31"/>
      <c r="E70" s="31"/>
      <c r="F70" s="31"/>
      <c r="G70" s="96"/>
      <c r="H70" s="100" t="s">
        <v>52</v>
      </c>
      <c r="I70" s="55"/>
      <c r="J70" s="100" t="s">
        <v>310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101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102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97"/>
      <c r="I71" s="31"/>
      <c r="J71" s="97" t="s">
        <v>311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97"/>
      <c r="I72" s="31"/>
      <c r="J72" s="97" t="s">
        <v>312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97"/>
      <c r="I73" s="31"/>
      <c r="J73" s="97" t="s">
        <v>313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97"/>
      <c r="I74" s="31"/>
      <c r="J74" s="97" t="s">
        <v>312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97"/>
      <c r="I75" s="31"/>
      <c r="J75" s="97" t="s">
        <v>314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97"/>
      <c r="I76" s="31"/>
      <c r="J76" s="97" t="s">
        <v>312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97"/>
      <c r="I77" s="31"/>
      <c r="J77" s="97" t="s">
        <v>315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23"/>
      <c r="C78" s="31"/>
      <c r="D78" s="31"/>
      <c r="E78" s="31"/>
      <c r="F78" s="31"/>
      <c r="G78" s="96"/>
      <c r="H78" s="97"/>
      <c r="I78" s="31"/>
      <c r="J78" s="97" t="s">
        <v>312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23"/>
      <c r="C79" s="31"/>
      <c r="D79" s="31"/>
      <c r="E79" s="31"/>
      <c r="F79" s="31"/>
      <c r="G79" s="96"/>
      <c r="H79" s="97"/>
      <c r="I79" s="31"/>
      <c r="J79" s="97" t="s">
        <v>316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23"/>
      <c r="C80" s="31"/>
      <c r="D80" s="31"/>
      <c r="E80" s="31"/>
      <c r="F80" s="31"/>
      <c r="G80" s="96"/>
      <c r="H80" s="97"/>
      <c r="I80" s="31"/>
      <c r="J80" s="97" t="s">
        <v>312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23"/>
      <c r="C81" s="31"/>
      <c r="D81" s="31"/>
      <c r="E81" s="31"/>
      <c r="F81" s="31"/>
      <c r="G81" s="96"/>
      <c r="H81" s="97"/>
      <c r="I81" s="31"/>
      <c r="J81" s="97" t="s">
        <v>317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23"/>
      <c r="C82" s="31"/>
      <c r="D82" s="31"/>
      <c r="E82" s="31"/>
      <c r="F82" s="31"/>
      <c r="G82" s="96"/>
      <c r="H82" s="97"/>
      <c r="I82" s="31"/>
      <c r="J82" s="97" t="s">
        <v>312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123"/>
      <c r="C83" s="31"/>
      <c r="D83" s="31"/>
      <c r="E83" s="31"/>
      <c r="F83" s="31"/>
      <c r="G83" s="96"/>
      <c r="H83" s="97"/>
      <c r="I83" s="31"/>
      <c r="J83" s="97" t="s">
        <v>318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123"/>
      <c r="C84" s="31"/>
      <c r="D84" s="31"/>
      <c r="E84" s="31"/>
      <c r="F84" s="31"/>
      <c r="G84" s="96"/>
      <c r="H84" s="97"/>
      <c r="I84" s="31"/>
      <c r="J84" s="97" t="s">
        <v>312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123"/>
      <c r="C85" s="31"/>
      <c r="D85" s="31"/>
      <c r="E85" s="31"/>
      <c r="F85" s="31"/>
      <c r="G85" s="96"/>
      <c r="H85" s="97"/>
      <c r="I85" s="31"/>
      <c r="J85" s="97" t="s">
        <v>319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thickBot="1" x14ac:dyDescent="0.5">
      <c r="B86" s="123"/>
      <c r="C86" s="31"/>
      <c r="D86" s="31"/>
      <c r="E86" s="31"/>
      <c r="F86" s="31"/>
      <c r="G86" s="96"/>
      <c r="H86" s="97"/>
      <c r="I86" s="31"/>
      <c r="J86" s="97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89" t="s">
        <v>311</v>
      </c>
      <c r="C87" s="90"/>
      <c r="D87" s="90"/>
      <c r="E87" s="90"/>
      <c r="F87" s="90"/>
      <c r="G87" s="91"/>
      <c r="H87" s="92" t="s">
        <v>83</v>
      </c>
      <c r="I87" s="90"/>
      <c r="J87" s="120" t="s">
        <v>186</v>
      </c>
      <c r="K87" s="121"/>
      <c r="L87" s="121"/>
      <c r="M87" s="121"/>
      <c r="N87" s="121"/>
      <c r="O87" s="121"/>
      <c r="P87" s="121"/>
      <c r="Q87" s="122"/>
      <c r="R87" s="121" t="s">
        <v>320</v>
      </c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2"/>
      <c r="AK87" s="93" t="s">
        <v>242</v>
      </c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4"/>
    </row>
    <row r="88" spans="2:61" ht="20.100000000000001" customHeight="1" x14ac:dyDescent="0.45">
      <c r="B88" s="123"/>
      <c r="C88" s="31"/>
      <c r="D88" s="31"/>
      <c r="E88" s="31"/>
      <c r="F88" s="31"/>
      <c r="G88" s="96"/>
      <c r="H88" s="97"/>
      <c r="I88" s="31"/>
      <c r="J88" s="103" t="s">
        <v>243</v>
      </c>
      <c r="K88" s="104"/>
      <c r="L88" s="104"/>
      <c r="M88" s="104"/>
      <c r="N88" s="104"/>
      <c r="O88" s="104"/>
      <c r="P88" s="104"/>
      <c r="Q88" s="127"/>
      <c r="R88" s="104" t="s">
        <v>321</v>
      </c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27"/>
      <c r="AK88" s="98" t="s">
        <v>245</v>
      </c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23"/>
      <c r="C89" s="31"/>
      <c r="D89" s="31"/>
      <c r="E89" s="31"/>
      <c r="F89" s="31"/>
      <c r="G89" s="96"/>
      <c r="H89" s="97"/>
      <c r="I89" s="31"/>
      <c r="J89" s="103" t="s">
        <v>246</v>
      </c>
      <c r="K89" s="104"/>
      <c r="L89" s="104"/>
      <c r="M89" s="104"/>
      <c r="N89" s="104"/>
      <c r="O89" s="104"/>
      <c r="P89" s="104"/>
      <c r="Q89" s="127"/>
      <c r="R89" s="104" t="s">
        <v>322</v>
      </c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27"/>
      <c r="AK89" s="98" t="s">
        <v>248</v>
      </c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123"/>
      <c r="C90" s="31"/>
      <c r="D90" s="31"/>
      <c r="E90" s="31"/>
      <c r="F90" s="31"/>
      <c r="G90" s="96"/>
      <c r="H90" s="97"/>
      <c r="I90" s="31"/>
      <c r="J90" s="103" t="s">
        <v>249</v>
      </c>
      <c r="K90" s="104"/>
      <c r="L90" s="104"/>
      <c r="M90" s="104"/>
      <c r="N90" s="104"/>
      <c r="O90" s="104"/>
      <c r="P90" s="104"/>
      <c r="Q90" s="127"/>
      <c r="R90" s="104" t="s">
        <v>323</v>
      </c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27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23"/>
      <c r="C91" s="31"/>
      <c r="D91" s="31"/>
      <c r="E91" s="31"/>
      <c r="F91" s="31"/>
      <c r="G91" s="96"/>
      <c r="H91" s="97"/>
      <c r="I91" s="31"/>
      <c r="J91" s="103" t="s">
        <v>251</v>
      </c>
      <c r="K91" s="104"/>
      <c r="L91" s="104"/>
      <c r="M91" s="104"/>
      <c r="N91" s="104"/>
      <c r="O91" s="104"/>
      <c r="P91" s="104"/>
      <c r="Q91" s="127"/>
      <c r="R91" s="104" t="s">
        <v>324</v>
      </c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27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/>
      <c r="C92" s="31"/>
      <c r="D92" s="31"/>
      <c r="E92" s="31"/>
      <c r="F92" s="31"/>
      <c r="G92" s="96"/>
      <c r="H92" s="97"/>
      <c r="I92" s="31"/>
      <c r="J92" s="103" t="s">
        <v>253</v>
      </c>
      <c r="K92" s="104"/>
      <c r="L92" s="104"/>
      <c r="M92" s="104"/>
      <c r="N92" s="104"/>
      <c r="O92" s="104"/>
      <c r="P92" s="104"/>
      <c r="Q92" s="127"/>
      <c r="R92" s="104" t="s">
        <v>325</v>
      </c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27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23"/>
      <c r="C93" s="31"/>
      <c r="D93" s="31"/>
      <c r="E93" s="31"/>
      <c r="F93" s="31"/>
      <c r="G93" s="96"/>
      <c r="H93" s="97"/>
      <c r="I93" s="31"/>
      <c r="J93" s="103" t="s">
        <v>255</v>
      </c>
      <c r="K93" s="104"/>
      <c r="L93" s="104"/>
      <c r="M93" s="104"/>
      <c r="N93" s="104"/>
      <c r="O93" s="104"/>
      <c r="P93" s="104"/>
      <c r="Q93" s="127"/>
      <c r="R93" s="104" t="s">
        <v>326</v>
      </c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27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x14ac:dyDescent="0.45">
      <c r="B94" s="123"/>
      <c r="C94" s="31"/>
      <c r="D94" s="31"/>
      <c r="E94" s="31"/>
      <c r="F94" s="31"/>
      <c r="G94" s="96"/>
      <c r="H94" s="97"/>
      <c r="I94" s="31"/>
      <c r="J94" s="103" t="s">
        <v>257</v>
      </c>
      <c r="K94" s="104"/>
      <c r="L94" s="104"/>
      <c r="M94" s="104"/>
      <c r="N94" s="104"/>
      <c r="O94" s="104"/>
      <c r="P94" s="104"/>
      <c r="Q94" s="127"/>
      <c r="R94" s="104" t="s">
        <v>327</v>
      </c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27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23"/>
      <c r="C95" s="31"/>
      <c r="D95" s="31"/>
      <c r="E95" s="31"/>
      <c r="F95" s="31"/>
      <c r="G95" s="96"/>
      <c r="H95" s="97"/>
      <c r="I95" s="31"/>
      <c r="J95" s="103" t="s">
        <v>259</v>
      </c>
      <c r="K95" s="104"/>
      <c r="L95" s="104"/>
      <c r="M95" s="104"/>
      <c r="N95" s="104"/>
      <c r="O95" s="104"/>
      <c r="P95" s="104"/>
      <c r="Q95" s="127"/>
      <c r="R95" s="104" t="s">
        <v>328</v>
      </c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27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23"/>
      <c r="C96" s="31"/>
      <c r="D96" s="31"/>
      <c r="E96" s="31"/>
      <c r="F96" s="31"/>
      <c r="G96" s="96"/>
      <c r="H96" s="97"/>
      <c r="I96" s="31"/>
      <c r="J96" s="103" t="s">
        <v>261</v>
      </c>
      <c r="K96" s="104"/>
      <c r="L96" s="104"/>
      <c r="M96" s="104"/>
      <c r="N96" s="104"/>
      <c r="O96" s="104"/>
      <c r="P96" s="104"/>
      <c r="Q96" s="127"/>
      <c r="R96" s="104" t="s">
        <v>329</v>
      </c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27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123"/>
      <c r="C97" s="31"/>
      <c r="D97" s="31"/>
      <c r="E97" s="31"/>
      <c r="F97" s="31"/>
      <c r="G97" s="96"/>
      <c r="H97" s="97"/>
      <c r="I97" s="31"/>
      <c r="J97" s="103" t="s">
        <v>263</v>
      </c>
      <c r="K97" s="104"/>
      <c r="L97" s="104"/>
      <c r="M97" s="104"/>
      <c r="N97" s="104"/>
      <c r="O97" s="104"/>
      <c r="P97" s="104"/>
      <c r="Q97" s="127"/>
      <c r="R97" s="104" t="s">
        <v>330</v>
      </c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27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23"/>
      <c r="C98" s="31"/>
      <c r="D98" s="31"/>
      <c r="E98" s="31"/>
      <c r="F98" s="31"/>
      <c r="G98" s="96"/>
      <c r="H98" s="97"/>
      <c r="I98" s="31"/>
      <c r="J98" s="103" t="s">
        <v>265</v>
      </c>
      <c r="K98" s="104"/>
      <c r="L98" s="104"/>
      <c r="M98" s="104"/>
      <c r="N98" s="104"/>
      <c r="O98" s="104"/>
      <c r="P98" s="104"/>
      <c r="Q98" s="127"/>
      <c r="R98" s="104" t="s">
        <v>331</v>
      </c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27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23"/>
      <c r="C99" s="31"/>
      <c r="D99" s="31"/>
      <c r="E99" s="31"/>
      <c r="F99" s="31"/>
      <c r="G99" s="96"/>
      <c r="H99" s="97"/>
      <c r="I99" s="31"/>
      <c r="J99" s="103" t="s">
        <v>267</v>
      </c>
      <c r="K99" s="104"/>
      <c r="L99" s="104"/>
      <c r="M99" s="104"/>
      <c r="N99" s="104"/>
      <c r="O99" s="104"/>
      <c r="P99" s="104"/>
      <c r="Q99" s="127"/>
      <c r="R99" s="104" t="s">
        <v>332</v>
      </c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27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123"/>
      <c r="C100" s="31"/>
      <c r="D100" s="31"/>
      <c r="E100" s="31"/>
      <c r="F100" s="31"/>
      <c r="G100" s="96"/>
      <c r="H100" s="97"/>
      <c r="I100" s="31"/>
      <c r="J100" s="103" t="s">
        <v>269</v>
      </c>
      <c r="K100" s="104"/>
      <c r="L100" s="104"/>
      <c r="M100" s="104"/>
      <c r="N100" s="104"/>
      <c r="O100" s="104"/>
      <c r="P100" s="104"/>
      <c r="Q100" s="127"/>
      <c r="R100" s="104" t="s">
        <v>333</v>
      </c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27"/>
      <c r="AK100" s="98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 x14ac:dyDescent="0.45">
      <c r="B101" s="123"/>
      <c r="C101" s="31"/>
      <c r="D101" s="31"/>
      <c r="E101" s="31"/>
      <c r="F101" s="31"/>
      <c r="G101" s="96"/>
      <c r="H101" s="97"/>
      <c r="I101" s="31"/>
      <c r="J101" s="103" t="s">
        <v>271</v>
      </c>
      <c r="K101" s="104"/>
      <c r="L101" s="104"/>
      <c r="M101" s="104"/>
      <c r="N101" s="104"/>
      <c r="O101" s="104"/>
      <c r="P101" s="104"/>
      <c r="Q101" s="127"/>
      <c r="R101" s="104" t="s">
        <v>334</v>
      </c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27"/>
      <c r="AK101" s="98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x14ac:dyDescent="0.45">
      <c r="B102" s="123"/>
      <c r="C102" s="31"/>
      <c r="D102" s="31"/>
      <c r="E102" s="31"/>
      <c r="F102" s="31"/>
      <c r="G102" s="96"/>
      <c r="H102" s="97"/>
      <c r="I102" s="31"/>
      <c r="J102" s="103" t="s">
        <v>273</v>
      </c>
      <c r="K102" s="104"/>
      <c r="L102" s="104"/>
      <c r="M102" s="104"/>
      <c r="N102" s="104"/>
      <c r="O102" s="104"/>
      <c r="P102" s="104"/>
      <c r="Q102" s="127"/>
      <c r="R102" s="104" t="s">
        <v>335</v>
      </c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27"/>
      <c r="AK102" s="98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99"/>
    </row>
    <row r="103" spans="2:61" ht="20.100000000000001" customHeight="1" x14ac:dyDescent="0.45">
      <c r="B103" s="123"/>
      <c r="C103" s="31"/>
      <c r="D103" s="31"/>
      <c r="E103" s="31"/>
      <c r="F103" s="31"/>
      <c r="G103" s="96"/>
      <c r="H103" s="97"/>
      <c r="I103" s="31"/>
      <c r="J103" s="103" t="s">
        <v>275</v>
      </c>
      <c r="K103" s="104"/>
      <c r="L103" s="104"/>
      <c r="M103" s="104"/>
      <c r="N103" s="104"/>
      <c r="O103" s="104"/>
      <c r="P103" s="104"/>
      <c r="Q103" s="127"/>
      <c r="R103" s="104" t="s">
        <v>336</v>
      </c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27"/>
      <c r="AK103" s="98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x14ac:dyDescent="0.45">
      <c r="B104" s="123"/>
      <c r="C104" s="31"/>
      <c r="D104" s="31"/>
      <c r="E104" s="31"/>
      <c r="F104" s="31"/>
      <c r="G104" s="96"/>
      <c r="H104" s="97"/>
      <c r="I104" s="31"/>
      <c r="J104" s="103" t="s">
        <v>277</v>
      </c>
      <c r="K104" s="104"/>
      <c r="L104" s="104"/>
      <c r="M104" s="104"/>
      <c r="N104" s="104"/>
      <c r="O104" s="104"/>
      <c r="P104" s="104"/>
      <c r="Q104" s="127"/>
      <c r="R104" s="104" t="s">
        <v>337</v>
      </c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27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123"/>
      <c r="C105" s="31"/>
      <c r="D105" s="31"/>
      <c r="E105" s="31"/>
      <c r="F105" s="31"/>
      <c r="G105" s="96"/>
      <c r="H105" s="97"/>
      <c r="I105" s="31"/>
      <c r="J105" s="103" t="s">
        <v>279</v>
      </c>
      <c r="K105" s="104"/>
      <c r="L105" s="104"/>
      <c r="M105" s="104"/>
      <c r="N105" s="104"/>
      <c r="O105" s="104"/>
      <c r="P105" s="104"/>
      <c r="Q105" s="127"/>
      <c r="R105" s="104" t="s">
        <v>338</v>
      </c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27"/>
      <c r="AK105" s="98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99"/>
    </row>
    <row r="106" spans="2:61" ht="20.100000000000001" customHeight="1" x14ac:dyDescent="0.45">
      <c r="B106" s="123"/>
      <c r="C106" s="31"/>
      <c r="D106" s="31"/>
      <c r="E106" s="31"/>
      <c r="F106" s="31"/>
      <c r="G106" s="96"/>
      <c r="H106" s="97"/>
      <c r="I106" s="31"/>
      <c r="J106" s="103" t="s">
        <v>281</v>
      </c>
      <c r="K106" s="104"/>
      <c r="L106" s="104"/>
      <c r="M106" s="104"/>
      <c r="N106" s="104"/>
      <c r="O106" s="104"/>
      <c r="P106" s="104"/>
      <c r="Q106" s="127"/>
      <c r="R106" s="104" t="s">
        <v>339</v>
      </c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27"/>
      <c r="AK106" s="98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x14ac:dyDescent="0.45">
      <c r="B107" s="123"/>
      <c r="C107" s="31"/>
      <c r="D107" s="31"/>
      <c r="E107" s="31"/>
      <c r="F107" s="31"/>
      <c r="G107" s="96"/>
      <c r="H107" s="97"/>
      <c r="I107" s="31"/>
      <c r="J107" s="103" t="s">
        <v>283</v>
      </c>
      <c r="K107" s="104"/>
      <c r="L107" s="104"/>
      <c r="M107" s="104"/>
      <c r="N107" s="104"/>
      <c r="O107" s="104"/>
      <c r="P107" s="104"/>
      <c r="Q107" s="127"/>
      <c r="R107" s="104" t="s">
        <v>340</v>
      </c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27"/>
      <c r="AK107" s="98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123"/>
      <c r="C108" s="31"/>
      <c r="D108" s="31"/>
      <c r="E108" s="31"/>
      <c r="F108" s="31"/>
      <c r="G108" s="96"/>
      <c r="H108" s="97"/>
      <c r="I108" s="31"/>
      <c r="J108" s="103" t="s">
        <v>285</v>
      </c>
      <c r="K108" s="104"/>
      <c r="L108" s="104"/>
      <c r="M108" s="104"/>
      <c r="N108" s="104"/>
      <c r="O108" s="104"/>
      <c r="P108" s="104"/>
      <c r="Q108" s="127"/>
      <c r="R108" s="104" t="s">
        <v>341</v>
      </c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27"/>
      <c r="AK108" s="98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99"/>
    </row>
    <row r="109" spans="2:61" ht="20.100000000000001" customHeight="1" x14ac:dyDescent="0.45">
      <c r="B109" s="123"/>
      <c r="C109" s="31"/>
      <c r="D109" s="31"/>
      <c r="E109" s="31"/>
      <c r="F109" s="31"/>
      <c r="G109" s="96"/>
      <c r="H109" s="97"/>
      <c r="I109" s="31"/>
      <c r="J109" s="103" t="s">
        <v>287</v>
      </c>
      <c r="K109" s="104"/>
      <c r="L109" s="104"/>
      <c r="M109" s="104"/>
      <c r="N109" s="104"/>
      <c r="O109" s="104"/>
      <c r="P109" s="104"/>
      <c r="Q109" s="127"/>
      <c r="R109" s="104" t="s">
        <v>342</v>
      </c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27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23"/>
      <c r="C110" s="31"/>
      <c r="D110" s="31"/>
      <c r="E110" s="31"/>
      <c r="F110" s="31"/>
      <c r="G110" s="96"/>
      <c r="H110" s="97"/>
      <c r="I110" s="31"/>
      <c r="J110" s="103" t="s">
        <v>289</v>
      </c>
      <c r="K110" s="104"/>
      <c r="L110" s="104"/>
      <c r="M110" s="104"/>
      <c r="N110" s="104"/>
      <c r="O110" s="104"/>
      <c r="P110" s="104"/>
      <c r="Q110" s="127"/>
      <c r="R110" s="160" t="s">
        <v>343</v>
      </c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27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23"/>
      <c r="C111" s="31"/>
      <c r="D111" s="31"/>
      <c r="E111" s="31"/>
      <c r="F111" s="31"/>
      <c r="G111" s="96"/>
      <c r="H111" s="97"/>
      <c r="I111" s="31"/>
      <c r="J111" s="103" t="s">
        <v>200</v>
      </c>
      <c r="K111" s="104"/>
      <c r="L111" s="104"/>
      <c r="M111" s="104"/>
      <c r="N111" s="104"/>
      <c r="O111" s="104"/>
      <c r="P111" s="104"/>
      <c r="Q111" s="127"/>
      <c r="R111" s="104" t="s">
        <v>344</v>
      </c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27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23"/>
      <c r="C112" s="31"/>
      <c r="D112" s="31"/>
      <c r="E112" s="31"/>
      <c r="F112" s="31"/>
      <c r="G112" s="96"/>
      <c r="H112" s="97"/>
      <c r="I112" s="31"/>
      <c r="J112" s="103" t="s">
        <v>292</v>
      </c>
      <c r="K112" s="104"/>
      <c r="L112" s="104"/>
      <c r="M112" s="104"/>
      <c r="N112" s="104"/>
      <c r="O112" s="104"/>
      <c r="P112" s="104"/>
      <c r="Q112" s="127"/>
      <c r="R112" s="104" t="s">
        <v>345</v>
      </c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27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23"/>
      <c r="C113" s="31"/>
      <c r="D113" s="31"/>
      <c r="E113" s="31"/>
      <c r="F113" s="31"/>
      <c r="G113" s="96"/>
      <c r="H113" s="97"/>
      <c r="I113" s="31"/>
      <c r="J113" s="103" t="s">
        <v>294</v>
      </c>
      <c r="K113" s="104"/>
      <c r="L113" s="104"/>
      <c r="M113" s="104"/>
      <c r="N113" s="104"/>
      <c r="O113" s="104"/>
      <c r="P113" s="104"/>
      <c r="Q113" s="127"/>
      <c r="R113" s="104" t="s">
        <v>346</v>
      </c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27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23"/>
      <c r="C114" s="31"/>
      <c r="D114" s="31"/>
      <c r="E114" s="31"/>
      <c r="F114" s="31"/>
      <c r="G114" s="96"/>
      <c r="H114" s="97"/>
      <c r="I114" s="31"/>
      <c r="J114" s="103" t="s">
        <v>296</v>
      </c>
      <c r="K114" s="104"/>
      <c r="L114" s="104"/>
      <c r="M114" s="104"/>
      <c r="N114" s="104"/>
      <c r="O114" s="104"/>
      <c r="P114" s="104"/>
      <c r="Q114" s="127"/>
      <c r="R114" s="104" t="s">
        <v>347</v>
      </c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27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23"/>
      <c r="C115" s="31"/>
      <c r="D115" s="31"/>
      <c r="E115" s="31"/>
      <c r="F115" s="31"/>
      <c r="G115" s="96"/>
      <c r="H115" s="97"/>
      <c r="I115" s="31"/>
      <c r="J115" s="103" t="s">
        <v>298</v>
      </c>
      <c r="K115" s="104"/>
      <c r="L115" s="104"/>
      <c r="M115" s="104"/>
      <c r="N115" s="104"/>
      <c r="O115" s="104"/>
      <c r="P115" s="104"/>
      <c r="Q115" s="127"/>
      <c r="R115" s="104" t="s">
        <v>348</v>
      </c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27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23"/>
      <c r="C116" s="31"/>
      <c r="D116" s="31"/>
      <c r="E116" s="31"/>
      <c r="F116" s="31"/>
      <c r="G116" s="96"/>
      <c r="H116" s="97"/>
      <c r="I116" s="31"/>
      <c r="J116" s="103" t="s">
        <v>300</v>
      </c>
      <c r="K116" s="104"/>
      <c r="L116" s="104"/>
      <c r="M116" s="104"/>
      <c r="N116" s="104"/>
      <c r="O116" s="104"/>
      <c r="P116" s="104"/>
      <c r="Q116" s="127"/>
      <c r="R116" s="104" t="s">
        <v>349</v>
      </c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27"/>
      <c r="AK116" s="98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99"/>
    </row>
    <row r="117" spans="2:61" ht="20.100000000000001" customHeight="1" x14ac:dyDescent="0.45">
      <c r="B117" s="123"/>
      <c r="C117" s="31"/>
      <c r="D117" s="31"/>
      <c r="E117" s="31"/>
      <c r="F117" s="31"/>
      <c r="G117" s="96"/>
      <c r="H117" s="97"/>
      <c r="I117" s="31"/>
      <c r="J117" s="103" t="s">
        <v>302</v>
      </c>
      <c r="K117" s="104"/>
      <c r="L117" s="104"/>
      <c r="M117" s="104"/>
      <c r="N117" s="104"/>
      <c r="O117" s="104"/>
      <c r="P117" s="104"/>
      <c r="Q117" s="127"/>
      <c r="R117" s="104" t="s">
        <v>350</v>
      </c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27"/>
      <c r="AK117" s="98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99"/>
    </row>
    <row r="118" spans="2:61" ht="20.100000000000001" customHeight="1" x14ac:dyDescent="0.45">
      <c r="B118" s="123"/>
      <c r="C118" s="31"/>
      <c r="D118" s="31"/>
      <c r="E118" s="31"/>
      <c r="F118" s="31"/>
      <c r="G118" s="96"/>
      <c r="H118" s="97"/>
      <c r="I118" s="31"/>
      <c r="J118" s="103" t="s">
        <v>304</v>
      </c>
      <c r="K118" s="104"/>
      <c r="L118" s="104"/>
      <c r="M118" s="104"/>
      <c r="N118" s="104"/>
      <c r="O118" s="104"/>
      <c r="P118" s="104"/>
      <c r="Q118" s="127"/>
      <c r="R118" s="104" t="s">
        <v>351</v>
      </c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27"/>
      <c r="AK118" s="98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99"/>
    </row>
    <row r="119" spans="2:61" ht="20.100000000000001" customHeight="1" x14ac:dyDescent="0.45">
      <c r="B119" s="123"/>
      <c r="C119" s="31"/>
      <c r="D119" s="31"/>
      <c r="E119" s="31"/>
      <c r="F119" s="31"/>
      <c r="G119" s="96"/>
      <c r="H119" s="97"/>
      <c r="I119" s="31"/>
      <c r="J119" s="103" t="s">
        <v>306</v>
      </c>
      <c r="K119" s="104"/>
      <c r="L119" s="104"/>
      <c r="M119" s="104"/>
      <c r="N119" s="104"/>
      <c r="O119" s="104"/>
      <c r="P119" s="104"/>
      <c r="Q119" s="127"/>
      <c r="R119" s="104" t="s">
        <v>352</v>
      </c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27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123"/>
      <c r="C120" s="31"/>
      <c r="D120" s="31"/>
      <c r="E120" s="31"/>
      <c r="F120" s="31"/>
      <c r="G120" s="96"/>
      <c r="H120" s="97"/>
      <c r="I120" s="31"/>
      <c r="J120" s="103" t="s">
        <v>308</v>
      </c>
      <c r="K120" s="104"/>
      <c r="L120" s="104"/>
      <c r="M120" s="104"/>
      <c r="N120" s="104"/>
      <c r="O120" s="104"/>
      <c r="P120" s="104"/>
      <c r="Q120" s="127"/>
      <c r="R120" s="104" t="s">
        <v>353</v>
      </c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27"/>
      <c r="AK120" s="98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99"/>
    </row>
    <row r="121" spans="2:61" ht="20.100000000000001" customHeight="1" x14ac:dyDescent="0.45">
      <c r="B121" s="123"/>
      <c r="C121" s="31"/>
      <c r="D121" s="31"/>
      <c r="E121" s="31"/>
      <c r="F121" s="31"/>
      <c r="G121" s="96"/>
      <c r="H121" s="100" t="s">
        <v>52</v>
      </c>
      <c r="I121" s="55"/>
      <c r="J121" s="100" t="s">
        <v>354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01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102"/>
    </row>
    <row r="122" spans="2:61" ht="20.100000000000001" customHeight="1" x14ac:dyDescent="0.45">
      <c r="B122" s="95"/>
      <c r="C122" s="31"/>
      <c r="D122" s="31"/>
      <c r="E122" s="31"/>
      <c r="F122" s="31"/>
      <c r="G122" s="96"/>
      <c r="H122" s="100" t="s">
        <v>53</v>
      </c>
      <c r="I122" s="55"/>
      <c r="J122" s="161" t="s">
        <v>355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101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102"/>
    </row>
    <row r="123" spans="2:61" ht="20.100000000000001" customHeight="1" x14ac:dyDescent="0.45">
      <c r="B123" s="95"/>
      <c r="C123" s="31"/>
      <c r="D123" s="31"/>
      <c r="E123" s="31"/>
      <c r="F123" s="31"/>
      <c r="G123" s="96"/>
      <c r="H123" s="97"/>
      <c r="I123" s="31"/>
      <c r="J123" s="97" t="s">
        <v>356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95"/>
      <c r="C124" s="31"/>
      <c r="D124" s="31"/>
      <c r="E124" s="31"/>
      <c r="F124" s="31"/>
      <c r="G124" s="96"/>
      <c r="H124" s="97"/>
      <c r="I124" s="31"/>
      <c r="J124" s="97" t="s">
        <v>357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97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99"/>
    </row>
    <row r="125" spans="2:61" ht="20.100000000000001" customHeight="1" x14ac:dyDescent="0.45">
      <c r="B125" s="95"/>
      <c r="C125" s="31"/>
      <c r="D125" s="31"/>
      <c r="E125" s="31"/>
      <c r="F125" s="31"/>
      <c r="G125" s="96"/>
      <c r="H125" s="97"/>
      <c r="I125" s="31"/>
      <c r="J125" s="97"/>
      <c r="K125" s="31" t="s">
        <v>358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97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99"/>
    </row>
    <row r="126" spans="2:61" ht="20.100000000000001" customHeight="1" x14ac:dyDescent="0.45">
      <c r="B126" s="95"/>
      <c r="C126" s="31"/>
      <c r="D126" s="31"/>
      <c r="E126" s="31"/>
      <c r="F126" s="31"/>
      <c r="G126" s="96"/>
      <c r="H126" s="100" t="s">
        <v>54</v>
      </c>
      <c r="I126" s="55"/>
      <c r="J126" s="100" t="s">
        <v>359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101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102"/>
    </row>
    <row r="127" spans="2:61" ht="20.100000000000001" customHeight="1" x14ac:dyDescent="0.45">
      <c r="B127" s="95"/>
      <c r="C127" s="31"/>
      <c r="D127" s="31"/>
      <c r="E127" s="31"/>
      <c r="F127" s="31"/>
      <c r="G127" s="96"/>
      <c r="H127" s="97"/>
      <c r="I127" s="31"/>
      <c r="J127" s="97" t="s">
        <v>360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98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20.100000000000001" customHeight="1" x14ac:dyDescent="0.45">
      <c r="B128" s="95"/>
      <c r="C128" s="31"/>
      <c r="D128" s="31"/>
      <c r="E128" s="31"/>
      <c r="F128" s="31"/>
      <c r="G128" s="96"/>
      <c r="H128" s="97"/>
      <c r="I128" s="31"/>
      <c r="J128" s="97" t="s">
        <v>361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98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99"/>
    </row>
    <row r="129" spans="2:61" ht="20.100000000000001" customHeight="1" x14ac:dyDescent="0.45">
      <c r="B129" s="95"/>
      <c r="C129" s="31"/>
      <c r="D129" s="31"/>
      <c r="E129" s="31"/>
      <c r="F129" s="31"/>
      <c r="G129" s="96"/>
      <c r="H129" s="97"/>
      <c r="I129" s="31"/>
      <c r="J129" s="97" t="s">
        <v>362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98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99"/>
    </row>
    <row r="130" spans="2:61" ht="20.100000000000001" customHeight="1" thickBot="1" x14ac:dyDescent="0.5">
      <c r="B130" s="95"/>
      <c r="C130" s="31"/>
      <c r="D130" s="31"/>
      <c r="E130" s="31"/>
      <c r="F130" s="31"/>
      <c r="G130" s="96"/>
      <c r="H130" s="97"/>
      <c r="I130" s="31"/>
      <c r="J130" s="97" t="s">
        <v>363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89" t="s">
        <v>313</v>
      </c>
      <c r="C131" s="90"/>
      <c r="D131" s="90"/>
      <c r="E131" s="90"/>
      <c r="F131" s="90"/>
      <c r="G131" s="91"/>
      <c r="H131" s="92" t="s">
        <v>83</v>
      </c>
      <c r="I131" s="90"/>
      <c r="J131" s="120" t="s">
        <v>186</v>
      </c>
      <c r="K131" s="121"/>
      <c r="L131" s="121"/>
      <c r="M131" s="121"/>
      <c r="N131" s="121"/>
      <c r="O131" s="121"/>
      <c r="P131" s="121"/>
      <c r="Q131" s="122"/>
      <c r="R131" s="121" t="s">
        <v>320</v>
      </c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2"/>
      <c r="AK131" s="93" t="s">
        <v>242</v>
      </c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4"/>
    </row>
    <row r="132" spans="2:61" ht="20.100000000000001" customHeight="1" x14ac:dyDescent="0.45">
      <c r="B132" s="123"/>
      <c r="C132" s="31"/>
      <c r="D132" s="31"/>
      <c r="E132" s="31"/>
      <c r="F132" s="31"/>
      <c r="G132" s="96"/>
      <c r="H132" s="97"/>
      <c r="I132" s="31"/>
      <c r="J132" s="103" t="s">
        <v>243</v>
      </c>
      <c r="K132" s="104"/>
      <c r="L132" s="104"/>
      <c r="M132" s="104"/>
      <c r="N132" s="104"/>
      <c r="O132" s="104"/>
      <c r="P132" s="104"/>
      <c r="Q132" s="127"/>
      <c r="R132" s="104" t="s">
        <v>321</v>
      </c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27"/>
      <c r="AK132" s="98" t="s">
        <v>245</v>
      </c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20.100000000000001" customHeight="1" x14ac:dyDescent="0.45">
      <c r="B133" s="123"/>
      <c r="C133" s="31"/>
      <c r="D133" s="31"/>
      <c r="E133" s="31"/>
      <c r="F133" s="31"/>
      <c r="G133" s="96"/>
      <c r="H133" s="97"/>
      <c r="I133" s="31"/>
      <c r="J133" s="103" t="s">
        <v>246</v>
      </c>
      <c r="K133" s="104"/>
      <c r="L133" s="104"/>
      <c r="M133" s="104"/>
      <c r="N133" s="104"/>
      <c r="O133" s="104"/>
      <c r="P133" s="104"/>
      <c r="Q133" s="127"/>
      <c r="R133" s="104" t="s">
        <v>322</v>
      </c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27"/>
      <c r="AK133" s="98" t="s">
        <v>364</v>
      </c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123"/>
      <c r="C134" s="31"/>
      <c r="D134" s="31"/>
      <c r="E134" s="31"/>
      <c r="F134" s="31"/>
      <c r="G134" s="96"/>
      <c r="H134" s="97"/>
      <c r="I134" s="31"/>
      <c r="J134" s="103" t="s">
        <v>249</v>
      </c>
      <c r="K134" s="104"/>
      <c r="L134" s="104"/>
      <c r="M134" s="104"/>
      <c r="N134" s="104"/>
      <c r="O134" s="104"/>
      <c r="P134" s="104"/>
      <c r="Q134" s="127"/>
      <c r="R134" s="104" t="s">
        <v>323</v>
      </c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27"/>
      <c r="AK134" s="98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x14ac:dyDescent="0.45">
      <c r="B135" s="123"/>
      <c r="C135" s="31"/>
      <c r="D135" s="31"/>
      <c r="E135" s="31"/>
      <c r="F135" s="31"/>
      <c r="G135" s="96"/>
      <c r="H135" s="97"/>
      <c r="I135" s="31"/>
      <c r="J135" s="103" t="s">
        <v>251</v>
      </c>
      <c r="K135" s="104"/>
      <c r="L135" s="104"/>
      <c r="M135" s="104"/>
      <c r="N135" s="104"/>
      <c r="O135" s="104"/>
      <c r="P135" s="104"/>
      <c r="Q135" s="127"/>
      <c r="R135" s="104" t="s">
        <v>324</v>
      </c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27"/>
      <c r="AK135" s="98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123"/>
      <c r="C136" s="31"/>
      <c r="D136" s="31"/>
      <c r="E136" s="31"/>
      <c r="F136" s="31"/>
      <c r="G136" s="96"/>
      <c r="H136" s="97"/>
      <c r="I136" s="31"/>
      <c r="J136" s="103" t="s">
        <v>253</v>
      </c>
      <c r="K136" s="104"/>
      <c r="L136" s="104"/>
      <c r="M136" s="104"/>
      <c r="N136" s="104"/>
      <c r="O136" s="104"/>
      <c r="P136" s="104"/>
      <c r="Q136" s="127"/>
      <c r="R136" s="104" t="s">
        <v>325</v>
      </c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27"/>
      <c r="AK136" s="98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99"/>
    </row>
    <row r="137" spans="2:61" ht="20.100000000000001" customHeight="1" x14ac:dyDescent="0.45">
      <c r="B137" s="123"/>
      <c r="C137" s="31"/>
      <c r="D137" s="31"/>
      <c r="E137" s="31"/>
      <c r="F137" s="31"/>
      <c r="G137" s="96"/>
      <c r="H137" s="97"/>
      <c r="I137" s="31"/>
      <c r="J137" s="103" t="s">
        <v>255</v>
      </c>
      <c r="K137" s="104"/>
      <c r="L137" s="104"/>
      <c r="M137" s="104"/>
      <c r="N137" s="104"/>
      <c r="O137" s="104"/>
      <c r="P137" s="104"/>
      <c r="Q137" s="127"/>
      <c r="R137" s="104" t="s">
        <v>326</v>
      </c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27"/>
      <c r="AK137" s="98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99"/>
    </row>
    <row r="138" spans="2:61" ht="20.100000000000001" customHeight="1" x14ac:dyDescent="0.45">
      <c r="B138" s="123"/>
      <c r="C138" s="31"/>
      <c r="D138" s="31"/>
      <c r="E138" s="31"/>
      <c r="F138" s="31"/>
      <c r="G138" s="96"/>
      <c r="H138" s="97"/>
      <c r="I138" s="31"/>
      <c r="J138" s="103" t="s">
        <v>257</v>
      </c>
      <c r="K138" s="104"/>
      <c r="L138" s="104"/>
      <c r="M138" s="104"/>
      <c r="N138" s="104"/>
      <c r="O138" s="104"/>
      <c r="P138" s="104"/>
      <c r="Q138" s="127"/>
      <c r="R138" s="104" t="s">
        <v>327</v>
      </c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27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123"/>
      <c r="C139" s="31"/>
      <c r="D139" s="31"/>
      <c r="E139" s="31"/>
      <c r="F139" s="31"/>
      <c r="G139" s="96"/>
      <c r="H139" s="97"/>
      <c r="I139" s="31"/>
      <c r="J139" s="103" t="s">
        <v>259</v>
      </c>
      <c r="K139" s="104"/>
      <c r="L139" s="104"/>
      <c r="M139" s="104"/>
      <c r="N139" s="104"/>
      <c r="O139" s="104"/>
      <c r="P139" s="104"/>
      <c r="Q139" s="127"/>
      <c r="R139" s="104" t="s">
        <v>328</v>
      </c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27"/>
      <c r="AK139" s="98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99"/>
    </row>
    <row r="140" spans="2:61" ht="20.100000000000001" customHeight="1" x14ac:dyDescent="0.45">
      <c r="B140" s="123"/>
      <c r="C140" s="31"/>
      <c r="D140" s="31"/>
      <c r="E140" s="31"/>
      <c r="F140" s="31"/>
      <c r="G140" s="96"/>
      <c r="H140" s="97"/>
      <c r="I140" s="31"/>
      <c r="J140" s="103" t="s">
        <v>261</v>
      </c>
      <c r="K140" s="104"/>
      <c r="L140" s="104"/>
      <c r="M140" s="104"/>
      <c r="N140" s="104"/>
      <c r="O140" s="104"/>
      <c r="P140" s="104"/>
      <c r="Q140" s="127"/>
      <c r="R140" s="104" t="s">
        <v>329</v>
      </c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27"/>
      <c r="AK140" s="98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x14ac:dyDescent="0.45">
      <c r="B141" s="123"/>
      <c r="C141" s="31"/>
      <c r="D141" s="31"/>
      <c r="E141" s="31"/>
      <c r="F141" s="31"/>
      <c r="G141" s="96"/>
      <c r="H141" s="97"/>
      <c r="I141" s="31"/>
      <c r="J141" s="103" t="s">
        <v>263</v>
      </c>
      <c r="K141" s="104"/>
      <c r="L141" s="104"/>
      <c r="M141" s="104"/>
      <c r="N141" s="104"/>
      <c r="O141" s="104"/>
      <c r="P141" s="104"/>
      <c r="Q141" s="127"/>
      <c r="R141" s="104" t="s">
        <v>330</v>
      </c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27"/>
      <c r="AK141" s="98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123"/>
      <c r="C142" s="31"/>
      <c r="D142" s="31"/>
      <c r="E142" s="31"/>
      <c r="F142" s="31"/>
      <c r="G142" s="96"/>
      <c r="H142" s="97"/>
      <c r="I142" s="31"/>
      <c r="J142" s="103" t="s">
        <v>265</v>
      </c>
      <c r="K142" s="104"/>
      <c r="L142" s="104"/>
      <c r="M142" s="104"/>
      <c r="N142" s="104"/>
      <c r="O142" s="104"/>
      <c r="P142" s="104"/>
      <c r="Q142" s="127"/>
      <c r="R142" s="104" t="s">
        <v>331</v>
      </c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27"/>
      <c r="AK142" s="98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99"/>
    </row>
    <row r="143" spans="2:61" ht="20.100000000000001" customHeight="1" x14ac:dyDescent="0.45">
      <c r="B143" s="123"/>
      <c r="C143" s="31"/>
      <c r="D143" s="31"/>
      <c r="E143" s="31"/>
      <c r="F143" s="31"/>
      <c r="G143" s="96"/>
      <c r="H143" s="97"/>
      <c r="I143" s="31"/>
      <c r="J143" s="103" t="s">
        <v>267</v>
      </c>
      <c r="K143" s="104"/>
      <c r="L143" s="104"/>
      <c r="M143" s="104"/>
      <c r="N143" s="104"/>
      <c r="O143" s="104"/>
      <c r="P143" s="104"/>
      <c r="Q143" s="127"/>
      <c r="R143" s="104" t="s">
        <v>332</v>
      </c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27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23"/>
      <c r="C144" s="31"/>
      <c r="D144" s="31"/>
      <c r="E144" s="31"/>
      <c r="F144" s="31"/>
      <c r="G144" s="96"/>
      <c r="H144" s="97"/>
      <c r="I144" s="31"/>
      <c r="J144" s="103" t="s">
        <v>269</v>
      </c>
      <c r="K144" s="104"/>
      <c r="L144" s="104"/>
      <c r="M144" s="104"/>
      <c r="N144" s="104"/>
      <c r="O144" s="104"/>
      <c r="P144" s="104"/>
      <c r="Q144" s="127"/>
      <c r="R144" s="104" t="s">
        <v>333</v>
      </c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27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23"/>
      <c r="C145" s="31"/>
      <c r="D145" s="31"/>
      <c r="E145" s="31"/>
      <c r="F145" s="31"/>
      <c r="G145" s="96"/>
      <c r="H145" s="97"/>
      <c r="I145" s="31"/>
      <c r="J145" s="103" t="s">
        <v>271</v>
      </c>
      <c r="K145" s="104"/>
      <c r="L145" s="104"/>
      <c r="M145" s="104"/>
      <c r="N145" s="104"/>
      <c r="O145" s="104"/>
      <c r="P145" s="104"/>
      <c r="Q145" s="127"/>
      <c r="R145" s="104" t="s">
        <v>334</v>
      </c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27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23"/>
      <c r="C146" s="31"/>
      <c r="D146" s="31"/>
      <c r="E146" s="31"/>
      <c r="F146" s="31"/>
      <c r="G146" s="96"/>
      <c r="H146" s="97"/>
      <c r="I146" s="31"/>
      <c r="J146" s="103" t="s">
        <v>273</v>
      </c>
      <c r="K146" s="104"/>
      <c r="L146" s="104"/>
      <c r="M146" s="104"/>
      <c r="N146" s="104"/>
      <c r="O146" s="104"/>
      <c r="P146" s="104"/>
      <c r="Q146" s="127"/>
      <c r="R146" s="104" t="s">
        <v>335</v>
      </c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27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23"/>
      <c r="C147" s="31"/>
      <c r="D147" s="31"/>
      <c r="E147" s="31"/>
      <c r="F147" s="31"/>
      <c r="G147" s="96"/>
      <c r="H147" s="97"/>
      <c r="I147" s="31"/>
      <c r="J147" s="103" t="s">
        <v>275</v>
      </c>
      <c r="K147" s="104"/>
      <c r="L147" s="104"/>
      <c r="M147" s="104"/>
      <c r="N147" s="104"/>
      <c r="O147" s="104"/>
      <c r="P147" s="104"/>
      <c r="Q147" s="127"/>
      <c r="R147" s="104" t="s">
        <v>336</v>
      </c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27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23"/>
      <c r="C148" s="31"/>
      <c r="D148" s="31"/>
      <c r="E148" s="31"/>
      <c r="F148" s="31"/>
      <c r="G148" s="96"/>
      <c r="H148" s="97"/>
      <c r="I148" s="31"/>
      <c r="J148" s="103" t="s">
        <v>277</v>
      </c>
      <c r="K148" s="104"/>
      <c r="L148" s="104"/>
      <c r="M148" s="104"/>
      <c r="N148" s="104"/>
      <c r="O148" s="104"/>
      <c r="P148" s="104"/>
      <c r="Q148" s="127"/>
      <c r="R148" s="104" t="s">
        <v>337</v>
      </c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27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23"/>
      <c r="C149" s="31"/>
      <c r="D149" s="31"/>
      <c r="E149" s="31"/>
      <c r="F149" s="31"/>
      <c r="G149" s="96"/>
      <c r="H149" s="97"/>
      <c r="I149" s="31"/>
      <c r="J149" s="103" t="s">
        <v>279</v>
      </c>
      <c r="K149" s="104"/>
      <c r="L149" s="104"/>
      <c r="M149" s="104"/>
      <c r="N149" s="104"/>
      <c r="O149" s="104"/>
      <c r="P149" s="104"/>
      <c r="Q149" s="127"/>
      <c r="R149" s="104" t="s">
        <v>338</v>
      </c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27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23"/>
      <c r="C150" s="31"/>
      <c r="D150" s="31"/>
      <c r="E150" s="31"/>
      <c r="F150" s="31"/>
      <c r="G150" s="96"/>
      <c r="H150" s="97"/>
      <c r="I150" s="31"/>
      <c r="J150" s="103" t="s">
        <v>281</v>
      </c>
      <c r="K150" s="104"/>
      <c r="L150" s="104"/>
      <c r="M150" s="104"/>
      <c r="N150" s="104"/>
      <c r="O150" s="104"/>
      <c r="P150" s="104"/>
      <c r="Q150" s="127"/>
      <c r="R150" s="104" t="s">
        <v>339</v>
      </c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27"/>
      <c r="AK150" s="98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99"/>
    </row>
    <row r="151" spans="2:61" ht="20.100000000000001" customHeight="1" x14ac:dyDescent="0.45">
      <c r="B151" s="123"/>
      <c r="C151" s="31"/>
      <c r="D151" s="31"/>
      <c r="E151" s="31"/>
      <c r="F151" s="31"/>
      <c r="G151" s="96"/>
      <c r="H151" s="97"/>
      <c r="I151" s="31"/>
      <c r="J151" s="103" t="s">
        <v>283</v>
      </c>
      <c r="K151" s="104"/>
      <c r="L151" s="104"/>
      <c r="M151" s="104"/>
      <c r="N151" s="104"/>
      <c r="O151" s="104"/>
      <c r="P151" s="104"/>
      <c r="Q151" s="127"/>
      <c r="R151" s="104" t="s">
        <v>340</v>
      </c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27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123"/>
      <c r="C152" s="31"/>
      <c r="D152" s="31"/>
      <c r="E152" s="31"/>
      <c r="F152" s="31"/>
      <c r="G152" s="96"/>
      <c r="H152" s="97"/>
      <c r="I152" s="31"/>
      <c r="J152" s="103" t="s">
        <v>285</v>
      </c>
      <c r="K152" s="104"/>
      <c r="L152" s="104"/>
      <c r="M152" s="104"/>
      <c r="N152" s="104"/>
      <c r="O152" s="104"/>
      <c r="P152" s="104"/>
      <c r="Q152" s="127"/>
      <c r="R152" s="104" t="s">
        <v>341</v>
      </c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27"/>
      <c r="AK152" s="98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99"/>
    </row>
    <row r="153" spans="2:61" ht="20.100000000000001" customHeight="1" x14ac:dyDescent="0.45">
      <c r="B153" s="123"/>
      <c r="C153" s="31"/>
      <c r="D153" s="31"/>
      <c r="E153" s="31"/>
      <c r="F153" s="31"/>
      <c r="G153" s="96"/>
      <c r="H153" s="97"/>
      <c r="I153" s="31"/>
      <c r="J153" s="103" t="s">
        <v>287</v>
      </c>
      <c r="K153" s="104"/>
      <c r="L153" s="104"/>
      <c r="M153" s="104"/>
      <c r="N153" s="104"/>
      <c r="O153" s="104"/>
      <c r="P153" s="104"/>
      <c r="Q153" s="127"/>
      <c r="R153" s="104" t="s">
        <v>342</v>
      </c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27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123"/>
      <c r="C154" s="31"/>
      <c r="D154" s="31"/>
      <c r="E154" s="31"/>
      <c r="F154" s="31"/>
      <c r="G154" s="96"/>
      <c r="H154" s="97"/>
      <c r="I154" s="31"/>
      <c r="J154" s="103" t="s">
        <v>289</v>
      </c>
      <c r="K154" s="104"/>
      <c r="L154" s="104"/>
      <c r="M154" s="104"/>
      <c r="N154" s="104"/>
      <c r="O154" s="104"/>
      <c r="P154" s="104"/>
      <c r="Q154" s="127"/>
      <c r="R154" s="160" t="s">
        <v>343</v>
      </c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27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123"/>
      <c r="C155" s="31"/>
      <c r="D155" s="31"/>
      <c r="E155" s="31"/>
      <c r="F155" s="31"/>
      <c r="G155" s="96"/>
      <c r="H155" s="97"/>
      <c r="I155" s="31"/>
      <c r="J155" s="103" t="s">
        <v>200</v>
      </c>
      <c r="K155" s="104"/>
      <c r="L155" s="104"/>
      <c r="M155" s="104"/>
      <c r="N155" s="104"/>
      <c r="O155" s="104"/>
      <c r="P155" s="104"/>
      <c r="Q155" s="127"/>
      <c r="R155" s="104" t="s">
        <v>344</v>
      </c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27"/>
      <c r="AK155" s="98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99"/>
    </row>
    <row r="156" spans="2:61" ht="20.100000000000001" customHeight="1" x14ac:dyDescent="0.45">
      <c r="B156" s="123"/>
      <c r="C156" s="31"/>
      <c r="D156" s="31"/>
      <c r="E156" s="31"/>
      <c r="F156" s="31"/>
      <c r="G156" s="96"/>
      <c r="H156" s="97"/>
      <c r="I156" s="31"/>
      <c r="J156" s="103" t="s">
        <v>292</v>
      </c>
      <c r="K156" s="104"/>
      <c r="L156" s="104"/>
      <c r="M156" s="104"/>
      <c r="N156" s="104"/>
      <c r="O156" s="104"/>
      <c r="P156" s="104"/>
      <c r="Q156" s="127"/>
      <c r="R156" s="104" t="s">
        <v>345</v>
      </c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27"/>
      <c r="AK156" s="98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20.100000000000001" customHeight="1" x14ac:dyDescent="0.45">
      <c r="B157" s="123"/>
      <c r="C157" s="31"/>
      <c r="D157" s="31"/>
      <c r="E157" s="31"/>
      <c r="F157" s="31"/>
      <c r="G157" s="96"/>
      <c r="H157" s="97"/>
      <c r="I157" s="31"/>
      <c r="J157" s="103" t="s">
        <v>294</v>
      </c>
      <c r="K157" s="104"/>
      <c r="L157" s="104"/>
      <c r="M157" s="104"/>
      <c r="N157" s="104"/>
      <c r="O157" s="104"/>
      <c r="P157" s="104"/>
      <c r="Q157" s="127"/>
      <c r="R157" s="104" t="s">
        <v>346</v>
      </c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27"/>
      <c r="AK157" s="98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99"/>
    </row>
    <row r="158" spans="2:61" ht="20.100000000000001" customHeight="1" x14ac:dyDescent="0.45">
      <c r="B158" s="123"/>
      <c r="C158" s="31"/>
      <c r="D158" s="31"/>
      <c r="E158" s="31"/>
      <c r="F158" s="31"/>
      <c r="G158" s="96"/>
      <c r="H158" s="97"/>
      <c r="I158" s="31"/>
      <c r="J158" s="103" t="s">
        <v>296</v>
      </c>
      <c r="K158" s="104"/>
      <c r="L158" s="104"/>
      <c r="M158" s="104"/>
      <c r="N158" s="104"/>
      <c r="O158" s="104"/>
      <c r="P158" s="104"/>
      <c r="Q158" s="127"/>
      <c r="R158" s="104" t="s">
        <v>347</v>
      </c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27"/>
      <c r="AK158" s="98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99"/>
    </row>
    <row r="159" spans="2:61" ht="20.100000000000001" customHeight="1" x14ac:dyDescent="0.45">
      <c r="B159" s="123"/>
      <c r="C159" s="31"/>
      <c r="D159" s="31"/>
      <c r="E159" s="31"/>
      <c r="F159" s="31"/>
      <c r="G159" s="96"/>
      <c r="H159" s="97"/>
      <c r="I159" s="31"/>
      <c r="J159" s="103" t="s">
        <v>298</v>
      </c>
      <c r="K159" s="104"/>
      <c r="L159" s="104"/>
      <c r="M159" s="104"/>
      <c r="N159" s="104"/>
      <c r="O159" s="104"/>
      <c r="P159" s="104"/>
      <c r="Q159" s="127"/>
      <c r="R159" s="104" t="s">
        <v>348</v>
      </c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27"/>
      <c r="AK159" s="98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99"/>
    </row>
    <row r="160" spans="2:61" ht="20.100000000000001" customHeight="1" x14ac:dyDescent="0.45">
      <c r="B160" s="123"/>
      <c r="C160" s="31"/>
      <c r="D160" s="31"/>
      <c r="E160" s="31"/>
      <c r="F160" s="31"/>
      <c r="G160" s="96"/>
      <c r="H160" s="97"/>
      <c r="I160" s="31"/>
      <c r="J160" s="103" t="s">
        <v>300</v>
      </c>
      <c r="K160" s="104"/>
      <c r="L160" s="104"/>
      <c r="M160" s="104"/>
      <c r="N160" s="104"/>
      <c r="O160" s="104"/>
      <c r="P160" s="104"/>
      <c r="Q160" s="127"/>
      <c r="R160" s="104" t="s">
        <v>349</v>
      </c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27"/>
      <c r="AK160" s="98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99"/>
    </row>
    <row r="161" spans="2:61" ht="20.100000000000001" customHeight="1" x14ac:dyDescent="0.45">
      <c r="B161" s="123"/>
      <c r="C161" s="31"/>
      <c r="D161" s="31"/>
      <c r="E161" s="31"/>
      <c r="F161" s="31"/>
      <c r="G161" s="96"/>
      <c r="H161" s="97"/>
      <c r="I161" s="31"/>
      <c r="J161" s="103" t="s">
        <v>302</v>
      </c>
      <c r="K161" s="104"/>
      <c r="L161" s="104"/>
      <c r="M161" s="104"/>
      <c r="N161" s="104"/>
      <c r="O161" s="104"/>
      <c r="P161" s="104"/>
      <c r="Q161" s="127"/>
      <c r="R161" s="104" t="s">
        <v>350</v>
      </c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27"/>
      <c r="AK161" s="98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123"/>
      <c r="C162" s="31"/>
      <c r="D162" s="31"/>
      <c r="E162" s="31"/>
      <c r="F162" s="31"/>
      <c r="G162" s="96"/>
      <c r="H162" s="97"/>
      <c r="I162" s="31"/>
      <c r="J162" s="103" t="s">
        <v>304</v>
      </c>
      <c r="K162" s="104"/>
      <c r="L162" s="104"/>
      <c r="M162" s="104"/>
      <c r="N162" s="104"/>
      <c r="O162" s="104"/>
      <c r="P162" s="104"/>
      <c r="Q162" s="127"/>
      <c r="R162" s="104" t="s">
        <v>351</v>
      </c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27"/>
      <c r="AK162" s="98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99"/>
    </row>
    <row r="163" spans="2:61" ht="20.100000000000001" customHeight="1" x14ac:dyDescent="0.45">
      <c r="B163" s="123"/>
      <c r="C163" s="31"/>
      <c r="D163" s="31"/>
      <c r="E163" s="31"/>
      <c r="F163" s="31"/>
      <c r="G163" s="96"/>
      <c r="H163" s="97"/>
      <c r="I163" s="31"/>
      <c r="J163" s="103" t="s">
        <v>306</v>
      </c>
      <c r="K163" s="104"/>
      <c r="L163" s="104"/>
      <c r="M163" s="104"/>
      <c r="N163" s="104"/>
      <c r="O163" s="104"/>
      <c r="P163" s="104"/>
      <c r="Q163" s="127"/>
      <c r="R163" s="104" t="s">
        <v>352</v>
      </c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27"/>
      <c r="AK163" s="98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99"/>
    </row>
    <row r="164" spans="2:61" ht="20.100000000000001" customHeight="1" x14ac:dyDescent="0.45">
      <c r="B164" s="123"/>
      <c r="C164" s="31"/>
      <c r="D164" s="31"/>
      <c r="E164" s="31"/>
      <c r="F164" s="31"/>
      <c r="G164" s="96"/>
      <c r="H164" s="97"/>
      <c r="I164" s="31"/>
      <c r="J164" s="103" t="s">
        <v>308</v>
      </c>
      <c r="K164" s="104"/>
      <c r="L164" s="104"/>
      <c r="M164" s="104"/>
      <c r="N164" s="104"/>
      <c r="O164" s="104"/>
      <c r="P164" s="104"/>
      <c r="Q164" s="127"/>
      <c r="R164" s="104" t="s">
        <v>353</v>
      </c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27"/>
      <c r="AK164" s="98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99"/>
    </row>
    <row r="165" spans="2:61" ht="20.100000000000001" customHeight="1" x14ac:dyDescent="0.45">
      <c r="B165" s="123"/>
      <c r="C165" s="31"/>
      <c r="D165" s="31"/>
      <c r="E165" s="31"/>
      <c r="F165" s="31"/>
      <c r="G165" s="96"/>
      <c r="H165" s="100" t="s">
        <v>52</v>
      </c>
      <c r="I165" s="55"/>
      <c r="J165" s="100" t="s">
        <v>354</v>
      </c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101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102"/>
    </row>
    <row r="166" spans="2:61" ht="20.100000000000001" customHeight="1" x14ac:dyDescent="0.45">
      <c r="B166" s="95"/>
      <c r="C166" s="31"/>
      <c r="D166" s="31"/>
      <c r="E166" s="31"/>
      <c r="F166" s="31"/>
      <c r="G166" s="96"/>
      <c r="H166" s="100" t="s">
        <v>53</v>
      </c>
      <c r="I166" s="55"/>
      <c r="J166" s="161" t="s">
        <v>355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101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102"/>
    </row>
    <row r="167" spans="2:61" ht="20.100000000000001" customHeight="1" x14ac:dyDescent="0.45">
      <c r="B167" s="95"/>
      <c r="C167" s="31"/>
      <c r="D167" s="31"/>
      <c r="E167" s="31"/>
      <c r="F167" s="31"/>
      <c r="G167" s="96"/>
      <c r="H167" s="97"/>
      <c r="I167" s="31"/>
      <c r="J167" s="97" t="s">
        <v>356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97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99"/>
    </row>
    <row r="168" spans="2:61" ht="20.100000000000001" customHeight="1" x14ac:dyDescent="0.45">
      <c r="B168" s="95"/>
      <c r="C168" s="31"/>
      <c r="D168" s="31"/>
      <c r="E168" s="31"/>
      <c r="F168" s="31"/>
      <c r="G168" s="96"/>
      <c r="H168" s="97"/>
      <c r="I168" s="31"/>
      <c r="J168" s="97" t="s">
        <v>357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97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99"/>
    </row>
    <row r="169" spans="2:61" ht="20.100000000000001" customHeight="1" x14ac:dyDescent="0.45">
      <c r="B169" s="95"/>
      <c r="C169" s="31"/>
      <c r="D169" s="31"/>
      <c r="E169" s="31"/>
      <c r="F169" s="31"/>
      <c r="G169" s="96"/>
      <c r="H169" s="97"/>
      <c r="I169" s="31"/>
      <c r="J169" s="97"/>
      <c r="K169" s="31" t="s">
        <v>358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97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99"/>
    </row>
    <row r="170" spans="2:61" ht="20.100000000000001" customHeight="1" x14ac:dyDescent="0.45">
      <c r="B170" s="95"/>
      <c r="C170" s="31"/>
      <c r="D170" s="31"/>
      <c r="E170" s="31"/>
      <c r="F170" s="31"/>
      <c r="G170" s="96"/>
      <c r="H170" s="100" t="s">
        <v>54</v>
      </c>
      <c r="I170" s="55"/>
      <c r="J170" s="100" t="s">
        <v>359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01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02"/>
    </row>
    <row r="171" spans="2:61" ht="20.100000000000001" customHeight="1" x14ac:dyDescent="0.45">
      <c r="B171" s="95"/>
      <c r="C171" s="31"/>
      <c r="D171" s="31"/>
      <c r="E171" s="31"/>
      <c r="F171" s="31"/>
      <c r="G171" s="96"/>
      <c r="H171" s="97"/>
      <c r="I171" s="31"/>
      <c r="J171" s="97" t="s">
        <v>365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98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99"/>
    </row>
    <row r="172" spans="2:61" ht="20.100000000000001" customHeight="1" x14ac:dyDescent="0.45">
      <c r="B172" s="95"/>
      <c r="C172" s="31"/>
      <c r="D172" s="31"/>
      <c r="E172" s="31"/>
      <c r="F172" s="31"/>
      <c r="G172" s="96"/>
      <c r="H172" s="97"/>
      <c r="I172" s="31"/>
      <c r="J172" s="97" t="s">
        <v>366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98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x14ac:dyDescent="0.45">
      <c r="B173" s="95"/>
      <c r="C173" s="31"/>
      <c r="D173" s="31"/>
      <c r="E173" s="31"/>
      <c r="F173" s="31"/>
      <c r="G173" s="96"/>
      <c r="H173" s="97"/>
      <c r="I173" s="31"/>
      <c r="J173" s="97"/>
      <c r="K173" s="31" t="s">
        <v>367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98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99"/>
    </row>
    <row r="174" spans="2:61" ht="20.100000000000001" customHeight="1" x14ac:dyDescent="0.45">
      <c r="B174" s="95"/>
      <c r="C174" s="31"/>
      <c r="D174" s="31"/>
      <c r="E174" s="31"/>
      <c r="F174" s="31"/>
      <c r="G174" s="96"/>
      <c r="H174" s="97"/>
      <c r="I174" s="31"/>
      <c r="J174" s="97"/>
      <c r="K174" s="31" t="s">
        <v>368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98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99"/>
    </row>
    <row r="175" spans="2:61" ht="20.100000000000001" customHeight="1" x14ac:dyDescent="0.45">
      <c r="B175" s="95"/>
      <c r="C175" s="31"/>
      <c r="D175" s="31"/>
      <c r="E175" s="31"/>
      <c r="F175" s="31"/>
      <c r="G175" s="96"/>
      <c r="H175" s="97"/>
      <c r="I175" s="31"/>
      <c r="J175" s="97" t="s">
        <v>366</v>
      </c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98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99"/>
    </row>
    <row r="176" spans="2:61" ht="20.100000000000001" customHeight="1" x14ac:dyDescent="0.45">
      <c r="B176" s="95"/>
      <c r="C176" s="31"/>
      <c r="D176" s="31"/>
      <c r="E176" s="31"/>
      <c r="F176" s="31"/>
      <c r="G176" s="96"/>
      <c r="H176" s="97"/>
      <c r="I176" s="31"/>
      <c r="J176" s="97"/>
      <c r="K176" s="31" t="s">
        <v>369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98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99"/>
    </row>
    <row r="177" spans="2:61" ht="20.100000000000001" customHeight="1" x14ac:dyDescent="0.45">
      <c r="B177" s="95"/>
      <c r="C177" s="31"/>
      <c r="D177" s="31"/>
      <c r="E177" s="31"/>
      <c r="F177" s="31"/>
      <c r="G177" s="96"/>
      <c r="H177" s="97"/>
      <c r="I177" s="31"/>
      <c r="J177" s="97"/>
      <c r="K177" s="31" t="s">
        <v>370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98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99"/>
    </row>
    <row r="178" spans="2:61" ht="20.100000000000001" customHeight="1" x14ac:dyDescent="0.45">
      <c r="B178" s="95"/>
      <c r="C178" s="31"/>
      <c r="D178" s="31"/>
      <c r="E178" s="31"/>
      <c r="F178" s="31"/>
      <c r="G178" s="96"/>
      <c r="H178" s="97"/>
      <c r="I178" s="31"/>
      <c r="J178" s="97" t="s">
        <v>366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98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99"/>
    </row>
    <row r="179" spans="2:61" ht="20.100000000000001" customHeight="1" x14ac:dyDescent="0.45">
      <c r="B179" s="95"/>
      <c r="C179" s="31"/>
      <c r="D179" s="31"/>
      <c r="E179" s="31"/>
      <c r="F179" s="31"/>
      <c r="G179" s="96"/>
      <c r="H179" s="97"/>
      <c r="I179" s="31"/>
      <c r="J179" s="97"/>
      <c r="K179" s="31" t="s">
        <v>371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98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99"/>
    </row>
    <row r="180" spans="2:61" ht="20.100000000000001" customHeight="1" thickBot="1" x14ac:dyDescent="0.5">
      <c r="B180" s="95"/>
      <c r="C180" s="31"/>
      <c r="D180" s="31"/>
      <c r="E180" s="31"/>
      <c r="F180" s="31"/>
      <c r="G180" s="96"/>
      <c r="H180" s="97"/>
      <c r="I180" s="31"/>
      <c r="J180" s="97"/>
      <c r="K180" s="31" t="s">
        <v>370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98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99"/>
    </row>
    <row r="181" spans="2:61" ht="20.100000000000001" customHeight="1" x14ac:dyDescent="0.45">
      <c r="B181" s="89" t="s">
        <v>367</v>
      </c>
      <c r="C181" s="90"/>
      <c r="D181" s="90"/>
      <c r="E181" s="90"/>
      <c r="F181" s="90"/>
      <c r="G181" s="91"/>
      <c r="H181" s="92" t="s">
        <v>83</v>
      </c>
      <c r="I181" s="90"/>
      <c r="J181" s="120" t="s">
        <v>275</v>
      </c>
      <c r="K181" s="121"/>
      <c r="L181" s="121"/>
      <c r="M181" s="121"/>
      <c r="N181" s="121"/>
      <c r="O181" s="121"/>
      <c r="P181" s="121"/>
      <c r="Q181" s="122"/>
      <c r="R181" s="121" t="s">
        <v>372</v>
      </c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2"/>
      <c r="AK181" s="93" t="s">
        <v>373</v>
      </c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4"/>
    </row>
    <row r="182" spans="2:61" ht="20.100000000000001" customHeight="1" x14ac:dyDescent="0.45">
      <c r="B182" s="123"/>
      <c r="C182" s="31"/>
      <c r="D182" s="31"/>
      <c r="E182" s="31"/>
      <c r="F182" s="31"/>
      <c r="G182" s="96"/>
      <c r="H182" s="100" t="s">
        <v>52</v>
      </c>
      <c r="I182" s="55"/>
      <c r="J182" s="100" t="s">
        <v>374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01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02"/>
    </row>
    <row r="183" spans="2:61" ht="20.100000000000001" customHeight="1" x14ac:dyDescent="0.45">
      <c r="B183" s="95"/>
      <c r="C183" s="31"/>
      <c r="D183" s="31"/>
      <c r="E183" s="31"/>
      <c r="F183" s="31"/>
      <c r="G183" s="96"/>
      <c r="H183" s="100" t="s">
        <v>53</v>
      </c>
      <c r="I183" s="55"/>
      <c r="J183" s="161" t="s">
        <v>375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101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102"/>
    </row>
    <row r="184" spans="2:61" ht="20.100000000000001" customHeight="1" x14ac:dyDescent="0.45">
      <c r="B184" s="95"/>
      <c r="C184" s="31"/>
      <c r="D184" s="31"/>
      <c r="E184" s="31"/>
      <c r="F184" s="31"/>
      <c r="G184" s="96"/>
      <c r="H184" s="100" t="s">
        <v>54</v>
      </c>
      <c r="I184" s="55"/>
      <c r="J184" s="100" t="s">
        <v>376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101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102"/>
    </row>
    <row r="185" spans="2:61" ht="20.100000000000001" customHeight="1" x14ac:dyDescent="0.45">
      <c r="B185" s="95"/>
      <c r="C185" s="31"/>
      <c r="D185" s="31"/>
      <c r="E185" s="31"/>
      <c r="F185" s="31"/>
      <c r="G185" s="96"/>
      <c r="H185" s="97"/>
      <c r="I185" s="31"/>
      <c r="J185" s="97"/>
      <c r="K185" s="31" t="s">
        <v>377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98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99"/>
    </row>
    <row r="186" spans="2:61" ht="20.100000000000001" customHeight="1" x14ac:dyDescent="0.45">
      <c r="B186" s="95"/>
      <c r="C186" s="31"/>
      <c r="D186" s="31"/>
      <c r="E186" s="31"/>
      <c r="F186" s="31"/>
      <c r="G186" s="96"/>
      <c r="H186" s="97"/>
      <c r="I186" s="31"/>
      <c r="J186" s="97"/>
      <c r="K186" s="31" t="s">
        <v>378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98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99"/>
    </row>
    <row r="187" spans="2:61" ht="20.100000000000001" customHeight="1" x14ac:dyDescent="0.45">
      <c r="B187" s="95"/>
      <c r="C187" s="31"/>
      <c r="D187" s="31"/>
      <c r="E187" s="31"/>
      <c r="F187" s="31"/>
      <c r="G187" s="96"/>
      <c r="H187" s="97"/>
      <c r="I187" s="31"/>
      <c r="J187" s="97"/>
      <c r="K187" s="31" t="s">
        <v>379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98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99"/>
    </row>
    <row r="188" spans="2:61" ht="20.100000000000001" customHeight="1" thickBot="1" x14ac:dyDescent="0.5">
      <c r="B188" s="95"/>
      <c r="C188" s="31"/>
      <c r="D188" s="31"/>
      <c r="E188" s="31"/>
      <c r="F188" s="31"/>
      <c r="G188" s="96"/>
      <c r="H188" s="100" t="s">
        <v>233</v>
      </c>
      <c r="I188" s="55"/>
      <c r="J188" s="100" t="s">
        <v>380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101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102"/>
    </row>
    <row r="189" spans="2:61" ht="20.100000000000001" customHeight="1" x14ac:dyDescent="0.45">
      <c r="B189" s="89" t="s">
        <v>369</v>
      </c>
      <c r="C189" s="90"/>
      <c r="D189" s="90"/>
      <c r="E189" s="90"/>
      <c r="F189" s="90"/>
      <c r="G189" s="91"/>
      <c r="H189" s="92" t="s">
        <v>83</v>
      </c>
      <c r="I189" s="90"/>
      <c r="J189" s="120" t="s">
        <v>300</v>
      </c>
      <c r="K189" s="121"/>
      <c r="L189" s="121"/>
      <c r="M189" s="121"/>
      <c r="N189" s="121"/>
      <c r="O189" s="121"/>
      <c r="P189" s="121"/>
      <c r="Q189" s="122"/>
      <c r="R189" s="121" t="s">
        <v>381</v>
      </c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2"/>
      <c r="AK189" s="93" t="s">
        <v>382</v>
      </c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4"/>
    </row>
    <row r="190" spans="2:61" ht="20.100000000000001" customHeight="1" x14ac:dyDescent="0.45">
      <c r="B190" s="123"/>
      <c r="C190" s="31"/>
      <c r="D190" s="31"/>
      <c r="E190" s="31"/>
      <c r="F190" s="31"/>
      <c r="G190" s="96"/>
      <c r="H190" s="100" t="s">
        <v>52</v>
      </c>
      <c r="I190" s="55"/>
      <c r="J190" s="100" t="s">
        <v>374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101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102"/>
    </row>
    <row r="191" spans="2:61" ht="20.100000000000001" customHeight="1" x14ac:dyDescent="0.45">
      <c r="B191" s="95"/>
      <c r="C191" s="31"/>
      <c r="D191" s="31"/>
      <c r="E191" s="31"/>
      <c r="F191" s="31"/>
      <c r="G191" s="96"/>
      <c r="H191" s="100" t="s">
        <v>54</v>
      </c>
      <c r="I191" s="55"/>
      <c r="J191" s="100" t="s">
        <v>383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01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102"/>
    </row>
    <row r="192" spans="2:61" ht="20.100000000000001" customHeight="1" x14ac:dyDescent="0.45">
      <c r="B192" s="95"/>
      <c r="C192" s="31"/>
      <c r="D192" s="31"/>
      <c r="E192" s="31"/>
      <c r="F192" s="31"/>
      <c r="G192" s="96"/>
      <c r="H192" s="97"/>
      <c r="I192" s="31"/>
      <c r="J192" s="97"/>
      <c r="K192" s="31" t="s">
        <v>377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98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99"/>
    </row>
    <row r="193" spans="2:61" ht="20.100000000000001" customHeight="1" x14ac:dyDescent="0.45">
      <c r="B193" s="95"/>
      <c r="C193" s="31"/>
      <c r="D193" s="31"/>
      <c r="E193" s="31"/>
      <c r="F193" s="31"/>
      <c r="G193" s="96"/>
      <c r="H193" s="97"/>
      <c r="I193" s="31"/>
      <c r="J193" s="97"/>
      <c r="K193" s="31" t="s">
        <v>379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98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99"/>
    </row>
    <row r="194" spans="2:61" ht="20.100000000000001" customHeight="1" thickBot="1" x14ac:dyDescent="0.5">
      <c r="B194" s="95"/>
      <c r="C194" s="31"/>
      <c r="D194" s="31"/>
      <c r="E194" s="31"/>
      <c r="F194" s="31"/>
      <c r="G194" s="96"/>
      <c r="H194" s="100" t="s">
        <v>233</v>
      </c>
      <c r="I194" s="55"/>
      <c r="J194" s="100" t="s">
        <v>384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101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102"/>
    </row>
    <row r="195" spans="2:61" ht="20.100000000000001" customHeight="1" x14ac:dyDescent="0.45">
      <c r="B195" s="89" t="s">
        <v>371</v>
      </c>
      <c r="C195" s="90"/>
      <c r="D195" s="90"/>
      <c r="E195" s="90"/>
      <c r="F195" s="90"/>
      <c r="G195" s="91"/>
      <c r="H195" s="92" t="s">
        <v>83</v>
      </c>
      <c r="I195" s="90"/>
      <c r="J195" s="120" t="s">
        <v>302</v>
      </c>
      <c r="K195" s="121"/>
      <c r="L195" s="121"/>
      <c r="M195" s="121"/>
      <c r="N195" s="121"/>
      <c r="O195" s="121"/>
      <c r="P195" s="121"/>
      <c r="Q195" s="122"/>
      <c r="R195" s="121" t="s">
        <v>385</v>
      </c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2"/>
      <c r="AK195" s="93" t="s">
        <v>386</v>
      </c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4"/>
    </row>
    <row r="196" spans="2:61" ht="20.100000000000001" customHeight="1" x14ac:dyDescent="0.45">
      <c r="B196" s="123"/>
      <c r="C196" s="31"/>
      <c r="D196" s="31"/>
      <c r="E196" s="31"/>
      <c r="F196" s="31"/>
      <c r="G196" s="96"/>
      <c r="H196" s="100" t="s">
        <v>52</v>
      </c>
      <c r="I196" s="55"/>
      <c r="J196" s="100" t="s">
        <v>374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101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102"/>
    </row>
    <row r="197" spans="2:61" ht="20.100000000000001" customHeight="1" x14ac:dyDescent="0.45">
      <c r="B197" s="95"/>
      <c r="C197" s="31"/>
      <c r="D197" s="31"/>
      <c r="E197" s="31"/>
      <c r="F197" s="31"/>
      <c r="G197" s="96"/>
      <c r="H197" s="100" t="s">
        <v>54</v>
      </c>
      <c r="I197" s="55"/>
      <c r="J197" s="100" t="s">
        <v>376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01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102"/>
    </row>
    <row r="198" spans="2:61" ht="20.100000000000001" customHeight="1" x14ac:dyDescent="0.45">
      <c r="B198" s="95"/>
      <c r="C198" s="31"/>
      <c r="D198" s="31"/>
      <c r="E198" s="31"/>
      <c r="F198" s="31"/>
      <c r="G198" s="96"/>
      <c r="H198" s="97"/>
      <c r="I198" s="31"/>
      <c r="J198" s="97"/>
      <c r="K198" s="31" t="s">
        <v>377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98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99"/>
    </row>
    <row r="199" spans="2:61" ht="20.100000000000001" customHeight="1" x14ac:dyDescent="0.45">
      <c r="B199" s="95"/>
      <c r="C199" s="31"/>
      <c r="D199" s="31"/>
      <c r="E199" s="31"/>
      <c r="F199" s="31"/>
      <c r="G199" s="96"/>
      <c r="H199" s="97"/>
      <c r="I199" s="31"/>
      <c r="J199" s="97"/>
      <c r="K199" s="31" t="s">
        <v>379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98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99"/>
    </row>
    <row r="200" spans="2:61" ht="20.100000000000001" customHeight="1" thickBot="1" x14ac:dyDescent="0.5">
      <c r="B200" s="95"/>
      <c r="C200" s="31"/>
      <c r="D200" s="31"/>
      <c r="E200" s="31"/>
      <c r="F200" s="31"/>
      <c r="G200" s="96"/>
      <c r="H200" s="100" t="s">
        <v>233</v>
      </c>
      <c r="I200" s="55"/>
      <c r="J200" s="100" t="s">
        <v>384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01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102"/>
    </row>
    <row r="201" spans="2:61" ht="20.100000000000001" customHeight="1" x14ac:dyDescent="0.45">
      <c r="B201" s="89" t="s">
        <v>314</v>
      </c>
      <c r="C201" s="90"/>
      <c r="D201" s="90"/>
      <c r="E201" s="90"/>
      <c r="F201" s="90"/>
      <c r="G201" s="91"/>
      <c r="H201" s="92" t="s">
        <v>83</v>
      </c>
      <c r="I201" s="90"/>
      <c r="J201" s="120" t="s">
        <v>186</v>
      </c>
      <c r="K201" s="121"/>
      <c r="L201" s="121"/>
      <c r="M201" s="121"/>
      <c r="N201" s="121"/>
      <c r="O201" s="121"/>
      <c r="P201" s="121"/>
      <c r="Q201" s="122"/>
      <c r="R201" s="121" t="s">
        <v>320</v>
      </c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2"/>
      <c r="AK201" s="93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4"/>
    </row>
    <row r="202" spans="2:61" ht="20.100000000000001" customHeight="1" x14ac:dyDescent="0.45">
      <c r="B202" s="123"/>
      <c r="C202" s="31"/>
      <c r="D202" s="31"/>
      <c r="E202" s="31"/>
      <c r="F202" s="31"/>
      <c r="G202" s="96"/>
      <c r="H202" s="97"/>
      <c r="I202" s="31"/>
      <c r="J202" s="103" t="s">
        <v>243</v>
      </c>
      <c r="K202" s="104"/>
      <c r="L202" s="104"/>
      <c r="M202" s="104"/>
      <c r="N202" s="104"/>
      <c r="O202" s="104"/>
      <c r="P202" s="104"/>
      <c r="Q202" s="127"/>
      <c r="R202" s="104" t="s">
        <v>321</v>
      </c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27"/>
      <c r="AK202" s="98" t="s">
        <v>245</v>
      </c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99"/>
    </row>
    <row r="203" spans="2:61" ht="20.100000000000001" customHeight="1" x14ac:dyDescent="0.45">
      <c r="B203" s="123"/>
      <c r="C203" s="31"/>
      <c r="D203" s="31"/>
      <c r="E203" s="31"/>
      <c r="F203" s="31"/>
      <c r="G203" s="96"/>
      <c r="H203" s="97"/>
      <c r="I203" s="31"/>
      <c r="J203" s="103" t="s">
        <v>246</v>
      </c>
      <c r="K203" s="104"/>
      <c r="L203" s="104"/>
      <c r="M203" s="104"/>
      <c r="N203" s="104"/>
      <c r="O203" s="104"/>
      <c r="P203" s="104"/>
      <c r="Q203" s="127"/>
      <c r="R203" s="104" t="s">
        <v>322</v>
      </c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27"/>
      <c r="AK203" s="98" t="s">
        <v>387</v>
      </c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99"/>
    </row>
    <row r="204" spans="2:61" ht="20.100000000000001" customHeight="1" x14ac:dyDescent="0.45">
      <c r="B204" s="123"/>
      <c r="C204" s="31"/>
      <c r="D204" s="31"/>
      <c r="E204" s="31"/>
      <c r="F204" s="31"/>
      <c r="G204" s="96"/>
      <c r="H204" s="97"/>
      <c r="I204" s="31"/>
      <c r="J204" s="103" t="s">
        <v>249</v>
      </c>
      <c r="K204" s="104"/>
      <c r="L204" s="104"/>
      <c r="M204" s="104"/>
      <c r="N204" s="104"/>
      <c r="O204" s="104"/>
      <c r="P204" s="104"/>
      <c r="Q204" s="127"/>
      <c r="R204" s="104" t="s">
        <v>323</v>
      </c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27"/>
      <c r="AK204" s="98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99"/>
    </row>
    <row r="205" spans="2:61" ht="20.100000000000001" customHeight="1" x14ac:dyDescent="0.45">
      <c r="B205" s="123"/>
      <c r="C205" s="31"/>
      <c r="D205" s="31"/>
      <c r="E205" s="31"/>
      <c r="F205" s="31"/>
      <c r="G205" s="96"/>
      <c r="H205" s="97"/>
      <c r="I205" s="31"/>
      <c r="J205" s="103" t="s">
        <v>251</v>
      </c>
      <c r="K205" s="104"/>
      <c r="L205" s="104"/>
      <c r="M205" s="104"/>
      <c r="N205" s="104"/>
      <c r="O205" s="104"/>
      <c r="P205" s="104"/>
      <c r="Q205" s="127"/>
      <c r="R205" s="104" t="s">
        <v>324</v>
      </c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27"/>
      <c r="AK205" s="98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99"/>
    </row>
    <row r="206" spans="2:61" ht="20.100000000000001" customHeight="1" x14ac:dyDescent="0.45">
      <c r="B206" s="123"/>
      <c r="C206" s="31"/>
      <c r="D206" s="31"/>
      <c r="E206" s="31"/>
      <c r="F206" s="31"/>
      <c r="G206" s="96"/>
      <c r="H206" s="97"/>
      <c r="I206" s="31"/>
      <c r="J206" s="103" t="s">
        <v>253</v>
      </c>
      <c r="K206" s="104"/>
      <c r="L206" s="104"/>
      <c r="M206" s="104"/>
      <c r="N206" s="104"/>
      <c r="O206" s="104"/>
      <c r="P206" s="104"/>
      <c r="Q206" s="127"/>
      <c r="R206" s="104" t="s">
        <v>325</v>
      </c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27"/>
      <c r="AK206" s="98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99"/>
    </row>
    <row r="207" spans="2:61" ht="20.100000000000001" customHeight="1" x14ac:dyDescent="0.45">
      <c r="B207" s="123"/>
      <c r="C207" s="31"/>
      <c r="D207" s="31"/>
      <c r="E207" s="31"/>
      <c r="F207" s="31"/>
      <c r="G207" s="96"/>
      <c r="H207" s="97"/>
      <c r="I207" s="31"/>
      <c r="J207" s="103" t="s">
        <v>255</v>
      </c>
      <c r="K207" s="104"/>
      <c r="L207" s="104"/>
      <c r="M207" s="104"/>
      <c r="N207" s="104"/>
      <c r="O207" s="104"/>
      <c r="P207" s="104"/>
      <c r="Q207" s="127"/>
      <c r="R207" s="104" t="s">
        <v>326</v>
      </c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27"/>
      <c r="AK207" s="98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99"/>
    </row>
    <row r="208" spans="2:61" ht="20.100000000000001" customHeight="1" x14ac:dyDescent="0.45">
      <c r="B208" s="123"/>
      <c r="C208" s="31"/>
      <c r="D208" s="31"/>
      <c r="E208" s="31"/>
      <c r="F208" s="31"/>
      <c r="G208" s="96"/>
      <c r="H208" s="97"/>
      <c r="I208" s="31"/>
      <c r="J208" s="103" t="s">
        <v>257</v>
      </c>
      <c r="K208" s="104"/>
      <c r="L208" s="104"/>
      <c r="M208" s="104"/>
      <c r="N208" s="104"/>
      <c r="O208" s="104"/>
      <c r="P208" s="104"/>
      <c r="Q208" s="127"/>
      <c r="R208" s="104" t="s">
        <v>327</v>
      </c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27"/>
      <c r="AK208" s="98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99"/>
    </row>
    <row r="209" spans="2:61" ht="20.100000000000001" customHeight="1" x14ac:dyDescent="0.45">
      <c r="B209" s="123"/>
      <c r="C209" s="31"/>
      <c r="D209" s="31"/>
      <c r="E209" s="31"/>
      <c r="F209" s="31"/>
      <c r="G209" s="96"/>
      <c r="H209" s="97"/>
      <c r="I209" s="31"/>
      <c r="J209" s="103" t="s">
        <v>259</v>
      </c>
      <c r="K209" s="104"/>
      <c r="L209" s="104"/>
      <c r="M209" s="104"/>
      <c r="N209" s="104"/>
      <c r="O209" s="104"/>
      <c r="P209" s="104"/>
      <c r="Q209" s="127"/>
      <c r="R209" s="104" t="s">
        <v>328</v>
      </c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27"/>
      <c r="AK209" s="98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99"/>
    </row>
    <row r="210" spans="2:61" ht="20.100000000000001" customHeight="1" x14ac:dyDescent="0.45">
      <c r="B210" s="123"/>
      <c r="C210" s="31"/>
      <c r="D210" s="31"/>
      <c r="E210" s="31"/>
      <c r="F210" s="31"/>
      <c r="G210" s="96"/>
      <c r="H210" s="97"/>
      <c r="I210" s="31"/>
      <c r="J210" s="103" t="s">
        <v>261</v>
      </c>
      <c r="K210" s="104"/>
      <c r="L210" s="104"/>
      <c r="M210" s="104"/>
      <c r="N210" s="104"/>
      <c r="O210" s="104"/>
      <c r="P210" s="104"/>
      <c r="Q210" s="127"/>
      <c r="R210" s="104" t="s">
        <v>329</v>
      </c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27"/>
      <c r="AK210" s="98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99"/>
    </row>
    <row r="211" spans="2:61" ht="20.100000000000001" customHeight="1" x14ac:dyDescent="0.45">
      <c r="B211" s="123"/>
      <c r="C211" s="31"/>
      <c r="D211" s="31"/>
      <c r="E211" s="31"/>
      <c r="F211" s="31"/>
      <c r="G211" s="96"/>
      <c r="H211" s="97"/>
      <c r="I211" s="31"/>
      <c r="J211" s="103" t="s">
        <v>263</v>
      </c>
      <c r="K211" s="104"/>
      <c r="L211" s="104"/>
      <c r="M211" s="104"/>
      <c r="N211" s="104"/>
      <c r="O211" s="104"/>
      <c r="P211" s="104"/>
      <c r="Q211" s="127"/>
      <c r="R211" s="104" t="s">
        <v>330</v>
      </c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27"/>
      <c r="AK211" s="98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99"/>
    </row>
    <row r="212" spans="2:61" ht="20.100000000000001" customHeight="1" x14ac:dyDescent="0.45">
      <c r="B212" s="123"/>
      <c r="C212" s="31"/>
      <c r="D212" s="31"/>
      <c r="E212" s="31"/>
      <c r="F212" s="31"/>
      <c r="G212" s="96"/>
      <c r="H212" s="97"/>
      <c r="I212" s="31"/>
      <c r="J212" s="103" t="s">
        <v>265</v>
      </c>
      <c r="K212" s="104"/>
      <c r="L212" s="104"/>
      <c r="M212" s="104"/>
      <c r="N212" s="104"/>
      <c r="O212" s="104"/>
      <c r="P212" s="104"/>
      <c r="Q212" s="127"/>
      <c r="R212" s="104" t="s">
        <v>331</v>
      </c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27"/>
      <c r="AK212" s="98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99"/>
    </row>
    <row r="213" spans="2:61" ht="20.100000000000001" customHeight="1" x14ac:dyDescent="0.45">
      <c r="B213" s="123"/>
      <c r="C213" s="31"/>
      <c r="D213" s="31"/>
      <c r="E213" s="31"/>
      <c r="F213" s="31"/>
      <c r="G213" s="96"/>
      <c r="H213" s="97"/>
      <c r="I213" s="31"/>
      <c r="J213" s="103" t="s">
        <v>267</v>
      </c>
      <c r="K213" s="104"/>
      <c r="L213" s="104"/>
      <c r="M213" s="104"/>
      <c r="N213" s="104"/>
      <c r="O213" s="104"/>
      <c r="P213" s="104"/>
      <c r="Q213" s="127"/>
      <c r="R213" s="104" t="s">
        <v>332</v>
      </c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27"/>
      <c r="AK213" s="98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99"/>
    </row>
    <row r="214" spans="2:61" ht="20.100000000000001" customHeight="1" x14ac:dyDescent="0.45">
      <c r="B214" s="123"/>
      <c r="C214" s="31"/>
      <c r="D214" s="31"/>
      <c r="E214" s="31"/>
      <c r="F214" s="31"/>
      <c r="G214" s="96"/>
      <c r="H214" s="97"/>
      <c r="I214" s="31"/>
      <c r="J214" s="103" t="s">
        <v>269</v>
      </c>
      <c r="K214" s="104"/>
      <c r="L214" s="104"/>
      <c r="M214" s="104"/>
      <c r="N214" s="104"/>
      <c r="O214" s="104"/>
      <c r="P214" s="104"/>
      <c r="Q214" s="127"/>
      <c r="R214" s="104" t="s">
        <v>333</v>
      </c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27"/>
      <c r="AK214" s="98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99"/>
    </row>
    <row r="215" spans="2:61" ht="20.100000000000001" customHeight="1" x14ac:dyDescent="0.45">
      <c r="B215" s="123"/>
      <c r="C215" s="31"/>
      <c r="D215" s="31"/>
      <c r="E215" s="31"/>
      <c r="F215" s="31"/>
      <c r="G215" s="96"/>
      <c r="H215" s="97"/>
      <c r="I215" s="31"/>
      <c r="J215" s="103" t="s">
        <v>271</v>
      </c>
      <c r="K215" s="104"/>
      <c r="L215" s="104"/>
      <c r="M215" s="104"/>
      <c r="N215" s="104"/>
      <c r="O215" s="104"/>
      <c r="P215" s="104"/>
      <c r="Q215" s="127"/>
      <c r="R215" s="104" t="s">
        <v>334</v>
      </c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27"/>
      <c r="AK215" s="98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99"/>
    </row>
    <row r="216" spans="2:61" ht="20.100000000000001" customHeight="1" x14ac:dyDescent="0.45">
      <c r="B216" s="123"/>
      <c r="C216" s="31"/>
      <c r="D216" s="31"/>
      <c r="E216" s="31"/>
      <c r="F216" s="31"/>
      <c r="G216" s="96"/>
      <c r="H216" s="97"/>
      <c r="I216" s="31"/>
      <c r="J216" s="103" t="s">
        <v>273</v>
      </c>
      <c r="K216" s="104"/>
      <c r="L216" s="104"/>
      <c r="M216" s="104"/>
      <c r="N216" s="104"/>
      <c r="O216" s="104"/>
      <c r="P216" s="104"/>
      <c r="Q216" s="127"/>
      <c r="R216" s="104" t="s">
        <v>335</v>
      </c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27"/>
      <c r="AK216" s="98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99"/>
    </row>
    <row r="217" spans="2:61" ht="20.100000000000001" customHeight="1" x14ac:dyDescent="0.45">
      <c r="B217" s="123"/>
      <c r="C217" s="31"/>
      <c r="D217" s="31"/>
      <c r="E217" s="31"/>
      <c r="F217" s="31"/>
      <c r="G217" s="96"/>
      <c r="H217" s="97"/>
      <c r="I217" s="31"/>
      <c r="J217" s="103" t="s">
        <v>275</v>
      </c>
      <c r="K217" s="104"/>
      <c r="L217" s="104"/>
      <c r="M217" s="104"/>
      <c r="N217" s="104"/>
      <c r="O217" s="104"/>
      <c r="P217" s="104"/>
      <c r="Q217" s="127"/>
      <c r="R217" s="104" t="s">
        <v>336</v>
      </c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27"/>
      <c r="AK217" s="98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99"/>
    </row>
    <row r="218" spans="2:61" ht="20.100000000000001" customHeight="1" x14ac:dyDescent="0.45">
      <c r="B218" s="123"/>
      <c r="C218" s="31"/>
      <c r="D218" s="31"/>
      <c r="E218" s="31"/>
      <c r="F218" s="31"/>
      <c r="G218" s="96"/>
      <c r="H218" s="97"/>
      <c r="I218" s="31"/>
      <c r="J218" s="103" t="s">
        <v>277</v>
      </c>
      <c r="K218" s="104"/>
      <c r="L218" s="104"/>
      <c r="M218" s="104"/>
      <c r="N218" s="104"/>
      <c r="O218" s="104"/>
      <c r="P218" s="104"/>
      <c r="Q218" s="127"/>
      <c r="R218" s="104" t="s">
        <v>337</v>
      </c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27"/>
      <c r="AK218" s="98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99"/>
    </row>
    <row r="219" spans="2:61" ht="20.100000000000001" customHeight="1" x14ac:dyDescent="0.45">
      <c r="B219" s="123"/>
      <c r="C219" s="31"/>
      <c r="D219" s="31"/>
      <c r="E219" s="31"/>
      <c r="F219" s="31"/>
      <c r="G219" s="96"/>
      <c r="H219" s="97"/>
      <c r="I219" s="31"/>
      <c r="J219" s="103" t="s">
        <v>279</v>
      </c>
      <c r="K219" s="104"/>
      <c r="L219" s="104"/>
      <c r="M219" s="104"/>
      <c r="N219" s="104"/>
      <c r="O219" s="104"/>
      <c r="P219" s="104"/>
      <c r="Q219" s="127"/>
      <c r="R219" s="104" t="s">
        <v>338</v>
      </c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27"/>
      <c r="AK219" s="98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99"/>
    </row>
    <row r="220" spans="2:61" ht="20.100000000000001" customHeight="1" x14ac:dyDescent="0.45">
      <c r="B220" s="123"/>
      <c r="C220" s="31"/>
      <c r="D220" s="31"/>
      <c r="E220" s="31"/>
      <c r="F220" s="31"/>
      <c r="G220" s="96"/>
      <c r="H220" s="97"/>
      <c r="I220" s="31"/>
      <c r="J220" s="103" t="s">
        <v>281</v>
      </c>
      <c r="K220" s="104"/>
      <c r="L220" s="104"/>
      <c r="M220" s="104"/>
      <c r="N220" s="104"/>
      <c r="O220" s="104"/>
      <c r="P220" s="104"/>
      <c r="Q220" s="127"/>
      <c r="R220" s="104" t="s">
        <v>339</v>
      </c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27"/>
      <c r="AK220" s="98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99"/>
    </row>
    <row r="221" spans="2:61" ht="20.100000000000001" customHeight="1" x14ac:dyDescent="0.45">
      <c r="B221" s="123"/>
      <c r="C221" s="31"/>
      <c r="D221" s="31"/>
      <c r="E221" s="31"/>
      <c r="F221" s="31"/>
      <c r="G221" s="96"/>
      <c r="H221" s="97"/>
      <c r="I221" s="31"/>
      <c r="J221" s="103" t="s">
        <v>283</v>
      </c>
      <c r="K221" s="104"/>
      <c r="L221" s="104"/>
      <c r="M221" s="104"/>
      <c r="N221" s="104"/>
      <c r="O221" s="104"/>
      <c r="P221" s="104"/>
      <c r="Q221" s="127"/>
      <c r="R221" s="104" t="s">
        <v>340</v>
      </c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27"/>
      <c r="AK221" s="98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99"/>
    </row>
    <row r="222" spans="2:61" ht="20.100000000000001" customHeight="1" x14ac:dyDescent="0.45">
      <c r="B222" s="123"/>
      <c r="C222" s="31"/>
      <c r="D222" s="31"/>
      <c r="E222" s="31"/>
      <c r="F222" s="31"/>
      <c r="G222" s="96"/>
      <c r="H222" s="97"/>
      <c r="I222" s="31"/>
      <c r="J222" s="103" t="s">
        <v>285</v>
      </c>
      <c r="K222" s="104"/>
      <c r="L222" s="104"/>
      <c r="M222" s="104"/>
      <c r="N222" s="104"/>
      <c r="O222" s="104"/>
      <c r="P222" s="104"/>
      <c r="Q222" s="127"/>
      <c r="R222" s="104" t="s">
        <v>341</v>
      </c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27"/>
      <c r="AK222" s="98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99"/>
    </row>
    <row r="223" spans="2:61" ht="20.100000000000001" customHeight="1" x14ac:dyDescent="0.45">
      <c r="B223" s="123"/>
      <c r="C223" s="31"/>
      <c r="D223" s="31"/>
      <c r="E223" s="31"/>
      <c r="F223" s="31"/>
      <c r="G223" s="96"/>
      <c r="H223" s="97"/>
      <c r="I223" s="31"/>
      <c r="J223" s="103" t="s">
        <v>287</v>
      </c>
      <c r="K223" s="104"/>
      <c r="L223" s="104"/>
      <c r="M223" s="104"/>
      <c r="N223" s="104"/>
      <c r="O223" s="104"/>
      <c r="P223" s="104"/>
      <c r="Q223" s="127"/>
      <c r="R223" s="104" t="s">
        <v>342</v>
      </c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27"/>
      <c r="AK223" s="98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99"/>
    </row>
    <row r="224" spans="2:61" ht="20.100000000000001" customHeight="1" x14ac:dyDescent="0.45">
      <c r="B224" s="123"/>
      <c r="C224" s="31"/>
      <c r="D224" s="31"/>
      <c r="E224" s="31"/>
      <c r="F224" s="31"/>
      <c r="G224" s="96"/>
      <c r="H224" s="97"/>
      <c r="I224" s="31"/>
      <c r="J224" s="103" t="s">
        <v>289</v>
      </c>
      <c r="K224" s="104"/>
      <c r="L224" s="104"/>
      <c r="M224" s="104"/>
      <c r="N224" s="104"/>
      <c r="O224" s="104"/>
      <c r="P224" s="104"/>
      <c r="Q224" s="127"/>
      <c r="R224" s="160" t="s">
        <v>343</v>
      </c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27"/>
      <c r="AK224" s="98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99"/>
    </row>
    <row r="225" spans="2:61" ht="20.100000000000001" customHeight="1" x14ac:dyDescent="0.45">
      <c r="B225" s="123"/>
      <c r="C225" s="31"/>
      <c r="D225" s="31"/>
      <c r="E225" s="31"/>
      <c r="F225" s="31"/>
      <c r="G225" s="96"/>
      <c r="H225" s="97"/>
      <c r="I225" s="31"/>
      <c r="J225" s="103" t="s">
        <v>200</v>
      </c>
      <c r="K225" s="104"/>
      <c r="L225" s="104"/>
      <c r="M225" s="104"/>
      <c r="N225" s="104"/>
      <c r="O225" s="104"/>
      <c r="P225" s="104"/>
      <c r="Q225" s="127"/>
      <c r="R225" s="104" t="s">
        <v>344</v>
      </c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27"/>
      <c r="AK225" s="98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99"/>
    </row>
    <row r="226" spans="2:61" ht="20.100000000000001" customHeight="1" x14ac:dyDescent="0.45">
      <c r="B226" s="123"/>
      <c r="C226" s="31"/>
      <c r="D226" s="31"/>
      <c r="E226" s="31"/>
      <c r="F226" s="31"/>
      <c r="G226" s="96"/>
      <c r="H226" s="97"/>
      <c r="I226" s="31"/>
      <c r="J226" s="103" t="s">
        <v>292</v>
      </c>
      <c r="K226" s="104"/>
      <c r="L226" s="104"/>
      <c r="M226" s="104"/>
      <c r="N226" s="104"/>
      <c r="O226" s="104"/>
      <c r="P226" s="104"/>
      <c r="Q226" s="127"/>
      <c r="R226" s="104" t="s">
        <v>345</v>
      </c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27"/>
      <c r="AK226" s="98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99"/>
    </row>
    <row r="227" spans="2:61" ht="20.100000000000001" customHeight="1" x14ac:dyDescent="0.45">
      <c r="B227" s="123"/>
      <c r="C227" s="31"/>
      <c r="D227" s="31"/>
      <c r="E227" s="31"/>
      <c r="F227" s="31"/>
      <c r="G227" s="96"/>
      <c r="H227" s="97"/>
      <c r="I227" s="31"/>
      <c r="J227" s="103" t="s">
        <v>294</v>
      </c>
      <c r="K227" s="104"/>
      <c r="L227" s="104"/>
      <c r="M227" s="104"/>
      <c r="N227" s="104"/>
      <c r="O227" s="104"/>
      <c r="P227" s="104"/>
      <c r="Q227" s="127"/>
      <c r="R227" s="104" t="s">
        <v>346</v>
      </c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27"/>
      <c r="AK227" s="98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99"/>
    </row>
    <row r="228" spans="2:61" ht="20.100000000000001" customHeight="1" x14ac:dyDescent="0.45">
      <c r="B228" s="123"/>
      <c r="C228" s="31"/>
      <c r="D228" s="31"/>
      <c r="E228" s="31"/>
      <c r="F228" s="31"/>
      <c r="G228" s="96"/>
      <c r="H228" s="97"/>
      <c r="I228" s="31"/>
      <c r="J228" s="103" t="s">
        <v>296</v>
      </c>
      <c r="K228" s="104"/>
      <c r="L228" s="104"/>
      <c r="M228" s="104"/>
      <c r="N228" s="104"/>
      <c r="O228" s="104"/>
      <c r="P228" s="104"/>
      <c r="Q228" s="127"/>
      <c r="R228" s="104" t="s">
        <v>347</v>
      </c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27"/>
      <c r="AK228" s="98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99"/>
    </row>
    <row r="229" spans="2:61" ht="20.100000000000001" customHeight="1" x14ac:dyDescent="0.45">
      <c r="B229" s="123"/>
      <c r="C229" s="31"/>
      <c r="D229" s="31"/>
      <c r="E229" s="31"/>
      <c r="F229" s="31"/>
      <c r="G229" s="96"/>
      <c r="H229" s="97"/>
      <c r="I229" s="31"/>
      <c r="J229" s="103" t="s">
        <v>298</v>
      </c>
      <c r="K229" s="104"/>
      <c r="L229" s="104"/>
      <c r="M229" s="104"/>
      <c r="N229" s="104"/>
      <c r="O229" s="104"/>
      <c r="P229" s="104"/>
      <c r="Q229" s="127"/>
      <c r="R229" s="104" t="s">
        <v>348</v>
      </c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27"/>
      <c r="AK229" s="98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99"/>
    </row>
    <row r="230" spans="2:61" ht="20.100000000000001" customHeight="1" x14ac:dyDescent="0.45">
      <c r="B230" s="123"/>
      <c r="C230" s="31"/>
      <c r="D230" s="31"/>
      <c r="E230" s="31"/>
      <c r="F230" s="31"/>
      <c r="G230" s="96"/>
      <c r="H230" s="97"/>
      <c r="I230" s="31"/>
      <c r="J230" s="103" t="s">
        <v>300</v>
      </c>
      <c r="K230" s="104"/>
      <c r="L230" s="104"/>
      <c r="M230" s="104"/>
      <c r="N230" s="104"/>
      <c r="O230" s="104"/>
      <c r="P230" s="104"/>
      <c r="Q230" s="127"/>
      <c r="R230" s="104" t="s">
        <v>349</v>
      </c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27"/>
      <c r="AK230" s="98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99"/>
    </row>
    <row r="231" spans="2:61" ht="20.100000000000001" customHeight="1" x14ac:dyDescent="0.45">
      <c r="B231" s="123"/>
      <c r="C231" s="31"/>
      <c r="D231" s="31"/>
      <c r="E231" s="31"/>
      <c r="F231" s="31"/>
      <c r="G231" s="96"/>
      <c r="H231" s="97"/>
      <c r="I231" s="31"/>
      <c r="J231" s="103" t="s">
        <v>302</v>
      </c>
      <c r="K231" s="104"/>
      <c r="L231" s="104"/>
      <c r="M231" s="104"/>
      <c r="N231" s="104"/>
      <c r="O231" s="104"/>
      <c r="P231" s="104"/>
      <c r="Q231" s="127"/>
      <c r="R231" s="104" t="s">
        <v>350</v>
      </c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27"/>
      <c r="AK231" s="98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99"/>
    </row>
    <row r="232" spans="2:61" ht="20.100000000000001" customHeight="1" x14ac:dyDescent="0.45">
      <c r="B232" s="123"/>
      <c r="C232" s="31"/>
      <c r="D232" s="31"/>
      <c r="E232" s="31"/>
      <c r="F232" s="31"/>
      <c r="G232" s="96"/>
      <c r="H232" s="97"/>
      <c r="I232" s="31"/>
      <c r="J232" s="103" t="s">
        <v>304</v>
      </c>
      <c r="K232" s="104"/>
      <c r="L232" s="104"/>
      <c r="M232" s="104"/>
      <c r="N232" s="104"/>
      <c r="O232" s="104"/>
      <c r="P232" s="104"/>
      <c r="Q232" s="127"/>
      <c r="R232" s="104" t="s">
        <v>351</v>
      </c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27"/>
      <c r="AK232" s="98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99"/>
    </row>
    <row r="233" spans="2:61" ht="20.100000000000001" customHeight="1" x14ac:dyDescent="0.45">
      <c r="B233" s="123"/>
      <c r="C233" s="31"/>
      <c r="D233" s="31"/>
      <c r="E233" s="31"/>
      <c r="F233" s="31"/>
      <c r="G233" s="96"/>
      <c r="H233" s="97"/>
      <c r="I233" s="31"/>
      <c r="J233" s="103" t="s">
        <v>306</v>
      </c>
      <c r="K233" s="104"/>
      <c r="L233" s="104"/>
      <c r="M233" s="104"/>
      <c r="N233" s="104"/>
      <c r="O233" s="104"/>
      <c r="P233" s="104"/>
      <c r="Q233" s="127"/>
      <c r="R233" s="104" t="s">
        <v>352</v>
      </c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27"/>
      <c r="AK233" s="98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99"/>
    </row>
    <row r="234" spans="2:61" ht="20.100000000000001" customHeight="1" x14ac:dyDescent="0.45">
      <c r="B234" s="123"/>
      <c r="C234" s="31"/>
      <c r="D234" s="31"/>
      <c r="E234" s="31"/>
      <c r="F234" s="31"/>
      <c r="G234" s="96"/>
      <c r="H234" s="97"/>
      <c r="I234" s="31"/>
      <c r="J234" s="103" t="s">
        <v>308</v>
      </c>
      <c r="K234" s="104"/>
      <c r="L234" s="104"/>
      <c r="M234" s="104"/>
      <c r="N234" s="104"/>
      <c r="O234" s="104"/>
      <c r="P234" s="104"/>
      <c r="Q234" s="127"/>
      <c r="R234" s="104" t="s">
        <v>353</v>
      </c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27"/>
      <c r="AK234" s="98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99"/>
    </row>
    <row r="235" spans="2:61" ht="20.100000000000001" customHeight="1" x14ac:dyDescent="0.45">
      <c r="B235" s="123"/>
      <c r="C235" s="31"/>
      <c r="D235" s="31"/>
      <c r="E235" s="31"/>
      <c r="F235" s="31"/>
      <c r="G235" s="96"/>
      <c r="H235" s="100" t="s">
        <v>52</v>
      </c>
      <c r="I235" s="55"/>
      <c r="J235" s="100" t="s">
        <v>354</v>
      </c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101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102"/>
    </row>
    <row r="236" spans="2:61" ht="20.100000000000001" customHeight="1" x14ac:dyDescent="0.45">
      <c r="B236" s="95"/>
      <c r="C236" s="31"/>
      <c r="D236" s="31"/>
      <c r="E236" s="31"/>
      <c r="F236" s="31"/>
      <c r="G236" s="96"/>
      <c r="H236" s="100" t="s">
        <v>53</v>
      </c>
      <c r="I236" s="55"/>
      <c r="J236" s="161" t="s">
        <v>355</v>
      </c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101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102"/>
    </row>
    <row r="237" spans="2:61" ht="20.100000000000001" customHeight="1" x14ac:dyDescent="0.45">
      <c r="B237" s="95"/>
      <c r="C237" s="31"/>
      <c r="D237" s="31"/>
      <c r="E237" s="31"/>
      <c r="F237" s="31"/>
      <c r="G237" s="96"/>
      <c r="H237" s="97"/>
      <c r="I237" s="31"/>
      <c r="J237" s="97" t="s">
        <v>356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97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99"/>
    </row>
    <row r="238" spans="2:61" ht="20.100000000000001" customHeight="1" x14ac:dyDescent="0.45">
      <c r="B238" s="95"/>
      <c r="C238" s="31"/>
      <c r="D238" s="31"/>
      <c r="E238" s="31"/>
      <c r="F238" s="31"/>
      <c r="G238" s="96"/>
      <c r="H238" s="97"/>
      <c r="I238" s="31"/>
      <c r="J238" s="97" t="s">
        <v>357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97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99"/>
    </row>
    <row r="239" spans="2:61" ht="20.100000000000001" customHeight="1" x14ac:dyDescent="0.45">
      <c r="B239" s="95"/>
      <c r="C239" s="31"/>
      <c r="D239" s="31"/>
      <c r="E239" s="31"/>
      <c r="F239" s="31"/>
      <c r="G239" s="96"/>
      <c r="H239" s="97"/>
      <c r="I239" s="31"/>
      <c r="J239" s="97"/>
      <c r="K239" s="31" t="s">
        <v>358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97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99"/>
    </row>
    <row r="240" spans="2:61" ht="20.100000000000001" customHeight="1" x14ac:dyDescent="0.45">
      <c r="B240" s="95"/>
      <c r="C240" s="31"/>
      <c r="D240" s="31"/>
      <c r="E240" s="31"/>
      <c r="F240" s="31"/>
      <c r="G240" s="96"/>
      <c r="H240" s="100" t="s">
        <v>54</v>
      </c>
      <c r="I240" s="55"/>
      <c r="J240" s="100" t="s">
        <v>359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101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02"/>
    </row>
    <row r="241" spans="2:61" ht="20.100000000000001" customHeight="1" x14ac:dyDescent="0.45">
      <c r="B241" s="95"/>
      <c r="C241" s="31"/>
      <c r="D241" s="31"/>
      <c r="E241" s="31"/>
      <c r="F241" s="31"/>
      <c r="G241" s="96"/>
      <c r="H241" s="97"/>
      <c r="I241" s="31"/>
      <c r="J241" s="97" t="s">
        <v>388</v>
      </c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98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99"/>
    </row>
    <row r="242" spans="2:61" ht="20.100000000000001" customHeight="1" x14ac:dyDescent="0.45">
      <c r="B242" s="95"/>
      <c r="C242" s="31"/>
      <c r="D242" s="31"/>
      <c r="E242" s="31"/>
      <c r="F242" s="31"/>
      <c r="G242" s="96"/>
      <c r="H242" s="97"/>
      <c r="I242" s="31"/>
      <c r="J242" s="97"/>
      <c r="K242" s="31" t="s">
        <v>389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98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99"/>
    </row>
    <row r="243" spans="2:61" ht="20.100000000000001" customHeight="1" x14ac:dyDescent="0.45">
      <c r="B243" s="95"/>
      <c r="C243" s="31"/>
      <c r="D243" s="31"/>
      <c r="E243" s="31"/>
      <c r="F243" s="31"/>
      <c r="G243" s="96"/>
      <c r="H243" s="97"/>
      <c r="I243" s="31"/>
      <c r="J243" s="97" t="s">
        <v>366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98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99"/>
    </row>
    <row r="244" spans="2:61" ht="20.100000000000001" customHeight="1" x14ac:dyDescent="0.45">
      <c r="B244" s="95"/>
      <c r="C244" s="31"/>
      <c r="D244" s="31"/>
      <c r="E244" s="31"/>
      <c r="F244" s="31"/>
      <c r="G244" s="96"/>
      <c r="H244" s="97"/>
      <c r="I244" s="31"/>
      <c r="J244" s="97"/>
      <c r="K244" s="31" t="s">
        <v>390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98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99"/>
    </row>
    <row r="245" spans="2:61" ht="20.100000000000001" customHeight="1" x14ac:dyDescent="0.45">
      <c r="B245" s="95"/>
      <c r="C245" s="31"/>
      <c r="D245" s="31"/>
      <c r="E245" s="31"/>
      <c r="F245" s="31"/>
      <c r="G245" s="96"/>
      <c r="H245" s="97"/>
      <c r="I245" s="31"/>
      <c r="J245" s="97"/>
      <c r="K245" s="31" t="s">
        <v>368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98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99"/>
    </row>
    <row r="246" spans="2:61" ht="20.100000000000001" customHeight="1" x14ac:dyDescent="0.45">
      <c r="B246" s="95"/>
      <c r="C246" s="31"/>
      <c r="D246" s="31"/>
      <c r="E246" s="31"/>
      <c r="F246" s="31"/>
      <c r="G246" s="96"/>
      <c r="H246" s="97"/>
      <c r="I246" s="31"/>
      <c r="J246" s="97" t="s">
        <v>366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98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99"/>
    </row>
    <row r="247" spans="2:61" ht="20.100000000000001" customHeight="1" x14ac:dyDescent="0.45">
      <c r="B247" s="95"/>
      <c r="C247" s="31"/>
      <c r="D247" s="31"/>
      <c r="E247" s="31"/>
      <c r="F247" s="31"/>
      <c r="G247" s="96"/>
      <c r="H247" s="97"/>
      <c r="I247" s="31"/>
      <c r="J247" s="97"/>
      <c r="K247" s="31" t="s">
        <v>391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98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99"/>
    </row>
    <row r="248" spans="2:61" ht="20.100000000000001" customHeight="1" x14ac:dyDescent="0.45">
      <c r="B248" s="95"/>
      <c r="C248" s="31"/>
      <c r="D248" s="31"/>
      <c r="E248" s="31"/>
      <c r="F248" s="31"/>
      <c r="G248" s="96"/>
      <c r="H248" s="97"/>
      <c r="I248" s="31"/>
      <c r="J248" s="97"/>
      <c r="K248" s="31" t="s">
        <v>370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98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99"/>
    </row>
    <row r="249" spans="2:61" ht="20.100000000000001" customHeight="1" x14ac:dyDescent="0.45">
      <c r="B249" s="95"/>
      <c r="C249" s="31"/>
      <c r="D249" s="31"/>
      <c r="E249" s="31"/>
      <c r="F249" s="31"/>
      <c r="G249" s="96"/>
      <c r="H249" s="97"/>
      <c r="I249" s="31"/>
      <c r="J249" s="97" t="s">
        <v>366</v>
      </c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98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99"/>
    </row>
    <row r="250" spans="2:61" ht="20.100000000000001" customHeight="1" x14ac:dyDescent="0.45">
      <c r="B250" s="95"/>
      <c r="C250" s="31"/>
      <c r="D250" s="31"/>
      <c r="E250" s="31"/>
      <c r="F250" s="31"/>
      <c r="G250" s="96"/>
      <c r="H250" s="97"/>
      <c r="I250" s="31"/>
      <c r="J250" s="97"/>
      <c r="K250" s="31" t="s">
        <v>392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98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99"/>
    </row>
    <row r="251" spans="2:61" ht="20.100000000000001" customHeight="1" thickBot="1" x14ac:dyDescent="0.5">
      <c r="B251" s="95"/>
      <c r="C251" s="31"/>
      <c r="D251" s="31"/>
      <c r="E251" s="31"/>
      <c r="F251" s="31"/>
      <c r="G251" s="96"/>
      <c r="H251" s="97"/>
      <c r="I251" s="31"/>
      <c r="J251" s="97"/>
      <c r="K251" s="31" t="s">
        <v>370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98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99"/>
    </row>
    <row r="252" spans="2:61" ht="20.100000000000001" customHeight="1" x14ac:dyDescent="0.45">
      <c r="B252" s="89" t="s">
        <v>390</v>
      </c>
      <c r="C252" s="90"/>
      <c r="D252" s="90"/>
      <c r="E252" s="90"/>
      <c r="F252" s="90"/>
      <c r="G252" s="91"/>
      <c r="H252" s="92" t="s">
        <v>83</v>
      </c>
      <c r="I252" s="90"/>
      <c r="J252" s="120" t="s">
        <v>275</v>
      </c>
      <c r="K252" s="121"/>
      <c r="L252" s="121"/>
      <c r="M252" s="121"/>
      <c r="N252" s="121"/>
      <c r="O252" s="121"/>
      <c r="P252" s="121"/>
      <c r="Q252" s="122"/>
      <c r="R252" s="121" t="s">
        <v>372</v>
      </c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2"/>
      <c r="AK252" s="93" t="s">
        <v>373</v>
      </c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4"/>
    </row>
    <row r="253" spans="2:61" ht="20.100000000000001" customHeight="1" x14ac:dyDescent="0.45">
      <c r="B253" s="123"/>
      <c r="C253" s="31"/>
      <c r="D253" s="31"/>
      <c r="E253" s="31"/>
      <c r="F253" s="31"/>
      <c r="G253" s="96"/>
      <c r="H253" s="100" t="s">
        <v>52</v>
      </c>
      <c r="I253" s="55"/>
      <c r="J253" s="100" t="s">
        <v>374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101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102"/>
    </row>
    <row r="254" spans="2:61" ht="20.100000000000001" customHeight="1" x14ac:dyDescent="0.45">
      <c r="B254" s="95"/>
      <c r="C254" s="31"/>
      <c r="D254" s="31"/>
      <c r="E254" s="31"/>
      <c r="F254" s="31"/>
      <c r="G254" s="96"/>
      <c r="H254" s="100" t="s">
        <v>53</v>
      </c>
      <c r="I254" s="55"/>
      <c r="J254" s="161" t="s">
        <v>375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101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102"/>
    </row>
    <row r="255" spans="2:61" ht="20.100000000000001" customHeight="1" x14ac:dyDescent="0.45">
      <c r="B255" s="95"/>
      <c r="C255" s="31"/>
      <c r="D255" s="31"/>
      <c r="E255" s="31"/>
      <c r="F255" s="31"/>
      <c r="G255" s="96"/>
      <c r="H255" s="100" t="s">
        <v>54</v>
      </c>
      <c r="I255" s="55"/>
      <c r="J255" s="100" t="s">
        <v>376</v>
      </c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101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102"/>
    </row>
    <row r="256" spans="2:61" ht="20.100000000000001" customHeight="1" x14ac:dyDescent="0.45">
      <c r="B256" s="95"/>
      <c r="C256" s="31"/>
      <c r="D256" s="31"/>
      <c r="E256" s="31"/>
      <c r="F256" s="31"/>
      <c r="G256" s="96"/>
      <c r="H256" s="97"/>
      <c r="I256" s="31"/>
      <c r="J256" s="97"/>
      <c r="K256" s="31" t="s">
        <v>377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98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99"/>
    </row>
    <row r="257" spans="2:61" ht="20.100000000000001" customHeight="1" x14ac:dyDescent="0.45">
      <c r="B257" s="95"/>
      <c r="C257" s="31"/>
      <c r="D257" s="31"/>
      <c r="E257" s="31"/>
      <c r="F257" s="31"/>
      <c r="G257" s="96"/>
      <c r="H257" s="97"/>
      <c r="I257" s="31"/>
      <c r="J257" s="97"/>
      <c r="K257" s="31" t="s">
        <v>378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98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99"/>
    </row>
    <row r="258" spans="2:61" ht="20.100000000000001" customHeight="1" x14ac:dyDescent="0.45">
      <c r="B258" s="95"/>
      <c r="C258" s="31"/>
      <c r="D258" s="31"/>
      <c r="E258" s="31"/>
      <c r="F258" s="31"/>
      <c r="G258" s="96"/>
      <c r="H258" s="97"/>
      <c r="I258" s="31"/>
      <c r="J258" s="97"/>
      <c r="K258" s="31" t="s">
        <v>393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98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99"/>
    </row>
    <row r="259" spans="2:61" ht="20.100000000000001" customHeight="1" thickBot="1" x14ac:dyDescent="0.5">
      <c r="B259" s="95"/>
      <c r="C259" s="31"/>
      <c r="D259" s="31"/>
      <c r="E259" s="31"/>
      <c r="F259" s="31"/>
      <c r="G259" s="96"/>
      <c r="H259" s="100" t="s">
        <v>233</v>
      </c>
      <c r="I259" s="55"/>
      <c r="J259" s="100" t="s">
        <v>394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101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102"/>
    </row>
    <row r="260" spans="2:61" ht="20.100000000000001" customHeight="1" x14ac:dyDescent="0.45">
      <c r="B260" s="89" t="s">
        <v>391</v>
      </c>
      <c r="C260" s="90"/>
      <c r="D260" s="90"/>
      <c r="E260" s="90"/>
      <c r="F260" s="90"/>
      <c r="G260" s="91"/>
      <c r="H260" s="92" t="s">
        <v>83</v>
      </c>
      <c r="I260" s="90"/>
      <c r="J260" s="120" t="s">
        <v>300</v>
      </c>
      <c r="K260" s="121"/>
      <c r="L260" s="121"/>
      <c r="M260" s="121"/>
      <c r="N260" s="121"/>
      <c r="O260" s="121"/>
      <c r="P260" s="121"/>
      <c r="Q260" s="122"/>
      <c r="R260" s="121" t="s">
        <v>381</v>
      </c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2"/>
      <c r="AK260" s="93" t="s">
        <v>382</v>
      </c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4"/>
    </row>
    <row r="261" spans="2:61" ht="20.100000000000001" customHeight="1" x14ac:dyDescent="0.45">
      <c r="B261" s="123"/>
      <c r="C261" s="31"/>
      <c r="D261" s="31"/>
      <c r="E261" s="31"/>
      <c r="F261" s="31"/>
      <c r="G261" s="96"/>
      <c r="H261" s="100" t="s">
        <v>52</v>
      </c>
      <c r="I261" s="55"/>
      <c r="J261" s="100" t="s">
        <v>374</v>
      </c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101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102"/>
    </row>
    <row r="262" spans="2:61" ht="20.100000000000001" customHeight="1" x14ac:dyDescent="0.45">
      <c r="B262" s="95"/>
      <c r="C262" s="31"/>
      <c r="D262" s="31"/>
      <c r="E262" s="31"/>
      <c r="F262" s="31"/>
      <c r="G262" s="96"/>
      <c r="H262" s="100" t="s">
        <v>54</v>
      </c>
      <c r="I262" s="55"/>
      <c r="J262" s="100" t="s">
        <v>383</v>
      </c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101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102"/>
    </row>
    <row r="263" spans="2:61" ht="20.100000000000001" customHeight="1" x14ac:dyDescent="0.45">
      <c r="B263" s="95"/>
      <c r="C263" s="31"/>
      <c r="D263" s="31"/>
      <c r="E263" s="31"/>
      <c r="F263" s="31"/>
      <c r="G263" s="96"/>
      <c r="H263" s="97"/>
      <c r="I263" s="31"/>
      <c r="J263" s="97"/>
      <c r="K263" s="31" t="s">
        <v>377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98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99"/>
    </row>
    <row r="264" spans="2:61" ht="20.100000000000001" customHeight="1" x14ac:dyDescent="0.45">
      <c r="B264" s="95"/>
      <c r="C264" s="31"/>
      <c r="D264" s="31"/>
      <c r="E264" s="31"/>
      <c r="F264" s="31"/>
      <c r="G264" s="96"/>
      <c r="H264" s="97"/>
      <c r="I264" s="31"/>
      <c r="J264" s="97"/>
      <c r="K264" s="31" t="s">
        <v>393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98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99"/>
    </row>
    <row r="265" spans="2:61" ht="20.100000000000001" customHeight="1" thickBot="1" x14ac:dyDescent="0.5">
      <c r="B265" s="95"/>
      <c r="C265" s="31"/>
      <c r="D265" s="31"/>
      <c r="E265" s="31"/>
      <c r="F265" s="31"/>
      <c r="G265" s="96"/>
      <c r="H265" s="100" t="s">
        <v>233</v>
      </c>
      <c r="I265" s="55"/>
      <c r="J265" s="100" t="s">
        <v>394</v>
      </c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101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102"/>
    </row>
    <row r="266" spans="2:61" ht="20.100000000000001" customHeight="1" x14ac:dyDescent="0.45">
      <c r="B266" s="89" t="s">
        <v>392</v>
      </c>
      <c r="C266" s="90"/>
      <c r="D266" s="90"/>
      <c r="E266" s="90"/>
      <c r="F266" s="90"/>
      <c r="G266" s="91"/>
      <c r="H266" s="92" t="s">
        <v>83</v>
      </c>
      <c r="I266" s="90"/>
      <c r="J266" s="120" t="s">
        <v>302</v>
      </c>
      <c r="K266" s="121"/>
      <c r="L266" s="121"/>
      <c r="M266" s="121"/>
      <c r="N266" s="121"/>
      <c r="O266" s="121"/>
      <c r="P266" s="121"/>
      <c r="Q266" s="122"/>
      <c r="R266" s="121" t="s">
        <v>385</v>
      </c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2"/>
      <c r="AK266" s="93" t="s">
        <v>386</v>
      </c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4"/>
    </row>
    <row r="267" spans="2:61" ht="20.100000000000001" customHeight="1" x14ac:dyDescent="0.45">
      <c r="B267" s="123"/>
      <c r="C267" s="31"/>
      <c r="D267" s="31"/>
      <c r="E267" s="31"/>
      <c r="F267" s="31"/>
      <c r="G267" s="96"/>
      <c r="H267" s="100" t="s">
        <v>52</v>
      </c>
      <c r="I267" s="55"/>
      <c r="J267" s="100" t="s">
        <v>374</v>
      </c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101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102"/>
    </row>
    <row r="268" spans="2:61" ht="20.100000000000001" customHeight="1" x14ac:dyDescent="0.45">
      <c r="B268" s="95"/>
      <c r="C268" s="31"/>
      <c r="D268" s="31"/>
      <c r="E268" s="31"/>
      <c r="F268" s="31"/>
      <c r="G268" s="96"/>
      <c r="H268" s="100" t="s">
        <v>54</v>
      </c>
      <c r="I268" s="55"/>
      <c r="J268" s="100" t="s">
        <v>376</v>
      </c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101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102"/>
    </row>
    <row r="269" spans="2:61" ht="20.100000000000001" customHeight="1" x14ac:dyDescent="0.45">
      <c r="B269" s="95"/>
      <c r="C269" s="31"/>
      <c r="D269" s="31"/>
      <c r="E269" s="31"/>
      <c r="F269" s="31"/>
      <c r="G269" s="96"/>
      <c r="H269" s="97"/>
      <c r="I269" s="31"/>
      <c r="J269" s="97"/>
      <c r="K269" s="31" t="s">
        <v>377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98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99"/>
    </row>
    <row r="270" spans="2:61" ht="20.100000000000001" customHeight="1" x14ac:dyDescent="0.45">
      <c r="B270" s="95"/>
      <c r="C270" s="31"/>
      <c r="D270" s="31"/>
      <c r="E270" s="31"/>
      <c r="F270" s="31"/>
      <c r="G270" s="96"/>
      <c r="H270" s="97"/>
      <c r="I270" s="31"/>
      <c r="J270" s="97"/>
      <c r="K270" s="31" t="s">
        <v>393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98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99"/>
    </row>
    <row r="271" spans="2:61" ht="20.100000000000001" customHeight="1" thickBot="1" x14ac:dyDescent="0.5">
      <c r="B271" s="95"/>
      <c r="C271" s="31"/>
      <c r="D271" s="31"/>
      <c r="E271" s="31"/>
      <c r="F271" s="31"/>
      <c r="G271" s="96"/>
      <c r="H271" s="100" t="s">
        <v>233</v>
      </c>
      <c r="I271" s="55"/>
      <c r="J271" s="100" t="s">
        <v>394</v>
      </c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101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102"/>
    </row>
    <row r="272" spans="2:61" ht="20.100000000000001" customHeight="1" x14ac:dyDescent="0.45">
      <c r="B272" s="89" t="s">
        <v>315</v>
      </c>
      <c r="C272" s="90"/>
      <c r="D272" s="90"/>
      <c r="E272" s="90"/>
      <c r="F272" s="90"/>
      <c r="G272" s="91"/>
      <c r="H272" s="92" t="s">
        <v>83</v>
      </c>
      <c r="I272" s="90"/>
      <c r="J272" s="120" t="s">
        <v>186</v>
      </c>
      <c r="K272" s="121"/>
      <c r="L272" s="121"/>
      <c r="M272" s="121"/>
      <c r="N272" s="121"/>
      <c r="O272" s="121"/>
      <c r="P272" s="121"/>
      <c r="Q272" s="122"/>
      <c r="R272" s="121" t="s">
        <v>320</v>
      </c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2"/>
      <c r="AK272" s="93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4"/>
    </row>
    <row r="273" spans="2:61" ht="20.100000000000001" customHeight="1" x14ac:dyDescent="0.45">
      <c r="B273" s="123"/>
      <c r="C273" s="31"/>
      <c r="D273" s="31"/>
      <c r="E273" s="31"/>
      <c r="F273" s="31"/>
      <c r="G273" s="96"/>
      <c r="H273" s="97"/>
      <c r="I273" s="31"/>
      <c r="J273" s="103" t="s">
        <v>243</v>
      </c>
      <c r="K273" s="104"/>
      <c r="L273" s="104"/>
      <c r="M273" s="104"/>
      <c r="N273" s="104"/>
      <c r="O273" s="104"/>
      <c r="P273" s="104"/>
      <c r="Q273" s="127"/>
      <c r="R273" s="160" t="s">
        <v>395</v>
      </c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27"/>
      <c r="AK273" s="98" t="s">
        <v>396</v>
      </c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99"/>
    </row>
    <row r="274" spans="2:61" ht="20.100000000000001" customHeight="1" x14ac:dyDescent="0.45">
      <c r="B274" s="123"/>
      <c r="C274" s="31"/>
      <c r="D274" s="31"/>
      <c r="E274" s="31"/>
      <c r="F274" s="31"/>
      <c r="G274" s="96"/>
      <c r="H274" s="97"/>
      <c r="I274" s="31"/>
      <c r="J274" s="103" t="s">
        <v>246</v>
      </c>
      <c r="K274" s="104"/>
      <c r="L274" s="104"/>
      <c r="M274" s="104"/>
      <c r="N274" s="104"/>
      <c r="O274" s="104"/>
      <c r="P274" s="104"/>
      <c r="Q274" s="127"/>
      <c r="R274" s="160" t="s">
        <v>397</v>
      </c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27"/>
      <c r="AK274" s="98" t="s">
        <v>248</v>
      </c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99"/>
    </row>
    <row r="275" spans="2:61" ht="20.100000000000001" customHeight="1" x14ac:dyDescent="0.45">
      <c r="B275" s="123"/>
      <c r="C275" s="31"/>
      <c r="D275" s="31"/>
      <c r="E275" s="31"/>
      <c r="F275" s="31"/>
      <c r="G275" s="96"/>
      <c r="H275" s="97"/>
      <c r="I275" s="31"/>
      <c r="J275" s="103" t="s">
        <v>249</v>
      </c>
      <c r="K275" s="104"/>
      <c r="L275" s="104"/>
      <c r="M275" s="104"/>
      <c r="N275" s="104"/>
      <c r="O275" s="104"/>
      <c r="P275" s="104"/>
      <c r="Q275" s="127"/>
      <c r="R275" s="104" t="s">
        <v>398</v>
      </c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27"/>
      <c r="AK275" s="98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99"/>
    </row>
    <row r="276" spans="2:61" ht="20.100000000000001" customHeight="1" x14ac:dyDescent="0.45">
      <c r="B276" s="123"/>
      <c r="C276" s="31"/>
      <c r="D276" s="31"/>
      <c r="E276" s="31"/>
      <c r="F276" s="31"/>
      <c r="G276" s="96"/>
      <c r="H276" s="97"/>
      <c r="I276" s="31"/>
      <c r="J276" s="103" t="s">
        <v>251</v>
      </c>
      <c r="K276" s="104"/>
      <c r="L276" s="104"/>
      <c r="M276" s="104"/>
      <c r="N276" s="104"/>
      <c r="O276" s="104"/>
      <c r="P276" s="104"/>
      <c r="Q276" s="127"/>
      <c r="R276" s="104" t="s">
        <v>399</v>
      </c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27"/>
      <c r="AK276" s="98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99"/>
    </row>
    <row r="277" spans="2:61" ht="20.100000000000001" customHeight="1" x14ac:dyDescent="0.45">
      <c r="B277" s="123"/>
      <c r="C277" s="31"/>
      <c r="D277" s="31"/>
      <c r="E277" s="31"/>
      <c r="F277" s="31"/>
      <c r="G277" s="96"/>
      <c r="H277" s="97"/>
      <c r="I277" s="31"/>
      <c r="J277" s="103" t="s">
        <v>253</v>
      </c>
      <c r="K277" s="104"/>
      <c r="L277" s="104"/>
      <c r="M277" s="104"/>
      <c r="N277" s="104"/>
      <c r="O277" s="104"/>
      <c r="P277" s="104"/>
      <c r="Q277" s="127"/>
      <c r="R277" s="104" t="s">
        <v>400</v>
      </c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27"/>
      <c r="AK277" s="98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99"/>
    </row>
    <row r="278" spans="2:61" ht="20.100000000000001" customHeight="1" x14ac:dyDescent="0.45">
      <c r="B278" s="123"/>
      <c r="C278" s="31"/>
      <c r="D278" s="31"/>
      <c r="E278" s="31"/>
      <c r="F278" s="31"/>
      <c r="G278" s="96"/>
      <c r="H278" s="97"/>
      <c r="I278" s="31"/>
      <c r="J278" s="103" t="s">
        <v>255</v>
      </c>
      <c r="K278" s="104"/>
      <c r="L278" s="104"/>
      <c r="M278" s="104"/>
      <c r="N278" s="104"/>
      <c r="O278" s="104"/>
      <c r="P278" s="104"/>
      <c r="Q278" s="127"/>
      <c r="R278" s="104" t="s">
        <v>401</v>
      </c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27"/>
      <c r="AK278" s="98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99"/>
    </row>
    <row r="279" spans="2:61" ht="20.100000000000001" customHeight="1" x14ac:dyDescent="0.45">
      <c r="B279" s="123"/>
      <c r="C279" s="31"/>
      <c r="D279" s="31"/>
      <c r="E279" s="31"/>
      <c r="F279" s="31"/>
      <c r="G279" s="96"/>
      <c r="H279" s="97"/>
      <c r="I279" s="31"/>
      <c r="J279" s="103" t="s">
        <v>257</v>
      </c>
      <c r="K279" s="104"/>
      <c r="L279" s="104"/>
      <c r="M279" s="104"/>
      <c r="N279" s="104"/>
      <c r="O279" s="104"/>
      <c r="P279" s="104"/>
      <c r="Q279" s="127"/>
      <c r="R279" s="104" t="s">
        <v>402</v>
      </c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27"/>
      <c r="AK279" s="98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99"/>
    </row>
    <row r="280" spans="2:61" ht="20.100000000000001" customHeight="1" x14ac:dyDescent="0.45">
      <c r="B280" s="123"/>
      <c r="C280" s="31"/>
      <c r="D280" s="31"/>
      <c r="E280" s="31"/>
      <c r="F280" s="31"/>
      <c r="G280" s="96"/>
      <c r="H280" s="97"/>
      <c r="I280" s="31"/>
      <c r="J280" s="103" t="s">
        <v>259</v>
      </c>
      <c r="K280" s="104"/>
      <c r="L280" s="104"/>
      <c r="M280" s="104"/>
      <c r="N280" s="104"/>
      <c r="O280" s="104"/>
      <c r="P280" s="104"/>
      <c r="Q280" s="127"/>
      <c r="R280" s="104" t="s">
        <v>403</v>
      </c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27"/>
      <c r="AK280" s="98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99"/>
    </row>
    <row r="281" spans="2:61" ht="20.100000000000001" customHeight="1" x14ac:dyDescent="0.45">
      <c r="B281" s="123"/>
      <c r="C281" s="31"/>
      <c r="D281" s="31"/>
      <c r="E281" s="31"/>
      <c r="F281" s="31"/>
      <c r="G281" s="96"/>
      <c r="H281" s="97"/>
      <c r="I281" s="31"/>
      <c r="J281" s="103" t="s">
        <v>261</v>
      </c>
      <c r="K281" s="104"/>
      <c r="L281" s="104"/>
      <c r="M281" s="104"/>
      <c r="N281" s="104"/>
      <c r="O281" s="104"/>
      <c r="P281" s="104"/>
      <c r="Q281" s="127"/>
      <c r="R281" s="104" t="s">
        <v>329</v>
      </c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27"/>
      <c r="AK281" s="98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99"/>
    </row>
    <row r="282" spans="2:61" ht="20.100000000000001" customHeight="1" x14ac:dyDescent="0.45">
      <c r="B282" s="123"/>
      <c r="C282" s="31"/>
      <c r="D282" s="31"/>
      <c r="E282" s="31"/>
      <c r="F282" s="31"/>
      <c r="G282" s="96"/>
      <c r="H282" s="97"/>
      <c r="I282" s="31"/>
      <c r="J282" s="103" t="s">
        <v>263</v>
      </c>
      <c r="K282" s="104"/>
      <c r="L282" s="104"/>
      <c r="M282" s="104"/>
      <c r="N282" s="104"/>
      <c r="O282" s="104"/>
      <c r="P282" s="104"/>
      <c r="Q282" s="127"/>
      <c r="R282" s="104" t="s">
        <v>330</v>
      </c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27"/>
      <c r="AK282" s="98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99"/>
    </row>
    <row r="283" spans="2:61" ht="20.100000000000001" customHeight="1" x14ac:dyDescent="0.45">
      <c r="B283" s="123"/>
      <c r="C283" s="31"/>
      <c r="D283" s="31"/>
      <c r="E283" s="31"/>
      <c r="F283" s="31"/>
      <c r="G283" s="96"/>
      <c r="H283" s="97"/>
      <c r="I283" s="31"/>
      <c r="J283" s="103" t="s">
        <v>265</v>
      </c>
      <c r="K283" s="104"/>
      <c r="L283" s="104"/>
      <c r="M283" s="104"/>
      <c r="N283" s="104"/>
      <c r="O283" s="104"/>
      <c r="P283" s="104"/>
      <c r="Q283" s="127"/>
      <c r="R283" s="104" t="s">
        <v>331</v>
      </c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27"/>
      <c r="AK283" s="98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99"/>
    </row>
    <row r="284" spans="2:61" ht="20.100000000000001" customHeight="1" x14ac:dyDescent="0.45">
      <c r="B284" s="123"/>
      <c r="C284" s="31"/>
      <c r="D284" s="31"/>
      <c r="E284" s="31"/>
      <c r="F284" s="31"/>
      <c r="G284" s="96"/>
      <c r="H284" s="97"/>
      <c r="I284" s="31"/>
      <c r="J284" s="103" t="s">
        <v>267</v>
      </c>
      <c r="K284" s="104"/>
      <c r="L284" s="104"/>
      <c r="M284" s="104"/>
      <c r="N284" s="104"/>
      <c r="O284" s="104"/>
      <c r="P284" s="104"/>
      <c r="Q284" s="127"/>
      <c r="R284" s="104" t="s">
        <v>332</v>
      </c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27"/>
      <c r="AK284" s="98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99"/>
    </row>
    <row r="285" spans="2:61" ht="20.100000000000001" customHeight="1" x14ac:dyDescent="0.45">
      <c r="B285" s="123"/>
      <c r="C285" s="31"/>
      <c r="D285" s="31"/>
      <c r="E285" s="31"/>
      <c r="F285" s="31"/>
      <c r="G285" s="96"/>
      <c r="H285" s="97"/>
      <c r="I285" s="31"/>
      <c r="J285" s="103" t="s">
        <v>269</v>
      </c>
      <c r="K285" s="104"/>
      <c r="L285" s="104"/>
      <c r="M285" s="104"/>
      <c r="N285" s="104"/>
      <c r="O285" s="104"/>
      <c r="P285" s="104"/>
      <c r="Q285" s="127"/>
      <c r="R285" s="104" t="s">
        <v>333</v>
      </c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27"/>
      <c r="AK285" s="98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99"/>
    </row>
    <row r="286" spans="2:61" ht="20.100000000000001" customHeight="1" x14ac:dyDescent="0.45">
      <c r="B286" s="123"/>
      <c r="C286" s="31"/>
      <c r="D286" s="31"/>
      <c r="E286" s="31"/>
      <c r="F286" s="31"/>
      <c r="G286" s="96"/>
      <c r="H286" s="97"/>
      <c r="I286" s="31"/>
      <c r="J286" s="103" t="s">
        <v>271</v>
      </c>
      <c r="K286" s="104"/>
      <c r="L286" s="104"/>
      <c r="M286" s="104"/>
      <c r="N286" s="104"/>
      <c r="O286" s="104"/>
      <c r="P286" s="104"/>
      <c r="Q286" s="127"/>
      <c r="R286" s="104" t="s">
        <v>334</v>
      </c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27"/>
      <c r="AK286" s="98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99"/>
    </row>
    <row r="287" spans="2:61" ht="20.100000000000001" customHeight="1" x14ac:dyDescent="0.45">
      <c r="B287" s="123"/>
      <c r="C287" s="31"/>
      <c r="D287" s="31"/>
      <c r="E287" s="31"/>
      <c r="F287" s="31"/>
      <c r="G287" s="96"/>
      <c r="H287" s="97"/>
      <c r="I287" s="31"/>
      <c r="J287" s="103" t="s">
        <v>273</v>
      </c>
      <c r="K287" s="104"/>
      <c r="L287" s="104"/>
      <c r="M287" s="104"/>
      <c r="N287" s="104"/>
      <c r="O287" s="104"/>
      <c r="P287" s="104"/>
      <c r="Q287" s="127"/>
      <c r="R287" s="104" t="s">
        <v>335</v>
      </c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27"/>
      <c r="AK287" s="98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99"/>
    </row>
    <row r="288" spans="2:61" ht="20.100000000000001" customHeight="1" x14ac:dyDescent="0.45">
      <c r="B288" s="123"/>
      <c r="C288" s="31"/>
      <c r="D288" s="31"/>
      <c r="E288" s="31"/>
      <c r="F288" s="31"/>
      <c r="G288" s="96"/>
      <c r="H288" s="97"/>
      <c r="I288" s="31"/>
      <c r="J288" s="103" t="s">
        <v>275</v>
      </c>
      <c r="K288" s="104"/>
      <c r="L288" s="104"/>
      <c r="M288" s="104"/>
      <c r="N288" s="104"/>
      <c r="O288" s="104"/>
      <c r="P288" s="104"/>
      <c r="Q288" s="127"/>
      <c r="R288" s="104" t="s">
        <v>404</v>
      </c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27"/>
      <c r="AK288" s="98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99"/>
    </row>
    <row r="289" spans="2:61" ht="20.100000000000001" customHeight="1" x14ac:dyDescent="0.45">
      <c r="B289" s="123"/>
      <c r="C289" s="31"/>
      <c r="D289" s="31"/>
      <c r="E289" s="31"/>
      <c r="F289" s="31"/>
      <c r="G289" s="96"/>
      <c r="H289" s="97"/>
      <c r="I289" s="31"/>
      <c r="J289" s="103" t="s">
        <v>277</v>
      </c>
      <c r="K289" s="104"/>
      <c r="L289" s="104"/>
      <c r="M289" s="104"/>
      <c r="N289" s="104"/>
      <c r="O289" s="104"/>
      <c r="P289" s="104"/>
      <c r="Q289" s="127"/>
      <c r="R289" s="104" t="s">
        <v>337</v>
      </c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27"/>
      <c r="AK289" s="98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99"/>
    </row>
    <row r="290" spans="2:61" ht="20.100000000000001" customHeight="1" x14ac:dyDescent="0.45">
      <c r="B290" s="123"/>
      <c r="C290" s="31"/>
      <c r="D290" s="31"/>
      <c r="E290" s="31"/>
      <c r="F290" s="31"/>
      <c r="G290" s="96"/>
      <c r="H290" s="97"/>
      <c r="I290" s="31"/>
      <c r="J290" s="103" t="s">
        <v>279</v>
      </c>
      <c r="K290" s="104"/>
      <c r="L290" s="104"/>
      <c r="M290" s="104"/>
      <c r="N290" s="104"/>
      <c r="O290" s="104"/>
      <c r="P290" s="104"/>
      <c r="Q290" s="127"/>
      <c r="R290" s="104" t="s">
        <v>338</v>
      </c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27"/>
      <c r="AK290" s="98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99"/>
    </row>
    <row r="291" spans="2:61" ht="20.100000000000001" customHeight="1" x14ac:dyDescent="0.45">
      <c r="B291" s="123"/>
      <c r="C291" s="31"/>
      <c r="D291" s="31"/>
      <c r="E291" s="31"/>
      <c r="F291" s="31"/>
      <c r="G291" s="96"/>
      <c r="H291" s="97"/>
      <c r="I291" s="31"/>
      <c r="J291" s="103" t="s">
        <v>281</v>
      </c>
      <c r="K291" s="104"/>
      <c r="L291" s="104"/>
      <c r="M291" s="104"/>
      <c r="N291" s="104"/>
      <c r="O291" s="104"/>
      <c r="P291" s="104"/>
      <c r="Q291" s="127"/>
      <c r="R291" s="104" t="s">
        <v>405</v>
      </c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27"/>
      <c r="AK291" s="98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99"/>
    </row>
    <row r="292" spans="2:61" ht="20.100000000000001" customHeight="1" x14ac:dyDescent="0.45">
      <c r="B292" s="123"/>
      <c r="C292" s="31"/>
      <c r="D292" s="31"/>
      <c r="E292" s="31"/>
      <c r="F292" s="31"/>
      <c r="G292" s="96"/>
      <c r="H292" s="97"/>
      <c r="I292" s="31"/>
      <c r="J292" s="103" t="s">
        <v>283</v>
      </c>
      <c r="K292" s="104"/>
      <c r="L292" s="104"/>
      <c r="M292" s="104"/>
      <c r="N292" s="104"/>
      <c r="O292" s="104"/>
      <c r="P292" s="104"/>
      <c r="Q292" s="127"/>
      <c r="R292" s="104" t="s">
        <v>340</v>
      </c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27"/>
      <c r="AK292" s="98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99"/>
    </row>
    <row r="293" spans="2:61" ht="20.100000000000001" customHeight="1" x14ac:dyDescent="0.45">
      <c r="B293" s="123"/>
      <c r="C293" s="31"/>
      <c r="D293" s="31"/>
      <c r="E293" s="31"/>
      <c r="F293" s="31"/>
      <c r="G293" s="96"/>
      <c r="H293" s="97"/>
      <c r="I293" s="31"/>
      <c r="J293" s="103" t="s">
        <v>285</v>
      </c>
      <c r="K293" s="104"/>
      <c r="L293" s="104"/>
      <c r="M293" s="104"/>
      <c r="N293" s="104"/>
      <c r="O293" s="104"/>
      <c r="P293" s="104"/>
      <c r="Q293" s="127"/>
      <c r="R293" s="104" t="s">
        <v>406</v>
      </c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27"/>
      <c r="AK293" s="98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99"/>
    </row>
    <row r="294" spans="2:61" ht="20.100000000000001" customHeight="1" x14ac:dyDescent="0.45">
      <c r="B294" s="123"/>
      <c r="C294" s="31"/>
      <c r="D294" s="31"/>
      <c r="E294" s="31"/>
      <c r="F294" s="31"/>
      <c r="G294" s="96"/>
      <c r="H294" s="97"/>
      <c r="I294" s="31"/>
      <c r="J294" s="103" t="s">
        <v>287</v>
      </c>
      <c r="K294" s="104"/>
      <c r="L294" s="104"/>
      <c r="M294" s="104"/>
      <c r="N294" s="104"/>
      <c r="O294" s="104"/>
      <c r="P294" s="104"/>
      <c r="Q294" s="127"/>
      <c r="R294" s="104" t="s">
        <v>342</v>
      </c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27"/>
      <c r="AK294" s="98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99"/>
    </row>
    <row r="295" spans="2:61" ht="20.100000000000001" customHeight="1" x14ac:dyDescent="0.45">
      <c r="B295" s="123"/>
      <c r="C295" s="31"/>
      <c r="D295" s="31"/>
      <c r="E295" s="31"/>
      <c r="F295" s="31"/>
      <c r="G295" s="96"/>
      <c r="H295" s="97"/>
      <c r="I295" s="31"/>
      <c r="J295" s="103" t="s">
        <v>289</v>
      </c>
      <c r="K295" s="104"/>
      <c r="L295" s="104"/>
      <c r="M295" s="104"/>
      <c r="N295" s="104"/>
      <c r="O295" s="104"/>
      <c r="P295" s="104"/>
      <c r="Q295" s="127"/>
      <c r="R295" s="160" t="s">
        <v>407</v>
      </c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27"/>
      <c r="AK295" s="98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99"/>
    </row>
    <row r="296" spans="2:61" ht="20.100000000000001" customHeight="1" x14ac:dyDescent="0.45">
      <c r="B296" s="123"/>
      <c r="C296" s="31"/>
      <c r="D296" s="31"/>
      <c r="E296" s="31"/>
      <c r="F296" s="31"/>
      <c r="G296" s="96"/>
      <c r="H296" s="97"/>
      <c r="I296" s="31"/>
      <c r="J296" s="103" t="s">
        <v>200</v>
      </c>
      <c r="K296" s="104"/>
      <c r="L296" s="104"/>
      <c r="M296" s="104"/>
      <c r="N296" s="104"/>
      <c r="O296" s="104"/>
      <c r="P296" s="104"/>
      <c r="Q296" s="127"/>
      <c r="R296" s="104" t="s">
        <v>344</v>
      </c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27"/>
      <c r="AK296" s="98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99"/>
    </row>
    <row r="297" spans="2:61" ht="20.100000000000001" customHeight="1" x14ac:dyDescent="0.45">
      <c r="B297" s="123"/>
      <c r="C297" s="31"/>
      <c r="D297" s="31"/>
      <c r="E297" s="31"/>
      <c r="F297" s="31"/>
      <c r="G297" s="96"/>
      <c r="H297" s="97"/>
      <c r="I297" s="31"/>
      <c r="J297" s="103" t="s">
        <v>292</v>
      </c>
      <c r="K297" s="104"/>
      <c r="L297" s="104"/>
      <c r="M297" s="104"/>
      <c r="N297" s="104"/>
      <c r="O297" s="104"/>
      <c r="P297" s="104"/>
      <c r="Q297" s="127"/>
      <c r="R297" s="104" t="s">
        <v>345</v>
      </c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27"/>
      <c r="AK297" s="98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99"/>
    </row>
    <row r="298" spans="2:61" ht="20.100000000000001" customHeight="1" x14ac:dyDescent="0.45">
      <c r="B298" s="123"/>
      <c r="C298" s="31"/>
      <c r="D298" s="31"/>
      <c r="E298" s="31"/>
      <c r="F298" s="31"/>
      <c r="G298" s="96"/>
      <c r="H298" s="97"/>
      <c r="I298" s="31"/>
      <c r="J298" s="103" t="s">
        <v>294</v>
      </c>
      <c r="K298" s="104"/>
      <c r="L298" s="104"/>
      <c r="M298" s="104"/>
      <c r="N298" s="104"/>
      <c r="O298" s="104"/>
      <c r="P298" s="104"/>
      <c r="Q298" s="127"/>
      <c r="R298" s="104" t="s">
        <v>346</v>
      </c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27"/>
      <c r="AK298" s="98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99"/>
    </row>
    <row r="299" spans="2:61" ht="20.100000000000001" customHeight="1" x14ac:dyDescent="0.45">
      <c r="B299" s="123"/>
      <c r="C299" s="31"/>
      <c r="D299" s="31"/>
      <c r="E299" s="31"/>
      <c r="F299" s="31"/>
      <c r="G299" s="96"/>
      <c r="H299" s="97"/>
      <c r="I299" s="31"/>
      <c r="J299" s="103" t="s">
        <v>296</v>
      </c>
      <c r="K299" s="104"/>
      <c r="L299" s="104"/>
      <c r="M299" s="104"/>
      <c r="N299" s="104"/>
      <c r="O299" s="104"/>
      <c r="P299" s="104"/>
      <c r="Q299" s="127"/>
      <c r="R299" s="104" t="s">
        <v>347</v>
      </c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27"/>
      <c r="AK299" s="98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99"/>
    </row>
    <row r="300" spans="2:61" ht="20.100000000000001" customHeight="1" x14ac:dyDescent="0.45">
      <c r="B300" s="123"/>
      <c r="C300" s="31"/>
      <c r="D300" s="31"/>
      <c r="E300" s="31"/>
      <c r="F300" s="31"/>
      <c r="G300" s="96"/>
      <c r="H300" s="97"/>
      <c r="I300" s="31"/>
      <c r="J300" s="103" t="s">
        <v>298</v>
      </c>
      <c r="K300" s="104"/>
      <c r="L300" s="104"/>
      <c r="M300" s="104"/>
      <c r="N300" s="104"/>
      <c r="O300" s="104"/>
      <c r="P300" s="104"/>
      <c r="Q300" s="127"/>
      <c r="R300" s="104" t="s">
        <v>348</v>
      </c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27"/>
      <c r="AK300" s="98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99"/>
    </row>
    <row r="301" spans="2:61" ht="20.100000000000001" customHeight="1" x14ac:dyDescent="0.45">
      <c r="B301" s="123"/>
      <c r="C301" s="31"/>
      <c r="D301" s="31"/>
      <c r="E301" s="31"/>
      <c r="F301" s="31"/>
      <c r="G301" s="96"/>
      <c r="H301" s="97"/>
      <c r="I301" s="31"/>
      <c r="J301" s="103" t="s">
        <v>300</v>
      </c>
      <c r="K301" s="104"/>
      <c r="L301" s="104"/>
      <c r="M301" s="104"/>
      <c r="N301" s="104"/>
      <c r="O301" s="104"/>
      <c r="P301" s="104"/>
      <c r="Q301" s="127"/>
      <c r="R301" s="104" t="s">
        <v>349</v>
      </c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27"/>
      <c r="AK301" s="98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99"/>
    </row>
    <row r="302" spans="2:61" ht="20.100000000000001" customHeight="1" x14ac:dyDescent="0.45">
      <c r="B302" s="123"/>
      <c r="C302" s="31"/>
      <c r="D302" s="31"/>
      <c r="E302" s="31"/>
      <c r="F302" s="31"/>
      <c r="G302" s="96"/>
      <c r="H302" s="97"/>
      <c r="I302" s="31"/>
      <c r="J302" s="103" t="s">
        <v>302</v>
      </c>
      <c r="K302" s="104"/>
      <c r="L302" s="104"/>
      <c r="M302" s="104"/>
      <c r="N302" s="104"/>
      <c r="O302" s="104"/>
      <c r="P302" s="104"/>
      <c r="Q302" s="127"/>
      <c r="R302" s="104" t="s">
        <v>350</v>
      </c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27"/>
      <c r="AK302" s="98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99"/>
    </row>
    <row r="303" spans="2:61" ht="20.100000000000001" customHeight="1" x14ac:dyDescent="0.45">
      <c r="B303" s="123"/>
      <c r="C303" s="31"/>
      <c r="D303" s="31"/>
      <c r="E303" s="31"/>
      <c r="F303" s="31"/>
      <c r="G303" s="96"/>
      <c r="H303" s="97"/>
      <c r="I303" s="31"/>
      <c r="J303" s="103" t="s">
        <v>304</v>
      </c>
      <c r="K303" s="104"/>
      <c r="L303" s="104"/>
      <c r="M303" s="104"/>
      <c r="N303" s="104"/>
      <c r="O303" s="104"/>
      <c r="P303" s="104"/>
      <c r="Q303" s="127"/>
      <c r="R303" s="104" t="s">
        <v>351</v>
      </c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27"/>
      <c r="AK303" s="98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99"/>
    </row>
    <row r="304" spans="2:61" ht="20.100000000000001" customHeight="1" x14ac:dyDescent="0.45">
      <c r="B304" s="123"/>
      <c r="C304" s="31"/>
      <c r="D304" s="31"/>
      <c r="E304" s="31"/>
      <c r="F304" s="31"/>
      <c r="G304" s="96"/>
      <c r="H304" s="97"/>
      <c r="I304" s="31"/>
      <c r="J304" s="103" t="s">
        <v>306</v>
      </c>
      <c r="K304" s="104"/>
      <c r="L304" s="104"/>
      <c r="M304" s="104"/>
      <c r="N304" s="104"/>
      <c r="O304" s="104"/>
      <c r="P304" s="104"/>
      <c r="Q304" s="127"/>
      <c r="R304" s="104" t="s">
        <v>352</v>
      </c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27"/>
      <c r="AK304" s="98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99"/>
    </row>
    <row r="305" spans="2:61" ht="20.100000000000001" customHeight="1" x14ac:dyDescent="0.45">
      <c r="B305" s="123"/>
      <c r="C305" s="31"/>
      <c r="D305" s="31"/>
      <c r="E305" s="31"/>
      <c r="F305" s="31"/>
      <c r="G305" s="96"/>
      <c r="H305" s="97"/>
      <c r="I305" s="31"/>
      <c r="J305" s="103" t="s">
        <v>308</v>
      </c>
      <c r="K305" s="104"/>
      <c r="L305" s="104"/>
      <c r="M305" s="104"/>
      <c r="N305" s="104"/>
      <c r="O305" s="104"/>
      <c r="P305" s="104"/>
      <c r="Q305" s="127"/>
      <c r="R305" s="104" t="s">
        <v>353</v>
      </c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27"/>
      <c r="AK305" s="98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99"/>
    </row>
    <row r="306" spans="2:61" ht="20.100000000000001" customHeight="1" x14ac:dyDescent="0.45">
      <c r="B306" s="123"/>
      <c r="C306" s="31"/>
      <c r="D306" s="31"/>
      <c r="E306" s="31"/>
      <c r="F306" s="31"/>
      <c r="G306" s="96"/>
      <c r="H306" s="100" t="s">
        <v>52</v>
      </c>
      <c r="I306" s="55"/>
      <c r="J306" s="100" t="s">
        <v>354</v>
      </c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01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102"/>
    </row>
    <row r="307" spans="2:61" ht="20.100000000000001" customHeight="1" x14ac:dyDescent="0.45">
      <c r="B307" s="95"/>
      <c r="C307" s="31"/>
      <c r="D307" s="31"/>
      <c r="E307" s="31"/>
      <c r="F307" s="31"/>
      <c r="G307" s="96"/>
      <c r="H307" s="100" t="s">
        <v>53</v>
      </c>
      <c r="I307" s="55"/>
      <c r="J307" s="161" t="s">
        <v>355</v>
      </c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01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102"/>
    </row>
    <row r="308" spans="2:61" ht="20.100000000000001" customHeight="1" x14ac:dyDescent="0.45">
      <c r="B308" s="95"/>
      <c r="C308" s="31"/>
      <c r="D308" s="31"/>
      <c r="E308" s="31"/>
      <c r="F308" s="31"/>
      <c r="G308" s="96"/>
      <c r="H308" s="100" t="s">
        <v>54</v>
      </c>
      <c r="I308" s="55"/>
      <c r="J308" s="100" t="s">
        <v>359</v>
      </c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01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102"/>
    </row>
    <row r="309" spans="2:61" ht="20.100000000000001" customHeight="1" x14ac:dyDescent="0.45">
      <c r="B309" s="95"/>
      <c r="C309" s="31"/>
      <c r="D309" s="31"/>
      <c r="E309" s="31"/>
      <c r="F309" s="31"/>
      <c r="G309" s="96"/>
      <c r="H309" s="97"/>
      <c r="I309" s="31"/>
      <c r="J309" s="97"/>
      <c r="K309" s="31" t="s">
        <v>360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98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99"/>
    </row>
    <row r="310" spans="2:61" ht="20.100000000000001" customHeight="1" x14ac:dyDescent="0.45">
      <c r="B310" s="95"/>
      <c r="C310" s="31"/>
      <c r="D310" s="31"/>
      <c r="E310" s="31"/>
      <c r="F310" s="31"/>
      <c r="G310" s="96"/>
      <c r="H310" s="97"/>
      <c r="I310" s="31"/>
      <c r="J310" s="97"/>
      <c r="K310" s="31" t="s">
        <v>408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98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99"/>
    </row>
    <row r="311" spans="2:61" ht="20.100000000000001" customHeight="1" x14ac:dyDescent="0.45">
      <c r="B311" s="95"/>
      <c r="C311" s="31"/>
      <c r="D311" s="31"/>
      <c r="E311" s="31"/>
      <c r="F311" s="31"/>
      <c r="G311" s="96"/>
      <c r="H311" s="97"/>
      <c r="I311" s="31"/>
      <c r="J311" s="97"/>
      <c r="K311" s="31" t="s">
        <v>409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98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99"/>
    </row>
    <row r="312" spans="2:61" ht="20.100000000000001" customHeight="1" thickBot="1" x14ac:dyDescent="0.5">
      <c r="B312" s="95"/>
      <c r="C312" s="31"/>
      <c r="D312" s="31"/>
      <c r="E312" s="31"/>
      <c r="F312" s="31"/>
      <c r="G312" s="96"/>
      <c r="H312" s="97"/>
      <c r="I312" s="31"/>
      <c r="J312" s="97"/>
      <c r="K312" s="31"/>
      <c r="L312" s="31" t="s">
        <v>410</v>
      </c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98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99"/>
    </row>
    <row r="313" spans="2:61" ht="20.100000000000001" customHeight="1" x14ac:dyDescent="0.45">
      <c r="B313" s="89" t="s">
        <v>316</v>
      </c>
      <c r="C313" s="90"/>
      <c r="D313" s="90"/>
      <c r="E313" s="90"/>
      <c r="F313" s="90"/>
      <c r="G313" s="91"/>
      <c r="H313" s="92" t="s">
        <v>83</v>
      </c>
      <c r="I313" s="90"/>
      <c r="J313" s="120" t="s">
        <v>186</v>
      </c>
      <c r="K313" s="121"/>
      <c r="L313" s="121"/>
      <c r="M313" s="121"/>
      <c r="N313" s="121"/>
      <c r="O313" s="121"/>
      <c r="P313" s="121"/>
      <c r="Q313" s="122"/>
      <c r="R313" s="121" t="s">
        <v>320</v>
      </c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2"/>
      <c r="AK313" s="93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4"/>
    </row>
    <row r="314" spans="2:61" ht="20.100000000000001" customHeight="1" x14ac:dyDescent="0.45">
      <c r="B314" s="123"/>
      <c r="C314" s="31"/>
      <c r="D314" s="31"/>
      <c r="E314" s="31"/>
      <c r="F314" s="31"/>
      <c r="G314" s="96"/>
      <c r="H314" s="97"/>
      <c r="I314" s="31"/>
      <c r="J314" s="103" t="s">
        <v>243</v>
      </c>
      <c r="K314" s="104"/>
      <c r="L314" s="104"/>
      <c r="M314" s="104"/>
      <c r="N314" s="104"/>
      <c r="O314" s="104"/>
      <c r="P314" s="104"/>
      <c r="Q314" s="127"/>
      <c r="R314" s="160" t="s">
        <v>395</v>
      </c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27"/>
      <c r="AK314" s="98" t="s">
        <v>396</v>
      </c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99"/>
    </row>
    <row r="315" spans="2:61" ht="20.100000000000001" customHeight="1" x14ac:dyDescent="0.45">
      <c r="B315" s="123"/>
      <c r="C315" s="31"/>
      <c r="D315" s="31"/>
      <c r="E315" s="31"/>
      <c r="F315" s="31"/>
      <c r="G315" s="96"/>
      <c r="H315" s="97"/>
      <c r="I315" s="31"/>
      <c r="J315" s="103" t="s">
        <v>246</v>
      </c>
      <c r="K315" s="104"/>
      <c r="L315" s="104"/>
      <c r="M315" s="104"/>
      <c r="N315" s="104"/>
      <c r="O315" s="104"/>
      <c r="P315" s="104"/>
      <c r="Q315" s="127"/>
      <c r="R315" s="160" t="s">
        <v>397</v>
      </c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27"/>
      <c r="AK315" s="98" t="s">
        <v>364</v>
      </c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99"/>
    </row>
    <row r="316" spans="2:61" ht="20.100000000000001" customHeight="1" x14ac:dyDescent="0.45">
      <c r="B316" s="123"/>
      <c r="C316" s="31"/>
      <c r="D316" s="31"/>
      <c r="E316" s="31"/>
      <c r="F316" s="31"/>
      <c r="G316" s="96"/>
      <c r="H316" s="97"/>
      <c r="I316" s="31"/>
      <c r="J316" s="103" t="s">
        <v>249</v>
      </c>
      <c r="K316" s="104"/>
      <c r="L316" s="104"/>
      <c r="M316" s="104"/>
      <c r="N316" s="104"/>
      <c r="O316" s="104"/>
      <c r="P316" s="104"/>
      <c r="Q316" s="127"/>
      <c r="R316" s="104" t="s">
        <v>398</v>
      </c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27"/>
      <c r="AK316" s="98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99"/>
    </row>
    <row r="317" spans="2:61" ht="20.100000000000001" customHeight="1" x14ac:dyDescent="0.45">
      <c r="B317" s="123"/>
      <c r="C317" s="31"/>
      <c r="D317" s="31"/>
      <c r="E317" s="31"/>
      <c r="F317" s="31"/>
      <c r="G317" s="96"/>
      <c r="H317" s="97"/>
      <c r="I317" s="31"/>
      <c r="J317" s="103" t="s">
        <v>251</v>
      </c>
      <c r="K317" s="104"/>
      <c r="L317" s="104"/>
      <c r="M317" s="104"/>
      <c r="N317" s="104"/>
      <c r="O317" s="104"/>
      <c r="P317" s="104"/>
      <c r="Q317" s="127"/>
      <c r="R317" s="104" t="s">
        <v>399</v>
      </c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27"/>
      <c r="AK317" s="98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99"/>
    </row>
    <row r="318" spans="2:61" ht="20.100000000000001" customHeight="1" x14ac:dyDescent="0.45">
      <c r="B318" s="123"/>
      <c r="C318" s="31"/>
      <c r="D318" s="31"/>
      <c r="E318" s="31"/>
      <c r="F318" s="31"/>
      <c r="G318" s="96"/>
      <c r="H318" s="97"/>
      <c r="I318" s="31"/>
      <c r="J318" s="103" t="s">
        <v>253</v>
      </c>
      <c r="K318" s="104"/>
      <c r="L318" s="104"/>
      <c r="M318" s="104"/>
      <c r="N318" s="104"/>
      <c r="O318" s="104"/>
      <c r="P318" s="104"/>
      <c r="Q318" s="127"/>
      <c r="R318" s="104" t="s">
        <v>400</v>
      </c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27"/>
      <c r="AK318" s="98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99"/>
    </row>
    <row r="319" spans="2:61" ht="20.100000000000001" customHeight="1" x14ac:dyDescent="0.45">
      <c r="B319" s="123"/>
      <c r="C319" s="31"/>
      <c r="D319" s="31"/>
      <c r="E319" s="31"/>
      <c r="F319" s="31"/>
      <c r="G319" s="96"/>
      <c r="H319" s="97"/>
      <c r="I319" s="31"/>
      <c r="J319" s="103" t="s">
        <v>255</v>
      </c>
      <c r="K319" s="104"/>
      <c r="L319" s="104"/>
      <c r="M319" s="104"/>
      <c r="N319" s="104"/>
      <c r="O319" s="104"/>
      <c r="P319" s="104"/>
      <c r="Q319" s="127"/>
      <c r="R319" s="104" t="s">
        <v>401</v>
      </c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27"/>
      <c r="AK319" s="98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99"/>
    </row>
    <row r="320" spans="2:61" ht="20.100000000000001" customHeight="1" x14ac:dyDescent="0.45">
      <c r="B320" s="123"/>
      <c r="C320" s="31"/>
      <c r="D320" s="31"/>
      <c r="E320" s="31"/>
      <c r="F320" s="31"/>
      <c r="G320" s="96"/>
      <c r="H320" s="97"/>
      <c r="I320" s="31"/>
      <c r="J320" s="103" t="s">
        <v>257</v>
      </c>
      <c r="K320" s="104"/>
      <c r="L320" s="104"/>
      <c r="M320" s="104"/>
      <c r="N320" s="104"/>
      <c r="O320" s="104"/>
      <c r="P320" s="104"/>
      <c r="Q320" s="127"/>
      <c r="R320" s="104" t="s">
        <v>402</v>
      </c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27"/>
      <c r="AK320" s="98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99"/>
    </row>
    <row r="321" spans="2:61" ht="20.100000000000001" customHeight="1" x14ac:dyDescent="0.45">
      <c r="B321" s="123"/>
      <c r="C321" s="31"/>
      <c r="D321" s="31"/>
      <c r="E321" s="31"/>
      <c r="F321" s="31"/>
      <c r="G321" s="96"/>
      <c r="H321" s="97"/>
      <c r="I321" s="31"/>
      <c r="J321" s="103" t="s">
        <v>259</v>
      </c>
      <c r="K321" s="104"/>
      <c r="L321" s="104"/>
      <c r="M321" s="104"/>
      <c r="N321" s="104"/>
      <c r="O321" s="104"/>
      <c r="P321" s="104"/>
      <c r="Q321" s="127"/>
      <c r="R321" s="104" t="s">
        <v>403</v>
      </c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27"/>
      <c r="AK321" s="98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99"/>
    </row>
    <row r="322" spans="2:61" ht="20.100000000000001" customHeight="1" x14ac:dyDescent="0.45">
      <c r="B322" s="123"/>
      <c r="C322" s="31"/>
      <c r="D322" s="31"/>
      <c r="E322" s="31"/>
      <c r="F322" s="31"/>
      <c r="G322" s="96"/>
      <c r="H322" s="97"/>
      <c r="I322" s="31"/>
      <c r="J322" s="103" t="s">
        <v>261</v>
      </c>
      <c r="K322" s="104"/>
      <c r="L322" s="104"/>
      <c r="M322" s="104"/>
      <c r="N322" s="104"/>
      <c r="O322" s="104"/>
      <c r="P322" s="104"/>
      <c r="Q322" s="127"/>
      <c r="R322" s="104" t="s">
        <v>329</v>
      </c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27"/>
      <c r="AK322" s="98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99"/>
    </row>
    <row r="323" spans="2:61" ht="20.100000000000001" customHeight="1" x14ac:dyDescent="0.45">
      <c r="B323" s="123"/>
      <c r="C323" s="31"/>
      <c r="D323" s="31"/>
      <c r="E323" s="31"/>
      <c r="F323" s="31"/>
      <c r="G323" s="96"/>
      <c r="H323" s="97"/>
      <c r="I323" s="31"/>
      <c r="J323" s="103" t="s">
        <v>263</v>
      </c>
      <c r="K323" s="104"/>
      <c r="L323" s="104"/>
      <c r="M323" s="104"/>
      <c r="N323" s="104"/>
      <c r="O323" s="104"/>
      <c r="P323" s="104"/>
      <c r="Q323" s="127"/>
      <c r="R323" s="104" t="s">
        <v>330</v>
      </c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27"/>
      <c r="AK323" s="98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99"/>
    </row>
    <row r="324" spans="2:61" ht="20.100000000000001" customHeight="1" x14ac:dyDescent="0.45">
      <c r="B324" s="123"/>
      <c r="C324" s="31"/>
      <c r="D324" s="31"/>
      <c r="E324" s="31"/>
      <c r="F324" s="31"/>
      <c r="G324" s="96"/>
      <c r="H324" s="97"/>
      <c r="I324" s="31"/>
      <c r="J324" s="103" t="s">
        <v>265</v>
      </c>
      <c r="K324" s="104"/>
      <c r="L324" s="104"/>
      <c r="M324" s="104"/>
      <c r="N324" s="104"/>
      <c r="O324" s="104"/>
      <c r="P324" s="104"/>
      <c r="Q324" s="127"/>
      <c r="R324" s="104" t="s">
        <v>331</v>
      </c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27"/>
      <c r="AK324" s="98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99"/>
    </row>
    <row r="325" spans="2:61" ht="20.100000000000001" customHeight="1" x14ac:dyDescent="0.45">
      <c r="B325" s="123"/>
      <c r="C325" s="31"/>
      <c r="D325" s="31"/>
      <c r="E325" s="31"/>
      <c r="F325" s="31"/>
      <c r="G325" s="96"/>
      <c r="H325" s="97"/>
      <c r="I325" s="31"/>
      <c r="J325" s="103" t="s">
        <v>267</v>
      </c>
      <c r="K325" s="104"/>
      <c r="L325" s="104"/>
      <c r="M325" s="104"/>
      <c r="N325" s="104"/>
      <c r="O325" s="104"/>
      <c r="P325" s="104"/>
      <c r="Q325" s="127"/>
      <c r="R325" s="104" t="s">
        <v>332</v>
      </c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27"/>
      <c r="AK325" s="98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99"/>
    </row>
    <row r="326" spans="2:61" ht="20.100000000000001" customHeight="1" x14ac:dyDescent="0.45">
      <c r="B326" s="123"/>
      <c r="C326" s="31"/>
      <c r="D326" s="31"/>
      <c r="E326" s="31"/>
      <c r="F326" s="31"/>
      <c r="G326" s="96"/>
      <c r="H326" s="97"/>
      <c r="I326" s="31"/>
      <c r="J326" s="103" t="s">
        <v>269</v>
      </c>
      <c r="K326" s="104"/>
      <c r="L326" s="104"/>
      <c r="M326" s="104"/>
      <c r="N326" s="104"/>
      <c r="O326" s="104"/>
      <c r="P326" s="104"/>
      <c r="Q326" s="127"/>
      <c r="R326" s="104" t="s">
        <v>333</v>
      </c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27"/>
      <c r="AK326" s="98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99"/>
    </row>
    <row r="327" spans="2:61" ht="20.100000000000001" customHeight="1" x14ac:dyDescent="0.45">
      <c r="B327" s="123"/>
      <c r="C327" s="31"/>
      <c r="D327" s="31"/>
      <c r="E327" s="31"/>
      <c r="F327" s="31"/>
      <c r="G327" s="96"/>
      <c r="H327" s="97"/>
      <c r="I327" s="31"/>
      <c r="J327" s="103" t="s">
        <v>271</v>
      </c>
      <c r="K327" s="104"/>
      <c r="L327" s="104"/>
      <c r="M327" s="104"/>
      <c r="N327" s="104"/>
      <c r="O327" s="104"/>
      <c r="P327" s="104"/>
      <c r="Q327" s="127"/>
      <c r="R327" s="104" t="s">
        <v>334</v>
      </c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27"/>
      <c r="AK327" s="98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99"/>
    </row>
    <row r="328" spans="2:61" ht="20.100000000000001" customHeight="1" x14ac:dyDescent="0.45">
      <c r="B328" s="123"/>
      <c r="C328" s="31"/>
      <c r="D328" s="31"/>
      <c r="E328" s="31"/>
      <c r="F328" s="31"/>
      <c r="G328" s="96"/>
      <c r="H328" s="97"/>
      <c r="I328" s="31"/>
      <c r="J328" s="103" t="s">
        <v>273</v>
      </c>
      <c r="K328" s="104"/>
      <c r="L328" s="104"/>
      <c r="M328" s="104"/>
      <c r="N328" s="104"/>
      <c r="O328" s="104"/>
      <c r="P328" s="104"/>
      <c r="Q328" s="127"/>
      <c r="R328" s="104" t="s">
        <v>335</v>
      </c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27"/>
      <c r="AK328" s="98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99"/>
    </row>
    <row r="329" spans="2:61" ht="20.100000000000001" customHeight="1" x14ac:dyDescent="0.45">
      <c r="B329" s="123"/>
      <c r="C329" s="31"/>
      <c r="D329" s="31"/>
      <c r="E329" s="31"/>
      <c r="F329" s="31"/>
      <c r="G329" s="96"/>
      <c r="H329" s="97"/>
      <c r="I329" s="31"/>
      <c r="J329" s="103" t="s">
        <v>275</v>
      </c>
      <c r="K329" s="104"/>
      <c r="L329" s="104"/>
      <c r="M329" s="104"/>
      <c r="N329" s="104"/>
      <c r="O329" s="104"/>
      <c r="P329" s="104"/>
      <c r="Q329" s="127"/>
      <c r="R329" s="104" t="s">
        <v>404</v>
      </c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27"/>
      <c r="AK329" s="98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99"/>
    </row>
    <row r="330" spans="2:61" ht="20.100000000000001" customHeight="1" x14ac:dyDescent="0.45">
      <c r="B330" s="123"/>
      <c r="C330" s="31"/>
      <c r="D330" s="31"/>
      <c r="E330" s="31"/>
      <c r="F330" s="31"/>
      <c r="G330" s="96"/>
      <c r="H330" s="97"/>
      <c r="I330" s="31"/>
      <c r="J330" s="103" t="s">
        <v>277</v>
      </c>
      <c r="K330" s="104"/>
      <c r="L330" s="104"/>
      <c r="M330" s="104"/>
      <c r="N330" s="104"/>
      <c r="O330" s="104"/>
      <c r="P330" s="104"/>
      <c r="Q330" s="127"/>
      <c r="R330" s="104" t="s">
        <v>337</v>
      </c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27"/>
      <c r="AK330" s="98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99"/>
    </row>
    <row r="331" spans="2:61" ht="20.100000000000001" customHeight="1" x14ac:dyDescent="0.45">
      <c r="B331" s="123"/>
      <c r="C331" s="31"/>
      <c r="D331" s="31"/>
      <c r="E331" s="31"/>
      <c r="F331" s="31"/>
      <c r="G331" s="96"/>
      <c r="H331" s="97"/>
      <c r="I331" s="31"/>
      <c r="J331" s="103" t="s">
        <v>279</v>
      </c>
      <c r="K331" s="104"/>
      <c r="L331" s="104"/>
      <c r="M331" s="104"/>
      <c r="N331" s="104"/>
      <c r="O331" s="104"/>
      <c r="P331" s="104"/>
      <c r="Q331" s="127"/>
      <c r="R331" s="104" t="s">
        <v>338</v>
      </c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27"/>
      <c r="AK331" s="98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99"/>
    </row>
    <row r="332" spans="2:61" ht="20.100000000000001" customHeight="1" x14ac:dyDescent="0.45">
      <c r="B332" s="123"/>
      <c r="C332" s="31"/>
      <c r="D332" s="31"/>
      <c r="E332" s="31"/>
      <c r="F332" s="31"/>
      <c r="G332" s="96"/>
      <c r="H332" s="97"/>
      <c r="I332" s="31"/>
      <c r="J332" s="103" t="s">
        <v>281</v>
      </c>
      <c r="K332" s="104"/>
      <c r="L332" s="104"/>
      <c r="M332" s="104"/>
      <c r="N332" s="104"/>
      <c r="O332" s="104"/>
      <c r="P332" s="104"/>
      <c r="Q332" s="127"/>
      <c r="R332" s="104" t="s">
        <v>405</v>
      </c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27"/>
      <c r="AK332" s="98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99"/>
    </row>
    <row r="333" spans="2:61" ht="20.100000000000001" customHeight="1" x14ac:dyDescent="0.45">
      <c r="B333" s="123"/>
      <c r="C333" s="31"/>
      <c r="D333" s="31"/>
      <c r="E333" s="31"/>
      <c r="F333" s="31"/>
      <c r="G333" s="96"/>
      <c r="H333" s="97"/>
      <c r="I333" s="31"/>
      <c r="J333" s="103" t="s">
        <v>283</v>
      </c>
      <c r="K333" s="104"/>
      <c r="L333" s="104"/>
      <c r="M333" s="104"/>
      <c r="N333" s="104"/>
      <c r="O333" s="104"/>
      <c r="P333" s="104"/>
      <c r="Q333" s="127"/>
      <c r="R333" s="104" t="s">
        <v>340</v>
      </c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27"/>
      <c r="AK333" s="98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99"/>
    </row>
    <row r="334" spans="2:61" ht="20.100000000000001" customHeight="1" x14ac:dyDescent="0.45">
      <c r="B334" s="123"/>
      <c r="C334" s="31"/>
      <c r="D334" s="31"/>
      <c r="E334" s="31"/>
      <c r="F334" s="31"/>
      <c r="G334" s="96"/>
      <c r="H334" s="97"/>
      <c r="I334" s="31"/>
      <c r="J334" s="103" t="s">
        <v>285</v>
      </c>
      <c r="K334" s="104"/>
      <c r="L334" s="104"/>
      <c r="M334" s="104"/>
      <c r="N334" s="104"/>
      <c r="O334" s="104"/>
      <c r="P334" s="104"/>
      <c r="Q334" s="127"/>
      <c r="R334" s="104" t="s">
        <v>406</v>
      </c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27"/>
      <c r="AK334" s="98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99"/>
    </row>
    <row r="335" spans="2:61" ht="20.100000000000001" customHeight="1" x14ac:dyDescent="0.45">
      <c r="B335" s="123"/>
      <c r="C335" s="31"/>
      <c r="D335" s="31"/>
      <c r="E335" s="31"/>
      <c r="F335" s="31"/>
      <c r="G335" s="96"/>
      <c r="H335" s="97"/>
      <c r="I335" s="31"/>
      <c r="J335" s="103" t="s">
        <v>287</v>
      </c>
      <c r="K335" s="104"/>
      <c r="L335" s="104"/>
      <c r="M335" s="104"/>
      <c r="N335" s="104"/>
      <c r="O335" s="104"/>
      <c r="P335" s="104"/>
      <c r="Q335" s="127"/>
      <c r="R335" s="104" t="s">
        <v>342</v>
      </c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27"/>
      <c r="AK335" s="98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99"/>
    </row>
    <row r="336" spans="2:61" ht="20.100000000000001" customHeight="1" x14ac:dyDescent="0.45">
      <c r="B336" s="123"/>
      <c r="C336" s="31"/>
      <c r="D336" s="31"/>
      <c r="E336" s="31"/>
      <c r="F336" s="31"/>
      <c r="G336" s="96"/>
      <c r="H336" s="97"/>
      <c r="I336" s="31"/>
      <c r="J336" s="103" t="s">
        <v>289</v>
      </c>
      <c r="K336" s="104"/>
      <c r="L336" s="104"/>
      <c r="M336" s="104"/>
      <c r="N336" s="104"/>
      <c r="O336" s="104"/>
      <c r="P336" s="104"/>
      <c r="Q336" s="127"/>
      <c r="R336" s="160" t="s">
        <v>407</v>
      </c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27"/>
      <c r="AK336" s="98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99"/>
    </row>
    <row r="337" spans="2:61" ht="20.100000000000001" customHeight="1" x14ac:dyDescent="0.45">
      <c r="B337" s="123"/>
      <c r="C337" s="31"/>
      <c r="D337" s="31"/>
      <c r="E337" s="31"/>
      <c r="F337" s="31"/>
      <c r="G337" s="96"/>
      <c r="H337" s="97"/>
      <c r="I337" s="31"/>
      <c r="J337" s="103" t="s">
        <v>200</v>
      </c>
      <c r="K337" s="104"/>
      <c r="L337" s="104"/>
      <c r="M337" s="104"/>
      <c r="N337" s="104"/>
      <c r="O337" s="104"/>
      <c r="P337" s="104"/>
      <c r="Q337" s="127"/>
      <c r="R337" s="104" t="s">
        <v>344</v>
      </c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27"/>
      <c r="AK337" s="98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99"/>
    </row>
    <row r="338" spans="2:61" ht="20.100000000000001" customHeight="1" x14ac:dyDescent="0.45">
      <c r="B338" s="123"/>
      <c r="C338" s="31"/>
      <c r="D338" s="31"/>
      <c r="E338" s="31"/>
      <c r="F338" s="31"/>
      <c r="G338" s="96"/>
      <c r="H338" s="97"/>
      <c r="I338" s="31"/>
      <c r="J338" s="103" t="s">
        <v>292</v>
      </c>
      <c r="K338" s="104"/>
      <c r="L338" s="104"/>
      <c r="M338" s="104"/>
      <c r="N338" s="104"/>
      <c r="O338" s="104"/>
      <c r="P338" s="104"/>
      <c r="Q338" s="127"/>
      <c r="R338" s="104" t="s">
        <v>345</v>
      </c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27"/>
      <c r="AK338" s="98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99"/>
    </row>
    <row r="339" spans="2:61" ht="20.100000000000001" customHeight="1" x14ac:dyDescent="0.45">
      <c r="B339" s="123"/>
      <c r="C339" s="31"/>
      <c r="D339" s="31"/>
      <c r="E339" s="31"/>
      <c r="F339" s="31"/>
      <c r="G339" s="96"/>
      <c r="H339" s="97"/>
      <c r="I339" s="31"/>
      <c r="J339" s="103" t="s">
        <v>294</v>
      </c>
      <c r="K339" s="104"/>
      <c r="L339" s="104"/>
      <c r="M339" s="104"/>
      <c r="N339" s="104"/>
      <c r="O339" s="104"/>
      <c r="P339" s="104"/>
      <c r="Q339" s="127"/>
      <c r="R339" s="104" t="s">
        <v>346</v>
      </c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27"/>
      <c r="AK339" s="98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99"/>
    </row>
    <row r="340" spans="2:61" ht="20.100000000000001" customHeight="1" x14ac:dyDescent="0.45">
      <c r="B340" s="123"/>
      <c r="C340" s="31"/>
      <c r="D340" s="31"/>
      <c r="E340" s="31"/>
      <c r="F340" s="31"/>
      <c r="G340" s="96"/>
      <c r="H340" s="97"/>
      <c r="I340" s="31"/>
      <c r="J340" s="103" t="s">
        <v>296</v>
      </c>
      <c r="K340" s="104"/>
      <c r="L340" s="104"/>
      <c r="M340" s="104"/>
      <c r="N340" s="104"/>
      <c r="O340" s="104"/>
      <c r="P340" s="104"/>
      <c r="Q340" s="127"/>
      <c r="R340" s="104" t="s">
        <v>347</v>
      </c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27"/>
      <c r="AK340" s="98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99"/>
    </row>
    <row r="341" spans="2:61" ht="20.100000000000001" customHeight="1" x14ac:dyDescent="0.45">
      <c r="B341" s="123"/>
      <c r="C341" s="31"/>
      <c r="D341" s="31"/>
      <c r="E341" s="31"/>
      <c r="F341" s="31"/>
      <c r="G341" s="96"/>
      <c r="H341" s="97"/>
      <c r="I341" s="31"/>
      <c r="J341" s="103" t="s">
        <v>298</v>
      </c>
      <c r="K341" s="104"/>
      <c r="L341" s="104"/>
      <c r="M341" s="104"/>
      <c r="N341" s="104"/>
      <c r="O341" s="104"/>
      <c r="P341" s="104"/>
      <c r="Q341" s="127"/>
      <c r="R341" s="104" t="s">
        <v>348</v>
      </c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27"/>
      <c r="AK341" s="98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99"/>
    </row>
    <row r="342" spans="2:61" ht="20.100000000000001" customHeight="1" x14ac:dyDescent="0.45">
      <c r="B342" s="123"/>
      <c r="C342" s="31"/>
      <c r="D342" s="31"/>
      <c r="E342" s="31"/>
      <c r="F342" s="31"/>
      <c r="G342" s="96"/>
      <c r="H342" s="97"/>
      <c r="I342" s="31"/>
      <c r="J342" s="103" t="s">
        <v>300</v>
      </c>
      <c r="K342" s="104"/>
      <c r="L342" s="104"/>
      <c r="M342" s="104"/>
      <c r="N342" s="104"/>
      <c r="O342" s="104"/>
      <c r="P342" s="104"/>
      <c r="Q342" s="127"/>
      <c r="R342" s="104" t="s">
        <v>349</v>
      </c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27"/>
      <c r="AK342" s="98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99"/>
    </row>
    <row r="343" spans="2:61" ht="20.100000000000001" customHeight="1" x14ac:dyDescent="0.45">
      <c r="B343" s="123"/>
      <c r="C343" s="31"/>
      <c r="D343" s="31"/>
      <c r="E343" s="31"/>
      <c r="F343" s="31"/>
      <c r="G343" s="96"/>
      <c r="H343" s="97"/>
      <c r="I343" s="31"/>
      <c r="J343" s="103" t="s">
        <v>302</v>
      </c>
      <c r="K343" s="104"/>
      <c r="L343" s="104"/>
      <c r="M343" s="104"/>
      <c r="N343" s="104"/>
      <c r="O343" s="104"/>
      <c r="P343" s="104"/>
      <c r="Q343" s="127"/>
      <c r="R343" s="104" t="s">
        <v>350</v>
      </c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27"/>
      <c r="AK343" s="98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99"/>
    </row>
    <row r="344" spans="2:61" ht="20.100000000000001" customHeight="1" x14ac:dyDescent="0.45">
      <c r="B344" s="123"/>
      <c r="C344" s="31"/>
      <c r="D344" s="31"/>
      <c r="E344" s="31"/>
      <c r="F344" s="31"/>
      <c r="G344" s="96"/>
      <c r="H344" s="97"/>
      <c r="I344" s="31"/>
      <c r="J344" s="103" t="s">
        <v>304</v>
      </c>
      <c r="K344" s="104"/>
      <c r="L344" s="104"/>
      <c r="M344" s="104"/>
      <c r="N344" s="104"/>
      <c r="O344" s="104"/>
      <c r="P344" s="104"/>
      <c r="Q344" s="127"/>
      <c r="R344" s="104" t="s">
        <v>351</v>
      </c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27"/>
      <c r="AK344" s="98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99"/>
    </row>
    <row r="345" spans="2:61" ht="20.100000000000001" customHeight="1" x14ac:dyDescent="0.45">
      <c r="B345" s="123"/>
      <c r="C345" s="31"/>
      <c r="D345" s="31"/>
      <c r="E345" s="31"/>
      <c r="F345" s="31"/>
      <c r="G345" s="96"/>
      <c r="H345" s="97"/>
      <c r="I345" s="31"/>
      <c r="J345" s="103" t="s">
        <v>306</v>
      </c>
      <c r="K345" s="104"/>
      <c r="L345" s="104"/>
      <c r="M345" s="104"/>
      <c r="N345" s="104"/>
      <c r="O345" s="104"/>
      <c r="P345" s="104"/>
      <c r="Q345" s="127"/>
      <c r="R345" s="104" t="s">
        <v>352</v>
      </c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27"/>
      <c r="AK345" s="98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99"/>
    </row>
    <row r="346" spans="2:61" ht="20.100000000000001" customHeight="1" x14ac:dyDescent="0.45">
      <c r="B346" s="123"/>
      <c r="C346" s="31"/>
      <c r="D346" s="31"/>
      <c r="E346" s="31"/>
      <c r="F346" s="31"/>
      <c r="G346" s="96"/>
      <c r="H346" s="97"/>
      <c r="I346" s="31"/>
      <c r="J346" s="103" t="s">
        <v>308</v>
      </c>
      <c r="K346" s="104"/>
      <c r="L346" s="104"/>
      <c r="M346" s="104"/>
      <c r="N346" s="104"/>
      <c r="O346" s="104"/>
      <c r="P346" s="104"/>
      <c r="Q346" s="127"/>
      <c r="R346" s="104" t="s">
        <v>353</v>
      </c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27"/>
      <c r="AK346" s="98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99"/>
    </row>
    <row r="347" spans="2:61" ht="20.100000000000001" customHeight="1" x14ac:dyDescent="0.45">
      <c r="B347" s="123"/>
      <c r="C347" s="31"/>
      <c r="D347" s="31"/>
      <c r="E347" s="31"/>
      <c r="F347" s="31"/>
      <c r="G347" s="96"/>
      <c r="H347" s="100" t="s">
        <v>52</v>
      </c>
      <c r="I347" s="55"/>
      <c r="J347" s="100" t="s">
        <v>354</v>
      </c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101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102"/>
    </row>
    <row r="348" spans="2:61" ht="20.100000000000001" customHeight="1" x14ac:dyDescent="0.45">
      <c r="B348" s="95"/>
      <c r="C348" s="31"/>
      <c r="D348" s="31"/>
      <c r="E348" s="31"/>
      <c r="F348" s="31"/>
      <c r="G348" s="96"/>
      <c r="H348" s="100" t="s">
        <v>53</v>
      </c>
      <c r="I348" s="55"/>
      <c r="J348" s="161" t="s">
        <v>355</v>
      </c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101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102"/>
    </row>
    <row r="349" spans="2:61" ht="20.100000000000001" customHeight="1" x14ac:dyDescent="0.45">
      <c r="B349" s="95"/>
      <c r="C349" s="31"/>
      <c r="D349" s="31"/>
      <c r="E349" s="31"/>
      <c r="F349" s="31"/>
      <c r="G349" s="96"/>
      <c r="H349" s="100" t="s">
        <v>54</v>
      </c>
      <c r="I349" s="55"/>
      <c r="J349" s="100" t="s">
        <v>359</v>
      </c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101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102"/>
    </row>
    <row r="350" spans="2:61" ht="20.100000000000001" customHeight="1" x14ac:dyDescent="0.45">
      <c r="B350" s="95"/>
      <c r="C350" s="31"/>
      <c r="D350" s="31"/>
      <c r="E350" s="31"/>
      <c r="F350" s="31"/>
      <c r="G350" s="96"/>
      <c r="H350" s="97"/>
      <c r="I350" s="31"/>
      <c r="J350" s="97" t="s">
        <v>365</v>
      </c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98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99"/>
    </row>
    <row r="351" spans="2:61" ht="20.100000000000001" customHeight="1" x14ac:dyDescent="0.45">
      <c r="B351" s="95"/>
      <c r="C351" s="31"/>
      <c r="D351" s="31"/>
      <c r="E351" s="31"/>
      <c r="F351" s="31"/>
      <c r="G351" s="96"/>
      <c r="H351" s="97"/>
      <c r="I351" s="31"/>
      <c r="J351" s="97" t="s">
        <v>366</v>
      </c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98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99"/>
    </row>
    <row r="352" spans="2:61" ht="20.100000000000001" customHeight="1" x14ac:dyDescent="0.45">
      <c r="B352" s="95"/>
      <c r="C352" s="31"/>
      <c r="D352" s="31"/>
      <c r="E352" s="31"/>
      <c r="F352" s="31"/>
      <c r="G352" s="96"/>
      <c r="H352" s="97"/>
      <c r="I352" s="31"/>
      <c r="J352" s="97"/>
      <c r="K352" s="31" t="s">
        <v>411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98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99"/>
    </row>
    <row r="353" spans="2:61" ht="20.100000000000001" customHeight="1" x14ac:dyDescent="0.45">
      <c r="B353" s="95"/>
      <c r="C353" s="31"/>
      <c r="D353" s="31"/>
      <c r="E353" s="31"/>
      <c r="F353" s="31"/>
      <c r="G353" s="96"/>
      <c r="H353" s="97"/>
      <c r="I353" s="31"/>
      <c r="J353" s="97"/>
      <c r="K353" s="31" t="s">
        <v>368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98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99"/>
    </row>
    <row r="354" spans="2:61" ht="20.100000000000001" customHeight="1" x14ac:dyDescent="0.45">
      <c r="B354" s="95"/>
      <c r="C354" s="31"/>
      <c r="D354" s="31"/>
      <c r="E354" s="31"/>
      <c r="F354" s="31"/>
      <c r="G354" s="96"/>
      <c r="H354" s="97"/>
      <c r="I354" s="31"/>
      <c r="J354" s="97" t="s">
        <v>366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98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99"/>
    </row>
    <row r="355" spans="2:61" ht="20.100000000000001" customHeight="1" x14ac:dyDescent="0.45">
      <c r="B355" s="95"/>
      <c r="C355" s="31"/>
      <c r="D355" s="31"/>
      <c r="E355" s="31"/>
      <c r="F355" s="31"/>
      <c r="G355" s="96"/>
      <c r="H355" s="97"/>
      <c r="I355" s="31"/>
      <c r="J355" s="97"/>
      <c r="K355" s="31" t="s">
        <v>412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98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99"/>
    </row>
    <row r="356" spans="2:61" ht="20.100000000000001" customHeight="1" x14ac:dyDescent="0.45">
      <c r="B356" s="95"/>
      <c r="C356" s="31"/>
      <c r="D356" s="31"/>
      <c r="E356" s="31"/>
      <c r="F356" s="31"/>
      <c r="G356" s="96"/>
      <c r="H356" s="97"/>
      <c r="I356" s="31"/>
      <c r="J356" s="97"/>
      <c r="K356" s="31" t="s">
        <v>413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98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99"/>
    </row>
    <row r="357" spans="2:61" ht="20.100000000000001" customHeight="1" x14ac:dyDescent="0.45">
      <c r="B357" s="95"/>
      <c r="C357" s="31"/>
      <c r="D357" s="31"/>
      <c r="E357" s="31"/>
      <c r="F357" s="31"/>
      <c r="G357" s="96"/>
      <c r="H357" s="97"/>
      <c r="I357" s="31"/>
      <c r="J357" s="97" t="s">
        <v>366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98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99"/>
    </row>
    <row r="358" spans="2:61" ht="20.100000000000001" customHeight="1" x14ac:dyDescent="0.45">
      <c r="B358" s="95"/>
      <c r="C358" s="31"/>
      <c r="D358" s="31"/>
      <c r="E358" s="31"/>
      <c r="F358" s="31"/>
      <c r="G358" s="96"/>
      <c r="H358" s="97"/>
      <c r="I358" s="31"/>
      <c r="J358" s="97"/>
      <c r="K358" s="31" t="s">
        <v>414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98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99"/>
    </row>
    <row r="359" spans="2:61" ht="20.100000000000001" customHeight="1" thickBot="1" x14ac:dyDescent="0.5">
      <c r="B359" s="95"/>
      <c r="C359" s="31"/>
      <c r="D359" s="31"/>
      <c r="E359" s="31"/>
      <c r="F359" s="31"/>
      <c r="G359" s="96"/>
      <c r="H359" s="97"/>
      <c r="I359" s="31"/>
      <c r="J359" s="97"/>
      <c r="K359" s="31" t="s">
        <v>413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98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99"/>
    </row>
    <row r="360" spans="2:61" ht="20.100000000000001" customHeight="1" x14ac:dyDescent="0.45">
      <c r="B360" s="89" t="s">
        <v>411</v>
      </c>
      <c r="C360" s="90"/>
      <c r="D360" s="90"/>
      <c r="E360" s="90"/>
      <c r="F360" s="90"/>
      <c r="G360" s="91"/>
      <c r="H360" s="92" t="s">
        <v>83</v>
      </c>
      <c r="I360" s="90"/>
      <c r="J360" s="120" t="s">
        <v>275</v>
      </c>
      <c r="K360" s="121"/>
      <c r="L360" s="121"/>
      <c r="M360" s="121"/>
      <c r="N360" s="121"/>
      <c r="O360" s="121"/>
      <c r="P360" s="121"/>
      <c r="Q360" s="122"/>
      <c r="R360" s="121" t="s">
        <v>372</v>
      </c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2"/>
      <c r="AK360" s="93" t="s">
        <v>373</v>
      </c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4"/>
    </row>
    <row r="361" spans="2:61" ht="20.100000000000001" customHeight="1" x14ac:dyDescent="0.45">
      <c r="B361" s="123"/>
      <c r="C361" s="31"/>
      <c r="D361" s="31"/>
      <c r="E361" s="31"/>
      <c r="F361" s="31"/>
      <c r="G361" s="96"/>
      <c r="H361" s="100" t="s">
        <v>52</v>
      </c>
      <c r="I361" s="55"/>
      <c r="J361" s="100" t="s">
        <v>374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101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102"/>
    </row>
    <row r="362" spans="2:61" ht="20.100000000000001" customHeight="1" x14ac:dyDescent="0.45">
      <c r="B362" s="95"/>
      <c r="C362" s="31"/>
      <c r="D362" s="31"/>
      <c r="E362" s="31"/>
      <c r="F362" s="31"/>
      <c r="G362" s="96"/>
      <c r="H362" s="100" t="s">
        <v>53</v>
      </c>
      <c r="I362" s="55"/>
      <c r="J362" s="161" t="s">
        <v>375</v>
      </c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101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102"/>
    </row>
    <row r="363" spans="2:61" ht="20.100000000000001" customHeight="1" x14ac:dyDescent="0.45">
      <c r="B363" s="95"/>
      <c r="C363" s="31"/>
      <c r="D363" s="31"/>
      <c r="E363" s="31"/>
      <c r="F363" s="31"/>
      <c r="G363" s="96"/>
      <c r="H363" s="100" t="s">
        <v>54</v>
      </c>
      <c r="I363" s="55"/>
      <c r="J363" s="100" t="s">
        <v>376</v>
      </c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101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102"/>
    </row>
    <row r="364" spans="2:61" ht="20.100000000000001" customHeight="1" x14ac:dyDescent="0.45">
      <c r="B364" s="95"/>
      <c r="C364" s="31"/>
      <c r="D364" s="31"/>
      <c r="E364" s="31"/>
      <c r="F364" s="31"/>
      <c r="G364" s="96"/>
      <c r="H364" s="97"/>
      <c r="I364" s="31"/>
      <c r="J364" s="97"/>
      <c r="K364" s="31" t="s">
        <v>377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98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99"/>
    </row>
    <row r="365" spans="2:61" ht="20.100000000000001" customHeight="1" x14ac:dyDescent="0.45">
      <c r="B365" s="95"/>
      <c r="C365" s="31"/>
      <c r="D365" s="31"/>
      <c r="E365" s="31"/>
      <c r="F365" s="31"/>
      <c r="G365" s="96"/>
      <c r="H365" s="97"/>
      <c r="I365" s="31"/>
      <c r="J365" s="97"/>
      <c r="K365" s="31" t="s">
        <v>379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98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99"/>
    </row>
    <row r="366" spans="2:61" ht="20.100000000000001" customHeight="1" thickBot="1" x14ac:dyDescent="0.5">
      <c r="B366" s="95"/>
      <c r="C366" s="31"/>
      <c r="D366" s="31"/>
      <c r="E366" s="31"/>
      <c r="F366" s="31"/>
      <c r="G366" s="96"/>
      <c r="H366" s="100" t="s">
        <v>233</v>
      </c>
      <c r="I366" s="55"/>
      <c r="J366" s="100" t="s">
        <v>380</v>
      </c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101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102"/>
    </row>
    <row r="367" spans="2:61" ht="20.100000000000001" customHeight="1" x14ac:dyDescent="0.45">
      <c r="B367" s="89" t="s">
        <v>412</v>
      </c>
      <c r="C367" s="90"/>
      <c r="D367" s="90"/>
      <c r="E367" s="90"/>
      <c r="F367" s="90"/>
      <c r="G367" s="91"/>
      <c r="H367" s="92" t="s">
        <v>83</v>
      </c>
      <c r="I367" s="90"/>
      <c r="J367" s="120" t="s">
        <v>300</v>
      </c>
      <c r="K367" s="121"/>
      <c r="L367" s="121"/>
      <c r="M367" s="121"/>
      <c r="N367" s="121"/>
      <c r="O367" s="121"/>
      <c r="P367" s="121"/>
      <c r="Q367" s="122"/>
      <c r="R367" s="121" t="s">
        <v>381</v>
      </c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2"/>
      <c r="AK367" s="93" t="s">
        <v>382</v>
      </c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4"/>
    </row>
    <row r="368" spans="2:61" ht="20.100000000000001" customHeight="1" x14ac:dyDescent="0.45">
      <c r="B368" s="123"/>
      <c r="C368" s="31"/>
      <c r="D368" s="31"/>
      <c r="E368" s="31"/>
      <c r="F368" s="31"/>
      <c r="G368" s="96"/>
      <c r="H368" s="100" t="s">
        <v>52</v>
      </c>
      <c r="I368" s="55"/>
      <c r="J368" s="100" t="s">
        <v>374</v>
      </c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101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102"/>
    </row>
    <row r="369" spans="2:61" ht="20.100000000000001" customHeight="1" x14ac:dyDescent="0.45">
      <c r="B369" s="95"/>
      <c r="C369" s="31"/>
      <c r="D369" s="31"/>
      <c r="E369" s="31"/>
      <c r="F369" s="31"/>
      <c r="G369" s="96"/>
      <c r="H369" s="100" t="s">
        <v>54</v>
      </c>
      <c r="I369" s="55"/>
      <c r="J369" s="100" t="s">
        <v>383</v>
      </c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101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102"/>
    </row>
    <row r="370" spans="2:61" ht="20.100000000000001" customHeight="1" x14ac:dyDescent="0.45">
      <c r="B370" s="95"/>
      <c r="C370" s="31"/>
      <c r="D370" s="31"/>
      <c r="E370" s="31"/>
      <c r="F370" s="31"/>
      <c r="G370" s="96"/>
      <c r="H370" s="97"/>
      <c r="I370" s="31"/>
      <c r="J370" s="97"/>
      <c r="K370" s="31" t="s">
        <v>377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98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99"/>
    </row>
    <row r="371" spans="2:61" ht="20.100000000000001" customHeight="1" x14ac:dyDescent="0.45">
      <c r="B371" s="95"/>
      <c r="C371" s="31"/>
      <c r="D371" s="31"/>
      <c r="E371" s="31"/>
      <c r="F371" s="31"/>
      <c r="G371" s="96"/>
      <c r="H371" s="97"/>
      <c r="I371" s="31"/>
      <c r="J371" s="97"/>
      <c r="K371" s="31" t="s">
        <v>379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98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99"/>
    </row>
    <row r="372" spans="2:61" ht="20.100000000000001" customHeight="1" thickBot="1" x14ac:dyDescent="0.5">
      <c r="B372" s="95"/>
      <c r="C372" s="31"/>
      <c r="D372" s="31"/>
      <c r="E372" s="31"/>
      <c r="F372" s="31"/>
      <c r="G372" s="96"/>
      <c r="H372" s="100" t="s">
        <v>233</v>
      </c>
      <c r="I372" s="55"/>
      <c r="J372" s="100" t="s">
        <v>380</v>
      </c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101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102"/>
    </row>
    <row r="373" spans="2:61" ht="20.100000000000001" customHeight="1" x14ac:dyDescent="0.45">
      <c r="B373" s="89" t="s">
        <v>414</v>
      </c>
      <c r="C373" s="90"/>
      <c r="D373" s="90"/>
      <c r="E373" s="90"/>
      <c r="F373" s="90"/>
      <c r="G373" s="91"/>
      <c r="H373" s="92" t="s">
        <v>83</v>
      </c>
      <c r="I373" s="90"/>
      <c r="J373" s="120" t="s">
        <v>302</v>
      </c>
      <c r="K373" s="121"/>
      <c r="L373" s="121"/>
      <c r="M373" s="121"/>
      <c r="N373" s="121"/>
      <c r="O373" s="121"/>
      <c r="P373" s="121"/>
      <c r="Q373" s="122"/>
      <c r="R373" s="121" t="s">
        <v>385</v>
      </c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2"/>
      <c r="AK373" s="93" t="s">
        <v>386</v>
      </c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4"/>
    </row>
    <row r="374" spans="2:61" ht="20.100000000000001" customHeight="1" x14ac:dyDescent="0.45">
      <c r="B374" s="123"/>
      <c r="C374" s="31"/>
      <c r="D374" s="31"/>
      <c r="E374" s="31"/>
      <c r="F374" s="31"/>
      <c r="G374" s="96"/>
      <c r="H374" s="100" t="s">
        <v>52</v>
      </c>
      <c r="I374" s="55"/>
      <c r="J374" s="100" t="s">
        <v>374</v>
      </c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101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102"/>
    </row>
    <row r="375" spans="2:61" ht="20.100000000000001" customHeight="1" x14ac:dyDescent="0.45">
      <c r="B375" s="95"/>
      <c r="C375" s="31"/>
      <c r="D375" s="31"/>
      <c r="E375" s="31"/>
      <c r="F375" s="31"/>
      <c r="G375" s="96"/>
      <c r="H375" s="100" t="s">
        <v>54</v>
      </c>
      <c r="I375" s="55"/>
      <c r="J375" s="100" t="s">
        <v>376</v>
      </c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101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102"/>
    </row>
    <row r="376" spans="2:61" ht="20.100000000000001" customHeight="1" x14ac:dyDescent="0.45">
      <c r="B376" s="95"/>
      <c r="C376" s="31"/>
      <c r="D376" s="31"/>
      <c r="E376" s="31"/>
      <c r="F376" s="31"/>
      <c r="G376" s="96"/>
      <c r="H376" s="97"/>
      <c r="I376" s="31"/>
      <c r="J376" s="97"/>
      <c r="K376" s="31" t="s">
        <v>377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98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99"/>
    </row>
    <row r="377" spans="2:61" ht="20.100000000000001" customHeight="1" x14ac:dyDescent="0.45">
      <c r="B377" s="95"/>
      <c r="C377" s="31"/>
      <c r="D377" s="31"/>
      <c r="E377" s="31"/>
      <c r="F377" s="31"/>
      <c r="G377" s="96"/>
      <c r="H377" s="97"/>
      <c r="I377" s="31"/>
      <c r="J377" s="97"/>
      <c r="K377" s="31" t="s">
        <v>379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98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99"/>
    </row>
    <row r="378" spans="2:61" ht="20.100000000000001" customHeight="1" thickBot="1" x14ac:dyDescent="0.5">
      <c r="B378" s="95"/>
      <c r="C378" s="31"/>
      <c r="D378" s="31"/>
      <c r="E378" s="31"/>
      <c r="F378" s="31"/>
      <c r="G378" s="96"/>
      <c r="H378" s="100" t="s">
        <v>233</v>
      </c>
      <c r="I378" s="55"/>
      <c r="J378" s="100" t="s">
        <v>380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101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102"/>
    </row>
    <row r="379" spans="2:61" ht="20.100000000000001" customHeight="1" x14ac:dyDescent="0.45">
      <c r="B379" s="89" t="s">
        <v>317</v>
      </c>
      <c r="C379" s="90"/>
      <c r="D379" s="90"/>
      <c r="E379" s="90"/>
      <c r="F379" s="90"/>
      <c r="G379" s="91"/>
      <c r="H379" s="92" t="s">
        <v>83</v>
      </c>
      <c r="I379" s="90"/>
      <c r="J379" s="120" t="s">
        <v>186</v>
      </c>
      <c r="K379" s="121"/>
      <c r="L379" s="121"/>
      <c r="M379" s="121"/>
      <c r="N379" s="121"/>
      <c r="O379" s="121"/>
      <c r="P379" s="121"/>
      <c r="Q379" s="122"/>
      <c r="R379" s="121" t="s">
        <v>320</v>
      </c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2"/>
      <c r="AK379" s="93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4"/>
    </row>
    <row r="380" spans="2:61" ht="20.100000000000001" customHeight="1" x14ac:dyDescent="0.45">
      <c r="B380" s="123"/>
      <c r="C380" s="31"/>
      <c r="D380" s="31"/>
      <c r="E380" s="31"/>
      <c r="F380" s="31"/>
      <c r="G380" s="96"/>
      <c r="H380" s="97"/>
      <c r="I380" s="31"/>
      <c r="J380" s="103" t="s">
        <v>243</v>
      </c>
      <c r="K380" s="104"/>
      <c r="L380" s="104"/>
      <c r="M380" s="104"/>
      <c r="N380" s="104"/>
      <c r="O380" s="104"/>
      <c r="P380" s="104"/>
      <c r="Q380" s="127"/>
      <c r="R380" s="160" t="s">
        <v>395</v>
      </c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27"/>
      <c r="AK380" s="98" t="s">
        <v>396</v>
      </c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99"/>
    </row>
    <row r="381" spans="2:61" ht="20.100000000000001" customHeight="1" x14ac:dyDescent="0.45">
      <c r="B381" s="123"/>
      <c r="C381" s="31"/>
      <c r="D381" s="31"/>
      <c r="E381" s="31"/>
      <c r="F381" s="31"/>
      <c r="G381" s="96"/>
      <c r="H381" s="97"/>
      <c r="I381" s="31"/>
      <c r="J381" s="103" t="s">
        <v>246</v>
      </c>
      <c r="K381" s="104"/>
      <c r="L381" s="104"/>
      <c r="M381" s="104"/>
      <c r="N381" s="104"/>
      <c r="O381" s="104"/>
      <c r="P381" s="104"/>
      <c r="Q381" s="127"/>
      <c r="R381" s="160" t="s">
        <v>397</v>
      </c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27"/>
      <c r="AK381" s="98" t="s">
        <v>387</v>
      </c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99"/>
    </row>
    <row r="382" spans="2:61" ht="20.100000000000001" customHeight="1" x14ac:dyDescent="0.45">
      <c r="B382" s="123"/>
      <c r="C382" s="31"/>
      <c r="D382" s="31"/>
      <c r="E382" s="31"/>
      <c r="F382" s="31"/>
      <c r="G382" s="96"/>
      <c r="H382" s="97"/>
      <c r="I382" s="31"/>
      <c r="J382" s="103" t="s">
        <v>249</v>
      </c>
      <c r="K382" s="104"/>
      <c r="L382" s="104"/>
      <c r="M382" s="104"/>
      <c r="N382" s="104"/>
      <c r="O382" s="104"/>
      <c r="P382" s="104"/>
      <c r="Q382" s="127"/>
      <c r="R382" s="104" t="s">
        <v>398</v>
      </c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27"/>
      <c r="AK382" s="98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99"/>
    </row>
    <row r="383" spans="2:61" ht="20.100000000000001" customHeight="1" x14ac:dyDescent="0.45">
      <c r="B383" s="123"/>
      <c r="C383" s="31"/>
      <c r="D383" s="31"/>
      <c r="E383" s="31"/>
      <c r="F383" s="31"/>
      <c r="G383" s="96"/>
      <c r="H383" s="97"/>
      <c r="I383" s="31"/>
      <c r="J383" s="103" t="s">
        <v>251</v>
      </c>
      <c r="K383" s="104"/>
      <c r="L383" s="104"/>
      <c r="M383" s="104"/>
      <c r="N383" s="104"/>
      <c r="O383" s="104"/>
      <c r="P383" s="104"/>
      <c r="Q383" s="127"/>
      <c r="R383" s="104" t="s">
        <v>399</v>
      </c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27"/>
      <c r="AK383" s="98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99"/>
    </row>
    <row r="384" spans="2:61" ht="20.100000000000001" customHeight="1" x14ac:dyDescent="0.45">
      <c r="B384" s="123"/>
      <c r="C384" s="31"/>
      <c r="D384" s="31"/>
      <c r="E384" s="31"/>
      <c r="F384" s="31"/>
      <c r="G384" s="96"/>
      <c r="H384" s="97"/>
      <c r="I384" s="31"/>
      <c r="J384" s="103" t="s">
        <v>253</v>
      </c>
      <c r="K384" s="104"/>
      <c r="L384" s="104"/>
      <c r="M384" s="104"/>
      <c r="N384" s="104"/>
      <c r="O384" s="104"/>
      <c r="P384" s="104"/>
      <c r="Q384" s="127"/>
      <c r="R384" s="104" t="s">
        <v>400</v>
      </c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27"/>
      <c r="AK384" s="98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99"/>
    </row>
    <row r="385" spans="2:61" ht="20.100000000000001" customHeight="1" x14ac:dyDescent="0.45">
      <c r="B385" s="123"/>
      <c r="C385" s="31"/>
      <c r="D385" s="31"/>
      <c r="E385" s="31"/>
      <c r="F385" s="31"/>
      <c r="G385" s="96"/>
      <c r="H385" s="97"/>
      <c r="I385" s="31"/>
      <c r="J385" s="103" t="s">
        <v>255</v>
      </c>
      <c r="K385" s="104"/>
      <c r="L385" s="104"/>
      <c r="M385" s="104"/>
      <c r="N385" s="104"/>
      <c r="O385" s="104"/>
      <c r="P385" s="104"/>
      <c r="Q385" s="127"/>
      <c r="R385" s="104" t="s">
        <v>401</v>
      </c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27"/>
      <c r="AK385" s="98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99"/>
    </row>
    <row r="386" spans="2:61" ht="20.100000000000001" customHeight="1" x14ac:dyDescent="0.45">
      <c r="B386" s="123"/>
      <c r="C386" s="31"/>
      <c r="D386" s="31"/>
      <c r="E386" s="31"/>
      <c r="F386" s="31"/>
      <c r="G386" s="96"/>
      <c r="H386" s="97"/>
      <c r="I386" s="31"/>
      <c r="J386" s="103" t="s">
        <v>257</v>
      </c>
      <c r="K386" s="104"/>
      <c r="L386" s="104"/>
      <c r="M386" s="104"/>
      <c r="N386" s="104"/>
      <c r="O386" s="104"/>
      <c r="P386" s="104"/>
      <c r="Q386" s="127"/>
      <c r="R386" s="104" t="s">
        <v>402</v>
      </c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27"/>
      <c r="AK386" s="98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99"/>
    </row>
    <row r="387" spans="2:61" ht="20.100000000000001" customHeight="1" x14ac:dyDescent="0.45">
      <c r="B387" s="123"/>
      <c r="C387" s="31"/>
      <c r="D387" s="31"/>
      <c r="E387" s="31"/>
      <c r="F387" s="31"/>
      <c r="G387" s="96"/>
      <c r="H387" s="97"/>
      <c r="I387" s="31"/>
      <c r="J387" s="103" t="s">
        <v>259</v>
      </c>
      <c r="K387" s="104"/>
      <c r="L387" s="104"/>
      <c r="M387" s="104"/>
      <c r="N387" s="104"/>
      <c r="O387" s="104"/>
      <c r="P387" s="104"/>
      <c r="Q387" s="127"/>
      <c r="R387" s="104" t="s">
        <v>403</v>
      </c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27"/>
      <c r="AK387" s="98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99"/>
    </row>
    <row r="388" spans="2:61" ht="20.100000000000001" customHeight="1" x14ac:dyDescent="0.45">
      <c r="B388" s="123"/>
      <c r="C388" s="31"/>
      <c r="D388" s="31"/>
      <c r="E388" s="31"/>
      <c r="F388" s="31"/>
      <c r="G388" s="96"/>
      <c r="H388" s="97"/>
      <c r="I388" s="31"/>
      <c r="J388" s="103" t="s">
        <v>261</v>
      </c>
      <c r="K388" s="104"/>
      <c r="L388" s="104"/>
      <c r="M388" s="104"/>
      <c r="N388" s="104"/>
      <c r="O388" s="104"/>
      <c r="P388" s="104"/>
      <c r="Q388" s="127"/>
      <c r="R388" s="104" t="s">
        <v>329</v>
      </c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27"/>
      <c r="AK388" s="98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99"/>
    </row>
    <row r="389" spans="2:61" ht="20.100000000000001" customHeight="1" x14ac:dyDescent="0.45">
      <c r="B389" s="123"/>
      <c r="C389" s="31"/>
      <c r="D389" s="31"/>
      <c r="E389" s="31"/>
      <c r="F389" s="31"/>
      <c r="G389" s="96"/>
      <c r="H389" s="97"/>
      <c r="I389" s="31"/>
      <c r="J389" s="103" t="s">
        <v>263</v>
      </c>
      <c r="K389" s="104"/>
      <c r="L389" s="104"/>
      <c r="M389" s="104"/>
      <c r="N389" s="104"/>
      <c r="O389" s="104"/>
      <c r="P389" s="104"/>
      <c r="Q389" s="127"/>
      <c r="R389" s="104" t="s">
        <v>330</v>
      </c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27"/>
      <c r="AK389" s="98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99"/>
    </row>
    <row r="390" spans="2:61" ht="20.100000000000001" customHeight="1" x14ac:dyDescent="0.45">
      <c r="B390" s="123"/>
      <c r="C390" s="31"/>
      <c r="D390" s="31"/>
      <c r="E390" s="31"/>
      <c r="F390" s="31"/>
      <c r="G390" s="96"/>
      <c r="H390" s="97"/>
      <c r="I390" s="31"/>
      <c r="J390" s="103" t="s">
        <v>265</v>
      </c>
      <c r="K390" s="104"/>
      <c r="L390" s="104"/>
      <c r="M390" s="104"/>
      <c r="N390" s="104"/>
      <c r="O390" s="104"/>
      <c r="P390" s="104"/>
      <c r="Q390" s="127"/>
      <c r="R390" s="104" t="s">
        <v>331</v>
      </c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27"/>
      <c r="AK390" s="98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99"/>
    </row>
    <row r="391" spans="2:61" ht="20.100000000000001" customHeight="1" x14ac:dyDescent="0.45">
      <c r="B391" s="123"/>
      <c r="C391" s="31"/>
      <c r="D391" s="31"/>
      <c r="E391" s="31"/>
      <c r="F391" s="31"/>
      <c r="G391" s="96"/>
      <c r="H391" s="97"/>
      <c r="I391" s="31"/>
      <c r="J391" s="103" t="s">
        <v>267</v>
      </c>
      <c r="K391" s="104"/>
      <c r="L391" s="104"/>
      <c r="M391" s="104"/>
      <c r="N391" s="104"/>
      <c r="O391" s="104"/>
      <c r="P391" s="104"/>
      <c r="Q391" s="127"/>
      <c r="R391" s="104" t="s">
        <v>332</v>
      </c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27"/>
      <c r="AK391" s="98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99"/>
    </row>
    <row r="392" spans="2:61" ht="20.100000000000001" customHeight="1" x14ac:dyDescent="0.45">
      <c r="B392" s="123"/>
      <c r="C392" s="31"/>
      <c r="D392" s="31"/>
      <c r="E392" s="31"/>
      <c r="F392" s="31"/>
      <c r="G392" s="96"/>
      <c r="H392" s="97"/>
      <c r="I392" s="31"/>
      <c r="J392" s="103" t="s">
        <v>269</v>
      </c>
      <c r="K392" s="104"/>
      <c r="L392" s="104"/>
      <c r="M392" s="104"/>
      <c r="N392" s="104"/>
      <c r="O392" s="104"/>
      <c r="P392" s="104"/>
      <c r="Q392" s="127"/>
      <c r="R392" s="104" t="s">
        <v>333</v>
      </c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27"/>
      <c r="AK392" s="98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99"/>
    </row>
    <row r="393" spans="2:61" ht="20.100000000000001" customHeight="1" x14ac:dyDescent="0.45">
      <c r="B393" s="123"/>
      <c r="C393" s="31"/>
      <c r="D393" s="31"/>
      <c r="E393" s="31"/>
      <c r="F393" s="31"/>
      <c r="G393" s="96"/>
      <c r="H393" s="97"/>
      <c r="I393" s="31"/>
      <c r="J393" s="103" t="s">
        <v>271</v>
      </c>
      <c r="K393" s="104"/>
      <c r="L393" s="104"/>
      <c r="M393" s="104"/>
      <c r="N393" s="104"/>
      <c r="O393" s="104"/>
      <c r="P393" s="104"/>
      <c r="Q393" s="127"/>
      <c r="R393" s="104" t="s">
        <v>334</v>
      </c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27"/>
      <c r="AK393" s="98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99"/>
    </row>
    <row r="394" spans="2:61" ht="20.100000000000001" customHeight="1" x14ac:dyDescent="0.45">
      <c r="B394" s="123"/>
      <c r="C394" s="31"/>
      <c r="D394" s="31"/>
      <c r="E394" s="31"/>
      <c r="F394" s="31"/>
      <c r="G394" s="96"/>
      <c r="H394" s="97"/>
      <c r="I394" s="31"/>
      <c r="J394" s="103" t="s">
        <v>273</v>
      </c>
      <c r="K394" s="104"/>
      <c r="L394" s="104"/>
      <c r="M394" s="104"/>
      <c r="N394" s="104"/>
      <c r="O394" s="104"/>
      <c r="P394" s="104"/>
      <c r="Q394" s="127"/>
      <c r="R394" s="104" t="s">
        <v>335</v>
      </c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27"/>
      <c r="AK394" s="98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99"/>
    </row>
    <row r="395" spans="2:61" ht="20.100000000000001" customHeight="1" x14ac:dyDescent="0.45">
      <c r="B395" s="123"/>
      <c r="C395" s="31"/>
      <c r="D395" s="31"/>
      <c r="E395" s="31"/>
      <c r="F395" s="31"/>
      <c r="G395" s="96"/>
      <c r="H395" s="97"/>
      <c r="I395" s="31"/>
      <c r="J395" s="103" t="s">
        <v>275</v>
      </c>
      <c r="K395" s="104"/>
      <c r="L395" s="104"/>
      <c r="M395" s="104"/>
      <c r="N395" s="104"/>
      <c r="O395" s="104"/>
      <c r="P395" s="104"/>
      <c r="Q395" s="127"/>
      <c r="R395" s="104" t="s">
        <v>404</v>
      </c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27"/>
      <c r="AK395" s="98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99"/>
    </row>
    <row r="396" spans="2:61" ht="20.100000000000001" customHeight="1" x14ac:dyDescent="0.45">
      <c r="B396" s="123"/>
      <c r="C396" s="31"/>
      <c r="D396" s="31"/>
      <c r="E396" s="31"/>
      <c r="F396" s="31"/>
      <c r="G396" s="96"/>
      <c r="H396" s="97"/>
      <c r="I396" s="31"/>
      <c r="J396" s="103" t="s">
        <v>277</v>
      </c>
      <c r="K396" s="104"/>
      <c r="L396" s="104"/>
      <c r="M396" s="104"/>
      <c r="N396" s="104"/>
      <c r="O396" s="104"/>
      <c r="P396" s="104"/>
      <c r="Q396" s="127"/>
      <c r="R396" s="104" t="s">
        <v>337</v>
      </c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27"/>
      <c r="AK396" s="98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99"/>
    </row>
    <row r="397" spans="2:61" ht="20.100000000000001" customHeight="1" x14ac:dyDescent="0.45">
      <c r="B397" s="123"/>
      <c r="C397" s="31"/>
      <c r="D397" s="31"/>
      <c r="E397" s="31"/>
      <c r="F397" s="31"/>
      <c r="G397" s="96"/>
      <c r="H397" s="97"/>
      <c r="I397" s="31"/>
      <c r="J397" s="103" t="s">
        <v>279</v>
      </c>
      <c r="K397" s="104"/>
      <c r="L397" s="104"/>
      <c r="M397" s="104"/>
      <c r="N397" s="104"/>
      <c r="O397" s="104"/>
      <c r="P397" s="104"/>
      <c r="Q397" s="127"/>
      <c r="R397" s="104" t="s">
        <v>338</v>
      </c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27"/>
      <c r="AK397" s="98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99"/>
    </row>
    <row r="398" spans="2:61" ht="20.100000000000001" customHeight="1" x14ac:dyDescent="0.45">
      <c r="B398" s="123"/>
      <c r="C398" s="31"/>
      <c r="D398" s="31"/>
      <c r="E398" s="31"/>
      <c r="F398" s="31"/>
      <c r="G398" s="96"/>
      <c r="H398" s="97"/>
      <c r="I398" s="31"/>
      <c r="J398" s="103" t="s">
        <v>281</v>
      </c>
      <c r="K398" s="104"/>
      <c r="L398" s="104"/>
      <c r="M398" s="104"/>
      <c r="N398" s="104"/>
      <c r="O398" s="104"/>
      <c r="P398" s="104"/>
      <c r="Q398" s="127"/>
      <c r="R398" s="104" t="s">
        <v>405</v>
      </c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27"/>
      <c r="AK398" s="98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99"/>
    </row>
    <row r="399" spans="2:61" ht="20.100000000000001" customHeight="1" x14ac:dyDescent="0.45">
      <c r="B399" s="123"/>
      <c r="C399" s="31"/>
      <c r="D399" s="31"/>
      <c r="E399" s="31"/>
      <c r="F399" s="31"/>
      <c r="G399" s="96"/>
      <c r="H399" s="97"/>
      <c r="I399" s="31"/>
      <c r="J399" s="103" t="s">
        <v>283</v>
      </c>
      <c r="K399" s="104"/>
      <c r="L399" s="104"/>
      <c r="M399" s="104"/>
      <c r="N399" s="104"/>
      <c r="O399" s="104"/>
      <c r="P399" s="104"/>
      <c r="Q399" s="127"/>
      <c r="R399" s="104" t="s">
        <v>340</v>
      </c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27"/>
      <c r="AK399" s="98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99"/>
    </row>
    <row r="400" spans="2:61" ht="20.100000000000001" customHeight="1" x14ac:dyDescent="0.45">
      <c r="B400" s="123"/>
      <c r="C400" s="31"/>
      <c r="D400" s="31"/>
      <c r="E400" s="31"/>
      <c r="F400" s="31"/>
      <c r="G400" s="96"/>
      <c r="H400" s="97"/>
      <c r="I400" s="31"/>
      <c r="J400" s="103" t="s">
        <v>285</v>
      </c>
      <c r="K400" s="104"/>
      <c r="L400" s="104"/>
      <c r="M400" s="104"/>
      <c r="N400" s="104"/>
      <c r="O400" s="104"/>
      <c r="P400" s="104"/>
      <c r="Q400" s="127"/>
      <c r="R400" s="104" t="s">
        <v>406</v>
      </c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27"/>
      <c r="AK400" s="98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99"/>
    </row>
    <row r="401" spans="2:61" ht="20.100000000000001" customHeight="1" x14ac:dyDescent="0.45">
      <c r="B401" s="123"/>
      <c r="C401" s="31"/>
      <c r="D401" s="31"/>
      <c r="E401" s="31"/>
      <c r="F401" s="31"/>
      <c r="G401" s="96"/>
      <c r="H401" s="97"/>
      <c r="I401" s="31"/>
      <c r="J401" s="103" t="s">
        <v>287</v>
      </c>
      <c r="K401" s="104"/>
      <c r="L401" s="104"/>
      <c r="M401" s="104"/>
      <c r="N401" s="104"/>
      <c r="O401" s="104"/>
      <c r="P401" s="104"/>
      <c r="Q401" s="127"/>
      <c r="R401" s="104" t="s">
        <v>342</v>
      </c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27"/>
      <c r="AK401" s="98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99"/>
    </row>
    <row r="402" spans="2:61" ht="20.100000000000001" customHeight="1" x14ac:dyDescent="0.45">
      <c r="B402" s="123"/>
      <c r="C402" s="31"/>
      <c r="D402" s="31"/>
      <c r="E402" s="31"/>
      <c r="F402" s="31"/>
      <c r="G402" s="96"/>
      <c r="H402" s="97"/>
      <c r="I402" s="31"/>
      <c r="J402" s="103" t="s">
        <v>289</v>
      </c>
      <c r="K402" s="104"/>
      <c r="L402" s="104"/>
      <c r="M402" s="104"/>
      <c r="N402" s="104"/>
      <c r="O402" s="104"/>
      <c r="P402" s="104"/>
      <c r="Q402" s="127"/>
      <c r="R402" s="160" t="s">
        <v>407</v>
      </c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27"/>
      <c r="AK402" s="98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99"/>
    </row>
    <row r="403" spans="2:61" ht="20.100000000000001" customHeight="1" x14ac:dyDescent="0.45">
      <c r="B403" s="123"/>
      <c r="C403" s="31"/>
      <c r="D403" s="31"/>
      <c r="E403" s="31"/>
      <c r="F403" s="31"/>
      <c r="G403" s="96"/>
      <c r="H403" s="97"/>
      <c r="I403" s="31"/>
      <c r="J403" s="103" t="s">
        <v>200</v>
      </c>
      <c r="K403" s="104"/>
      <c r="L403" s="104"/>
      <c r="M403" s="104"/>
      <c r="N403" s="104"/>
      <c r="O403" s="104"/>
      <c r="P403" s="104"/>
      <c r="Q403" s="127"/>
      <c r="R403" s="104" t="s">
        <v>344</v>
      </c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27"/>
      <c r="AK403" s="98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99"/>
    </row>
    <row r="404" spans="2:61" ht="20.100000000000001" customHeight="1" x14ac:dyDescent="0.45">
      <c r="B404" s="123"/>
      <c r="C404" s="31"/>
      <c r="D404" s="31"/>
      <c r="E404" s="31"/>
      <c r="F404" s="31"/>
      <c r="G404" s="96"/>
      <c r="H404" s="97"/>
      <c r="I404" s="31"/>
      <c r="J404" s="103" t="s">
        <v>292</v>
      </c>
      <c r="K404" s="104"/>
      <c r="L404" s="104"/>
      <c r="M404" s="104"/>
      <c r="N404" s="104"/>
      <c r="O404" s="104"/>
      <c r="P404" s="104"/>
      <c r="Q404" s="127"/>
      <c r="R404" s="104" t="s">
        <v>345</v>
      </c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27"/>
      <c r="AK404" s="98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99"/>
    </row>
    <row r="405" spans="2:61" ht="20.100000000000001" customHeight="1" x14ac:dyDescent="0.45">
      <c r="B405" s="123"/>
      <c r="C405" s="31"/>
      <c r="D405" s="31"/>
      <c r="E405" s="31"/>
      <c r="F405" s="31"/>
      <c r="G405" s="96"/>
      <c r="H405" s="97"/>
      <c r="I405" s="31"/>
      <c r="J405" s="103" t="s">
        <v>294</v>
      </c>
      <c r="K405" s="104"/>
      <c r="L405" s="104"/>
      <c r="M405" s="104"/>
      <c r="N405" s="104"/>
      <c r="O405" s="104"/>
      <c r="P405" s="104"/>
      <c r="Q405" s="127"/>
      <c r="R405" s="104" t="s">
        <v>346</v>
      </c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27"/>
      <c r="AK405" s="98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99"/>
    </row>
    <row r="406" spans="2:61" ht="20.100000000000001" customHeight="1" x14ac:dyDescent="0.45">
      <c r="B406" s="123"/>
      <c r="C406" s="31"/>
      <c r="D406" s="31"/>
      <c r="E406" s="31"/>
      <c r="F406" s="31"/>
      <c r="G406" s="96"/>
      <c r="H406" s="97"/>
      <c r="I406" s="31"/>
      <c r="J406" s="103" t="s">
        <v>296</v>
      </c>
      <c r="K406" s="104"/>
      <c r="L406" s="104"/>
      <c r="M406" s="104"/>
      <c r="N406" s="104"/>
      <c r="O406" s="104"/>
      <c r="P406" s="104"/>
      <c r="Q406" s="127"/>
      <c r="R406" s="104" t="s">
        <v>347</v>
      </c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27"/>
      <c r="AK406" s="98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99"/>
    </row>
    <row r="407" spans="2:61" ht="20.100000000000001" customHeight="1" x14ac:dyDescent="0.45">
      <c r="B407" s="123"/>
      <c r="C407" s="31"/>
      <c r="D407" s="31"/>
      <c r="E407" s="31"/>
      <c r="F407" s="31"/>
      <c r="G407" s="96"/>
      <c r="H407" s="97"/>
      <c r="I407" s="31"/>
      <c r="J407" s="103" t="s">
        <v>298</v>
      </c>
      <c r="K407" s="104"/>
      <c r="L407" s="104"/>
      <c r="M407" s="104"/>
      <c r="N407" s="104"/>
      <c r="O407" s="104"/>
      <c r="P407" s="104"/>
      <c r="Q407" s="127"/>
      <c r="R407" s="104" t="s">
        <v>348</v>
      </c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27"/>
      <c r="AK407" s="98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99"/>
    </row>
    <row r="408" spans="2:61" ht="20.100000000000001" customHeight="1" x14ac:dyDescent="0.45">
      <c r="B408" s="123"/>
      <c r="C408" s="31"/>
      <c r="D408" s="31"/>
      <c r="E408" s="31"/>
      <c r="F408" s="31"/>
      <c r="G408" s="96"/>
      <c r="H408" s="97"/>
      <c r="I408" s="31"/>
      <c r="J408" s="103" t="s">
        <v>300</v>
      </c>
      <c r="K408" s="104"/>
      <c r="L408" s="104"/>
      <c r="M408" s="104"/>
      <c r="N408" s="104"/>
      <c r="O408" s="104"/>
      <c r="P408" s="104"/>
      <c r="Q408" s="127"/>
      <c r="R408" s="104" t="s">
        <v>349</v>
      </c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27"/>
      <c r="AK408" s="98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99"/>
    </row>
    <row r="409" spans="2:61" ht="20.100000000000001" customHeight="1" x14ac:dyDescent="0.45">
      <c r="B409" s="123"/>
      <c r="C409" s="31"/>
      <c r="D409" s="31"/>
      <c r="E409" s="31"/>
      <c r="F409" s="31"/>
      <c r="G409" s="96"/>
      <c r="H409" s="97"/>
      <c r="I409" s="31"/>
      <c r="J409" s="103" t="s">
        <v>302</v>
      </c>
      <c r="K409" s="104"/>
      <c r="L409" s="104"/>
      <c r="M409" s="104"/>
      <c r="N409" s="104"/>
      <c r="O409" s="104"/>
      <c r="P409" s="104"/>
      <c r="Q409" s="127"/>
      <c r="R409" s="104" t="s">
        <v>350</v>
      </c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27"/>
      <c r="AK409" s="98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99"/>
    </row>
    <row r="410" spans="2:61" ht="20.100000000000001" customHeight="1" x14ac:dyDescent="0.45">
      <c r="B410" s="123"/>
      <c r="C410" s="31"/>
      <c r="D410" s="31"/>
      <c r="E410" s="31"/>
      <c r="F410" s="31"/>
      <c r="G410" s="96"/>
      <c r="H410" s="97"/>
      <c r="I410" s="31"/>
      <c r="J410" s="103" t="s">
        <v>304</v>
      </c>
      <c r="K410" s="104"/>
      <c r="L410" s="104"/>
      <c r="M410" s="104"/>
      <c r="N410" s="104"/>
      <c r="O410" s="104"/>
      <c r="P410" s="104"/>
      <c r="Q410" s="127"/>
      <c r="R410" s="104" t="s">
        <v>351</v>
      </c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27"/>
      <c r="AK410" s="98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99"/>
    </row>
    <row r="411" spans="2:61" ht="20.100000000000001" customHeight="1" x14ac:dyDescent="0.45">
      <c r="B411" s="123"/>
      <c r="C411" s="31"/>
      <c r="D411" s="31"/>
      <c r="E411" s="31"/>
      <c r="F411" s="31"/>
      <c r="G411" s="96"/>
      <c r="H411" s="97"/>
      <c r="I411" s="31"/>
      <c r="J411" s="103" t="s">
        <v>306</v>
      </c>
      <c r="K411" s="104"/>
      <c r="L411" s="104"/>
      <c r="M411" s="104"/>
      <c r="N411" s="104"/>
      <c r="O411" s="104"/>
      <c r="P411" s="104"/>
      <c r="Q411" s="127"/>
      <c r="R411" s="104" t="s">
        <v>352</v>
      </c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27"/>
      <c r="AK411" s="98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99"/>
    </row>
    <row r="412" spans="2:61" ht="20.100000000000001" customHeight="1" x14ac:dyDescent="0.45">
      <c r="B412" s="123"/>
      <c r="C412" s="31"/>
      <c r="D412" s="31"/>
      <c r="E412" s="31"/>
      <c r="F412" s="31"/>
      <c r="G412" s="96"/>
      <c r="H412" s="97"/>
      <c r="I412" s="31"/>
      <c r="J412" s="103" t="s">
        <v>308</v>
      </c>
      <c r="K412" s="104"/>
      <c r="L412" s="104"/>
      <c r="M412" s="104"/>
      <c r="N412" s="104"/>
      <c r="O412" s="104"/>
      <c r="P412" s="104"/>
      <c r="Q412" s="127"/>
      <c r="R412" s="104" t="s">
        <v>353</v>
      </c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27"/>
      <c r="AK412" s="98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99"/>
    </row>
    <row r="413" spans="2:61" ht="20.100000000000001" customHeight="1" x14ac:dyDescent="0.45">
      <c r="B413" s="123"/>
      <c r="C413" s="31"/>
      <c r="D413" s="31"/>
      <c r="E413" s="31"/>
      <c r="F413" s="31"/>
      <c r="G413" s="96"/>
      <c r="H413" s="100" t="s">
        <v>52</v>
      </c>
      <c r="I413" s="55"/>
      <c r="J413" s="100" t="s">
        <v>354</v>
      </c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101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102"/>
    </row>
    <row r="414" spans="2:61" ht="20.100000000000001" customHeight="1" x14ac:dyDescent="0.45">
      <c r="B414" s="95"/>
      <c r="C414" s="31"/>
      <c r="D414" s="31"/>
      <c r="E414" s="31"/>
      <c r="F414" s="31"/>
      <c r="G414" s="96"/>
      <c r="H414" s="100" t="s">
        <v>53</v>
      </c>
      <c r="I414" s="55"/>
      <c r="J414" s="161" t="s">
        <v>355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101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102"/>
    </row>
    <row r="415" spans="2:61" ht="20.100000000000001" customHeight="1" x14ac:dyDescent="0.45">
      <c r="B415" s="95"/>
      <c r="C415" s="31"/>
      <c r="D415" s="31"/>
      <c r="E415" s="31"/>
      <c r="F415" s="31"/>
      <c r="G415" s="96"/>
      <c r="H415" s="100" t="s">
        <v>54</v>
      </c>
      <c r="I415" s="55"/>
      <c r="J415" s="100" t="s">
        <v>359</v>
      </c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101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102"/>
    </row>
    <row r="416" spans="2:61" ht="20.100000000000001" customHeight="1" x14ac:dyDescent="0.45">
      <c r="B416" s="95"/>
      <c r="C416" s="31"/>
      <c r="D416" s="31"/>
      <c r="E416" s="31"/>
      <c r="F416" s="31"/>
      <c r="G416" s="96"/>
      <c r="H416" s="97"/>
      <c r="I416" s="31"/>
      <c r="J416" s="97" t="s">
        <v>415</v>
      </c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98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99"/>
    </row>
    <row r="417" spans="2:61" ht="20.100000000000001" customHeight="1" x14ac:dyDescent="0.45">
      <c r="B417" s="95"/>
      <c r="C417" s="31"/>
      <c r="D417" s="31"/>
      <c r="E417" s="31"/>
      <c r="F417" s="31"/>
      <c r="G417" s="96"/>
      <c r="H417" s="97"/>
      <c r="I417" s="31"/>
      <c r="J417" s="97"/>
      <c r="K417" s="31" t="s">
        <v>389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98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99"/>
    </row>
    <row r="418" spans="2:61" ht="20.100000000000001" customHeight="1" x14ac:dyDescent="0.45">
      <c r="B418" s="95"/>
      <c r="C418" s="31"/>
      <c r="D418" s="31"/>
      <c r="E418" s="31"/>
      <c r="F418" s="31"/>
      <c r="G418" s="96"/>
      <c r="H418" s="97"/>
      <c r="I418" s="31"/>
      <c r="J418" s="97" t="s">
        <v>366</v>
      </c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98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99"/>
    </row>
    <row r="419" spans="2:61" ht="20.100000000000001" customHeight="1" x14ac:dyDescent="0.45">
      <c r="B419" s="95"/>
      <c r="C419" s="31"/>
      <c r="D419" s="31"/>
      <c r="E419" s="31"/>
      <c r="F419" s="31"/>
      <c r="G419" s="96"/>
      <c r="H419" s="97"/>
      <c r="I419" s="31"/>
      <c r="J419" s="97"/>
      <c r="K419" s="31" t="s">
        <v>416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98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99"/>
    </row>
    <row r="420" spans="2:61" ht="20.100000000000001" customHeight="1" x14ac:dyDescent="0.45">
      <c r="B420" s="95"/>
      <c r="C420" s="31"/>
      <c r="D420" s="31"/>
      <c r="E420" s="31"/>
      <c r="F420" s="31"/>
      <c r="G420" s="96"/>
      <c r="H420" s="97"/>
      <c r="I420" s="31"/>
      <c r="J420" s="97"/>
      <c r="K420" s="31" t="s">
        <v>368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98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99"/>
    </row>
    <row r="421" spans="2:61" ht="20.100000000000001" customHeight="1" x14ac:dyDescent="0.45">
      <c r="B421" s="95"/>
      <c r="C421" s="31"/>
      <c r="D421" s="31"/>
      <c r="E421" s="31"/>
      <c r="F421" s="31"/>
      <c r="G421" s="96"/>
      <c r="H421" s="97"/>
      <c r="I421" s="31"/>
      <c r="J421" s="97" t="s">
        <v>366</v>
      </c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98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99"/>
    </row>
    <row r="422" spans="2:61" ht="20.100000000000001" customHeight="1" x14ac:dyDescent="0.45">
      <c r="B422" s="95"/>
      <c r="C422" s="31"/>
      <c r="D422" s="31"/>
      <c r="E422" s="31"/>
      <c r="F422" s="31"/>
      <c r="G422" s="96"/>
      <c r="H422" s="97"/>
      <c r="I422" s="31"/>
      <c r="J422" s="97"/>
      <c r="K422" s="31" t="s">
        <v>417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98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99"/>
    </row>
    <row r="423" spans="2:61" ht="20.100000000000001" customHeight="1" x14ac:dyDescent="0.45">
      <c r="B423" s="95"/>
      <c r="C423" s="31"/>
      <c r="D423" s="31"/>
      <c r="E423" s="31"/>
      <c r="F423" s="31"/>
      <c r="G423" s="96"/>
      <c r="H423" s="97"/>
      <c r="I423" s="31"/>
      <c r="J423" s="97"/>
      <c r="K423" s="31" t="s">
        <v>413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98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99"/>
    </row>
    <row r="424" spans="2:61" ht="20.100000000000001" customHeight="1" x14ac:dyDescent="0.45">
      <c r="B424" s="95"/>
      <c r="C424" s="31"/>
      <c r="D424" s="31"/>
      <c r="E424" s="31"/>
      <c r="F424" s="31"/>
      <c r="G424" s="96"/>
      <c r="H424" s="97"/>
      <c r="I424" s="31"/>
      <c r="J424" s="97" t="s">
        <v>366</v>
      </c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98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99"/>
    </row>
    <row r="425" spans="2:61" ht="20.100000000000001" customHeight="1" x14ac:dyDescent="0.45">
      <c r="B425" s="95"/>
      <c r="C425" s="31"/>
      <c r="D425" s="31"/>
      <c r="E425" s="31"/>
      <c r="F425" s="31"/>
      <c r="G425" s="96"/>
      <c r="H425" s="97"/>
      <c r="I425" s="31"/>
      <c r="J425" s="97"/>
      <c r="K425" s="31" t="s">
        <v>418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98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99"/>
    </row>
    <row r="426" spans="2:61" ht="20.100000000000001" customHeight="1" thickBot="1" x14ac:dyDescent="0.5">
      <c r="B426" s="95"/>
      <c r="C426" s="31"/>
      <c r="D426" s="31"/>
      <c r="E426" s="31"/>
      <c r="F426" s="31"/>
      <c r="G426" s="96"/>
      <c r="H426" s="97"/>
      <c r="I426" s="31"/>
      <c r="J426" s="97"/>
      <c r="K426" s="31" t="s">
        <v>413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98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99"/>
    </row>
    <row r="427" spans="2:61" ht="20.100000000000001" customHeight="1" x14ac:dyDescent="0.45">
      <c r="B427" s="89" t="s">
        <v>416</v>
      </c>
      <c r="C427" s="90"/>
      <c r="D427" s="90"/>
      <c r="E427" s="90"/>
      <c r="F427" s="90"/>
      <c r="G427" s="91"/>
      <c r="H427" s="92" t="s">
        <v>83</v>
      </c>
      <c r="I427" s="90"/>
      <c r="J427" s="120" t="s">
        <v>275</v>
      </c>
      <c r="K427" s="121"/>
      <c r="L427" s="121"/>
      <c r="M427" s="121"/>
      <c r="N427" s="121"/>
      <c r="O427" s="121"/>
      <c r="P427" s="121"/>
      <c r="Q427" s="122"/>
      <c r="R427" s="121" t="s">
        <v>372</v>
      </c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2"/>
      <c r="AK427" s="93" t="s">
        <v>373</v>
      </c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4"/>
    </row>
    <row r="428" spans="2:61" ht="20.100000000000001" customHeight="1" x14ac:dyDescent="0.45">
      <c r="B428" s="123"/>
      <c r="C428" s="31"/>
      <c r="D428" s="31"/>
      <c r="E428" s="31"/>
      <c r="F428" s="31"/>
      <c r="G428" s="96"/>
      <c r="H428" s="100" t="s">
        <v>52</v>
      </c>
      <c r="I428" s="55"/>
      <c r="J428" s="100" t="s">
        <v>374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101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102"/>
    </row>
    <row r="429" spans="2:61" ht="20.100000000000001" customHeight="1" x14ac:dyDescent="0.45">
      <c r="B429" s="95"/>
      <c r="C429" s="31"/>
      <c r="D429" s="31"/>
      <c r="E429" s="31"/>
      <c r="F429" s="31"/>
      <c r="G429" s="96"/>
      <c r="H429" s="100" t="s">
        <v>53</v>
      </c>
      <c r="I429" s="55"/>
      <c r="J429" s="161" t="s">
        <v>375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101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102"/>
    </row>
    <row r="430" spans="2:61" ht="20.100000000000001" customHeight="1" x14ac:dyDescent="0.45">
      <c r="B430" s="95"/>
      <c r="C430" s="31"/>
      <c r="D430" s="31"/>
      <c r="E430" s="31"/>
      <c r="F430" s="31"/>
      <c r="G430" s="96"/>
      <c r="H430" s="100" t="s">
        <v>54</v>
      </c>
      <c r="I430" s="55"/>
      <c r="J430" s="100" t="s">
        <v>376</v>
      </c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101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102"/>
    </row>
    <row r="431" spans="2:61" ht="20.100000000000001" customHeight="1" x14ac:dyDescent="0.45">
      <c r="B431" s="95"/>
      <c r="C431" s="31"/>
      <c r="D431" s="31"/>
      <c r="E431" s="31"/>
      <c r="F431" s="31"/>
      <c r="G431" s="96"/>
      <c r="H431" s="97"/>
      <c r="I431" s="31"/>
      <c r="J431" s="97"/>
      <c r="K431" s="31" t="s">
        <v>377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98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99"/>
    </row>
    <row r="432" spans="2:61" ht="20.100000000000001" customHeight="1" x14ac:dyDescent="0.45">
      <c r="B432" s="95"/>
      <c r="C432" s="31"/>
      <c r="D432" s="31"/>
      <c r="E432" s="31"/>
      <c r="F432" s="31"/>
      <c r="G432" s="96"/>
      <c r="H432" s="97"/>
      <c r="I432" s="31"/>
      <c r="J432" s="97"/>
      <c r="K432" s="31" t="s">
        <v>393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98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99"/>
    </row>
    <row r="433" spans="2:61" ht="20.100000000000001" customHeight="1" thickBot="1" x14ac:dyDescent="0.5">
      <c r="B433" s="95"/>
      <c r="C433" s="31"/>
      <c r="D433" s="31"/>
      <c r="E433" s="31"/>
      <c r="F433" s="31"/>
      <c r="G433" s="96"/>
      <c r="H433" s="100" t="s">
        <v>233</v>
      </c>
      <c r="I433" s="55"/>
      <c r="J433" s="100" t="s">
        <v>394</v>
      </c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101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102"/>
    </row>
    <row r="434" spans="2:61" ht="20.100000000000001" customHeight="1" x14ac:dyDescent="0.45">
      <c r="B434" s="89" t="s">
        <v>417</v>
      </c>
      <c r="C434" s="90"/>
      <c r="D434" s="90"/>
      <c r="E434" s="90"/>
      <c r="F434" s="90"/>
      <c r="G434" s="91"/>
      <c r="H434" s="92" t="s">
        <v>83</v>
      </c>
      <c r="I434" s="90"/>
      <c r="J434" s="120" t="s">
        <v>300</v>
      </c>
      <c r="K434" s="121"/>
      <c r="L434" s="121"/>
      <c r="M434" s="121"/>
      <c r="N434" s="121"/>
      <c r="O434" s="121"/>
      <c r="P434" s="121"/>
      <c r="Q434" s="122"/>
      <c r="R434" s="121" t="s">
        <v>381</v>
      </c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2"/>
      <c r="AK434" s="93" t="s">
        <v>382</v>
      </c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4"/>
    </row>
    <row r="435" spans="2:61" ht="20.100000000000001" customHeight="1" x14ac:dyDescent="0.45">
      <c r="B435" s="123"/>
      <c r="C435" s="31"/>
      <c r="D435" s="31"/>
      <c r="E435" s="31"/>
      <c r="F435" s="31"/>
      <c r="G435" s="96"/>
      <c r="H435" s="100" t="s">
        <v>52</v>
      </c>
      <c r="I435" s="55"/>
      <c r="J435" s="100" t="s">
        <v>374</v>
      </c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101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102"/>
    </row>
    <row r="436" spans="2:61" ht="20.100000000000001" customHeight="1" x14ac:dyDescent="0.45">
      <c r="B436" s="95"/>
      <c r="C436" s="31"/>
      <c r="D436" s="31"/>
      <c r="E436" s="31"/>
      <c r="F436" s="31"/>
      <c r="G436" s="96"/>
      <c r="H436" s="100" t="s">
        <v>54</v>
      </c>
      <c r="I436" s="55"/>
      <c r="J436" s="100" t="s">
        <v>383</v>
      </c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101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102"/>
    </row>
    <row r="437" spans="2:61" ht="20.100000000000001" customHeight="1" x14ac:dyDescent="0.45">
      <c r="B437" s="95"/>
      <c r="C437" s="31"/>
      <c r="D437" s="31"/>
      <c r="E437" s="31"/>
      <c r="F437" s="31"/>
      <c r="G437" s="96"/>
      <c r="H437" s="97"/>
      <c r="I437" s="31"/>
      <c r="J437" s="97"/>
      <c r="K437" s="31" t="s">
        <v>377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98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99"/>
    </row>
    <row r="438" spans="2:61" ht="20.100000000000001" customHeight="1" x14ac:dyDescent="0.45">
      <c r="B438" s="95"/>
      <c r="C438" s="31"/>
      <c r="D438" s="31"/>
      <c r="E438" s="31"/>
      <c r="F438" s="31"/>
      <c r="G438" s="96"/>
      <c r="H438" s="97"/>
      <c r="I438" s="31"/>
      <c r="J438" s="97"/>
      <c r="K438" s="31" t="s">
        <v>393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98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99"/>
    </row>
    <row r="439" spans="2:61" ht="20.100000000000001" customHeight="1" thickBot="1" x14ac:dyDescent="0.5">
      <c r="B439" s="95"/>
      <c r="C439" s="31"/>
      <c r="D439" s="31"/>
      <c r="E439" s="31"/>
      <c r="F439" s="31"/>
      <c r="G439" s="96"/>
      <c r="H439" s="100" t="s">
        <v>233</v>
      </c>
      <c r="I439" s="55"/>
      <c r="J439" s="100" t="s">
        <v>394</v>
      </c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101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102"/>
    </row>
    <row r="440" spans="2:61" ht="20.100000000000001" customHeight="1" x14ac:dyDescent="0.45">
      <c r="B440" s="89" t="s">
        <v>418</v>
      </c>
      <c r="C440" s="90"/>
      <c r="D440" s="90"/>
      <c r="E440" s="90"/>
      <c r="F440" s="90"/>
      <c r="G440" s="91"/>
      <c r="H440" s="92" t="s">
        <v>83</v>
      </c>
      <c r="I440" s="90"/>
      <c r="J440" s="120" t="s">
        <v>302</v>
      </c>
      <c r="K440" s="121"/>
      <c r="L440" s="121"/>
      <c r="M440" s="121"/>
      <c r="N440" s="121"/>
      <c r="O440" s="121"/>
      <c r="P440" s="121"/>
      <c r="Q440" s="122"/>
      <c r="R440" s="121" t="s">
        <v>385</v>
      </c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2"/>
      <c r="AK440" s="93" t="s">
        <v>386</v>
      </c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4"/>
    </row>
    <row r="441" spans="2:61" ht="20.100000000000001" customHeight="1" x14ac:dyDescent="0.45">
      <c r="B441" s="123"/>
      <c r="C441" s="31"/>
      <c r="D441" s="31"/>
      <c r="E441" s="31"/>
      <c r="F441" s="31"/>
      <c r="G441" s="96"/>
      <c r="H441" s="100" t="s">
        <v>52</v>
      </c>
      <c r="I441" s="55"/>
      <c r="J441" s="100" t="s">
        <v>374</v>
      </c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101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102"/>
    </row>
    <row r="442" spans="2:61" ht="20.100000000000001" customHeight="1" x14ac:dyDescent="0.45">
      <c r="B442" s="95"/>
      <c r="C442" s="31"/>
      <c r="D442" s="31"/>
      <c r="E442" s="31"/>
      <c r="F442" s="31"/>
      <c r="G442" s="96"/>
      <c r="H442" s="100" t="s">
        <v>54</v>
      </c>
      <c r="I442" s="55"/>
      <c r="J442" s="100" t="s">
        <v>376</v>
      </c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101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102"/>
    </row>
    <row r="443" spans="2:61" ht="20.100000000000001" customHeight="1" x14ac:dyDescent="0.45">
      <c r="B443" s="95"/>
      <c r="C443" s="31"/>
      <c r="D443" s="31"/>
      <c r="E443" s="31"/>
      <c r="F443" s="31"/>
      <c r="G443" s="96"/>
      <c r="H443" s="97"/>
      <c r="I443" s="31"/>
      <c r="J443" s="97"/>
      <c r="K443" s="31" t="s">
        <v>377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98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99"/>
    </row>
    <row r="444" spans="2:61" ht="20.100000000000001" customHeight="1" x14ac:dyDescent="0.45">
      <c r="B444" s="95"/>
      <c r="C444" s="31"/>
      <c r="D444" s="31"/>
      <c r="E444" s="31"/>
      <c r="F444" s="31"/>
      <c r="G444" s="96"/>
      <c r="H444" s="97"/>
      <c r="I444" s="31"/>
      <c r="J444" s="97"/>
      <c r="K444" s="31" t="s">
        <v>393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98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99"/>
    </row>
    <row r="445" spans="2:61" ht="20.100000000000001" customHeight="1" thickBot="1" x14ac:dyDescent="0.5">
      <c r="B445" s="95"/>
      <c r="C445" s="31"/>
      <c r="D445" s="31"/>
      <c r="E445" s="31"/>
      <c r="F445" s="31"/>
      <c r="G445" s="96"/>
      <c r="H445" s="100" t="s">
        <v>233</v>
      </c>
      <c r="I445" s="55"/>
      <c r="J445" s="100" t="s">
        <v>394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101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102"/>
    </row>
    <row r="446" spans="2:61" ht="20.100000000000001" customHeight="1" x14ac:dyDescent="0.45">
      <c r="B446" s="89" t="s">
        <v>318</v>
      </c>
      <c r="C446" s="90"/>
      <c r="D446" s="90"/>
      <c r="E446" s="90"/>
      <c r="F446" s="90"/>
      <c r="G446" s="91"/>
      <c r="H446" s="92" t="s">
        <v>83</v>
      </c>
      <c r="I446" s="90"/>
      <c r="J446" s="120" t="s">
        <v>186</v>
      </c>
      <c r="K446" s="121"/>
      <c r="L446" s="121"/>
      <c r="M446" s="121"/>
      <c r="N446" s="121"/>
      <c r="O446" s="121"/>
      <c r="P446" s="121"/>
      <c r="Q446" s="122"/>
      <c r="R446" s="121" t="s">
        <v>320</v>
      </c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2"/>
      <c r="AK446" s="93" t="s">
        <v>419</v>
      </c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4"/>
    </row>
    <row r="447" spans="2:61" ht="20.100000000000001" customHeight="1" x14ac:dyDescent="0.45">
      <c r="B447" s="123"/>
      <c r="C447" s="31"/>
      <c r="D447" s="31"/>
      <c r="E447" s="31"/>
      <c r="F447" s="31"/>
      <c r="G447" s="96"/>
      <c r="H447" s="97"/>
      <c r="I447" s="31"/>
      <c r="J447" s="103" t="s">
        <v>243</v>
      </c>
      <c r="K447" s="104"/>
      <c r="L447" s="104"/>
      <c r="M447" s="104"/>
      <c r="N447" s="104"/>
      <c r="O447" s="104"/>
      <c r="P447" s="104"/>
      <c r="Q447" s="127"/>
      <c r="R447" s="160" t="s">
        <v>420</v>
      </c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27"/>
      <c r="AK447" s="98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99"/>
    </row>
    <row r="448" spans="2:61" ht="20.100000000000001" customHeight="1" x14ac:dyDescent="0.45">
      <c r="B448" s="123"/>
      <c r="C448" s="31"/>
      <c r="D448" s="31"/>
      <c r="E448" s="31"/>
      <c r="F448" s="31"/>
      <c r="G448" s="96"/>
      <c r="H448" s="97"/>
      <c r="I448" s="31"/>
      <c r="J448" s="103" t="s">
        <v>246</v>
      </c>
      <c r="K448" s="104"/>
      <c r="L448" s="104"/>
      <c r="M448" s="104"/>
      <c r="N448" s="104"/>
      <c r="O448" s="104"/>
      <c r="P448" s="104"/>
      <c r="Q448" s="127"/>
      <c r="R448" s="160" t="s">
        <v>421</v>
      </c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27"/>
      <c r="AK448" s="98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99"/>
    </row>
    <row r="449" spans="2:61" ht="20.100000000000001" customHeight="1" x14ac:dyDescent="0.45">
      <c r="B449" s="123"/>
      <c r="C449" s="31"/>
      <c r="D449" s="31"/>
      <c r="E449" s="31"/>
      <c r="F449" s="31"/>
      <c r="G449" s="96"/>
      <c r="H449" s="97"/>
      <c r="I449" s="31"/>
      <c r="J449" s="103" t="s">
        <v>249</v>
      </c>
      <c r="K449" s="104"/>
      <c r="L449" s="104"/>
      <c r="M449" s="104"/>
      <c r="N449" s="104"/>
      <c r="O449" s="104"/>
      <c r="P449" s="104"/>
      <c r="Q449" s="127"/>
      <c r="R449" s="104" t="s">
        <v>422</v>
      </c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27"/>
      <c r="AK449" s="98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99"/>
    </row>
    <row r="450" spans="2:61" ht="20.100000000000001" customHeight="1" x14ac:dyDescent="0.45">
      <c r="B450" s="123"/>
      <c r="C450" s="31"/>
      <c r="D450" s="31"/>
      <c r="E450" s="31"/>
      <c r="F450" s="31"/>
      <c r="G450" s="96"/>
      <c r="H450" s="97"/>
      <c r="I450" s="31"/>
      <c r="J450" s="103" t="s">
        <v>251</v>
      </c>
      <c r="K450" s="104"/>
      <c r="L450" s="104"/>
      <c r="M450" s="104"/>
      <c r="N450" s="104"/>
      <c r="O450" s="104"/>
      <c r="P450" s="104"/>
      <c r="Q450" s="127"/>
      <c r="R450" s="160" t="s">
        <v>423</v>
      </c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27"/>
      <c r="AK450" s="98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99"/>
    </row>
    <row r="451" spans="2:61" ht="20.100000000000001" customHeight="1" x14ac:dyDescent="0.45">
      <c r="B451" s="123"/>
      <c r="C451" s="31"/>
      <c r="D451" s="31"/>
      <c r="E451" s="31"/>
      <c r="F451" s="31"/>
      <c r="G451" s="96"/>
      <c r="H451" s="97"/>
      <c r="I451" s="31"/>
      <c r="J451" s="103" t="s">
        <v>253</v>
      </c>
      <c r="K451" s="104"/>
      <c r="L451" s="104"/>
      <c r="M451" s="104"/>
      <c r="N451" s="104"/>
      <c r="O451" s="104"/>
      <c r="P451" s="104"/>
      <c r="Q451" s="127"/>
      <c r="R451" s="160" t="s">
        <v>424</v>
      </c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27"/>
      <c r="AK451" s="98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99"/>
    </row>
    <row r="452" spans="2:61" ht="20.100000000000001" customHeight="1" x14ac:dyDescent="0.45">
      <c r="B452" s="123"/>
      <c r="C452" s="31"/>
      <c r="D452" s="31"/>
      <c r="E452" s="31"/>
      <c r="F452" s="31"/>
      <c r="G452" s="96"/>
      <c r="H452" s="97"/>
      <c r="I452" s="31"/>
      <c r="J452" s="103" t="s">
        <v>255</v>
      </c>
      <c r="K452" s="104"/>
      <c r="L452" s="104"/>
      <c r="M452" s="104"/>
      <c r="N452" s="104"/>
      <c r="O452" s="104"/>
      <c r="P452" s="104"/>
      <c r="Q452" s="127"/>
      <c r="R452" s="160" t="s">
        <v>425</v>
      </c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27"/>
      <c r="AK452" s="98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99"/>
    </row>
    <row r="453" spans="2:61" ht="20.100000000000001" customHeight="1" x14ac:dyDescent="0.45">
      <c r="B453" s="123"/>
      <c r="C453" s="31"/>
      <c r="D453" s="31"/>
      <c r="E453" s="31"/>
      <c r="F453" s="31"/>
      <c r="G453" s="96"/>
      <c r="H453" s="97"/>
      <c r="I453" s="31"/>
      <c r="J453" s="103" t="s">
        <v>257</v>
      </c>
      <c r="K453" s="104"/>
      <c r="L453" s="104"/>
      <c r="M453" s="104"/>
      <c r="N453" s="104"/>
      <c r="O453" s="104"/>
      <c r="P453" s="104"/>
      <c r="Q453" s="127"/>
      <c r="R453" s="160" t="s">
        <v>426</v>
      </c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27"/>
      <c r="AK453" s="98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99"/>
    </row>
    <row r="454" spans="2:61" ht="20.100000000000001" customHeight="1" x14ac:dyDescent="0.45">
      <c r="B454" s="123"/>
      <c r="C454" s="31"/>
      <c r="D454" s="31"/>
      <c r="E454" s="31"/>
      <c r="F454" s="31"/>
      <c r="G454" s="96"/>
      <c r="H454" s="97"/>
      <c r="I454" s="31"/>
      <c r="J454" s="103" t="s">
        <v>259</v>
      </c>
      <c r="K454" s="104"/>
      <c r="L454" s="104"/>
      <c r="M454" s="104"/>
      <c r="N454" s="104"/>
      <c r="O454" s="104"/>
      <c r="P454" s="104"/>
      <c r="Q454" s="127"/>
      <c r="R454" s="160" t="s">
        <v>427</v>
      </c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27"/>
      <c r="AK454" s="98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99"/>
    </row>
    <row r="455" spans="2:61" ht="20.100000000000001" customHeight="1" x14ac:dyDescent="0.45">
      <c r="B455" s="123"/>
      <c r="C455" s="31"/>
      <c r="D455" s="31"/>
      <c r="E455" s="31"/>
      <c r="F455" s="31"/>
      <c r="G455" s="96"/>
      <c r="H455" s="97"/>
      <c r="I455" s="31"/>
      <c r="J455" s="103" t="s">
        <v>261</v>
      </c>
      <c r="K455" s="104"/>
      <c r="L455" s="104"/>
      <c r="M455" s="104"/>
      <c r="N455" s="104"/>
      <c r="O455" s="104"/>
      <c r="P455" s="104"/>
      <c r="Q455" s="127"/>
      <c r="R455" s="160" t="s">
        <v>428</v>
      </c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27"/>
      <c r="AK455" s="98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99"/>
    </row>
    <row r="456" spans="2:61" ht="20.100000000000001" customHeight="1" x14ac:dyDescent="0.45">
      <c r="B456" s="123"/>
      <c r="C456" s="31"/>
      <c r="D456" s="31"/>
      <c r="E456" s="31"/>
      <c r="F456" s="31"/>
      <c r="G456" s="96"/>
      <c r="H456" s="97"/>
      <c r="I456" s="31"/>
      <c r="J456" s="103" t="s">
        <v>263</v>
      </c>
      <c r="K456" s="104"/>
      <c r="L456" s="104"/>
      <c r="M456" s="104"/>
      <c r="N456" s="104"/>
      <c r="O456" s="104"/>
      <c r="P456" s="104"/>
      <c r="Q456" s="127"/>
      <c r="R456" s="160" t="s">
        <v>429</v>
      </c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27"/>
      <c r="AK456" s="98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99"/>
    </row>
    <row r="457" spans="2:61" ht="20.100000000000001" customHeight="1" x14ac:dyDescent="0.45">
      <c r="B457" s="123"/>
      <c r="C457" s="31"/>
      <c r="D457" s="31"/>
      <c r="E457" s="31"/>
      <c r="F457" s="31"/>
      <c r="G457" s="96"/>
      <c r="H457" s="97"/>
      <c r="I457" s="31"/>
      <c r="J457" s="103" t="s">
        <v>265</v>
      </c>
      <c r="K457" s="104"/>
      <c r="L457" s="104"/>
      <c r="M457" s="104"/>
      <c r="N457" s="104"/>
      <c r="O457" s="104"/>
      <c r="P457" s="104"/>
      <c r="Q457" s="127"/>
      <c r="R457" s="160" t="s">
        <v>430</v>
      </c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27"/>
      <c r="AK457" s="98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99"/>
    </row>
    <row r="458" spans="2:61" ht="20.100000000000001" customHeight="1" x14ac:dyDescent="0.45">
      <c r="B458" s="123"/>
      <c r="C458" s="31"/>
      <c r="D458" s="31"/>
      <c r="E458" s="31"/>
      <c r="F458" s="31"/>
      <c r="G458" s="96"/>
      <c r="H458" s="97"/>
      <c r="I458" s="31"/>
      <c r="J458" s="103" t="s">
        <v>267</v>
      </c>
      <c r="K458" s="104"/>
      <c r="L458" s="104"/>
      <c r="M458" s="104"/>
      <c r="N458" s="104"/>
      <c r="O458" s="104"/>
      <c r="P458" s="104"/>
      <c r="Q458" s="127"/>
      <c r="R458" s="160" t="s">
        <v>431</v>
      </c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27"/>
      <c r="AK458" s="98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99"/>
    </row>
    <row r="459" spans="2:61" ht="20.100000000000001" customHeight="1" x14ac:dyDescent="0.45">
      <c r="B459" s="123"/>
      <c r="C459" s="31"/>
      <c r="D459" s="31"/>
      <c r="E459" s="31"/>
      <c r="F459" s="31"/>
      <c r="G459" s="96"/>
      <c r="H459" s="97"/>
      <c r="I459" s="31"/>
      <c r="J459" s="103" t="s">
        <v>269</v>
      </c>
      <c r="K459" s="104"/>
      <c r="L459" s="104"/>
      <c r="M459" s="104"/>
      <c r="N459" s="104"/>
      <c r="O459" s="104"/>
      <c r="P459" s="104"/>
      <c r="Q459" s="127"/>
      <c r="R459" s="160" t="s">
        <v>432</v>
      </c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27"/>
      <c r="AK459" s="98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99"/>
    </row>
    <row r="460" spans="2:61" ht="20.100000000000001" customHeight="1" x14ac:dyDescent="0.45">
      <c r="B460" s="123"/>
      <c r="C460" s="31"/>
      <c r="D460" s="31"/>
      <c r="E460" s="31"/>
      <c r="F460" s="31"/>
      <c r="G460" s="96"/>
      <c r="H460" s="97"/>
      <c r="I460" s="31"/>
      <c r="J460" s="103" t="s">
        <v>271</v>
      </c>
      <c r="K460" s="104"/>
      <c r="L460" s="104"/>
      <c r="M460" s="104"/>
      <c r="N460" s="104"/>
      <c r="O460" s="104"/>
      <c r="P460" s="104"/>
      <c r="Q460" s="127"/>
      <c r="R460" s="160" t="s">
        <v>433</v>
      </c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27"/>
      <c r="AK460" s="98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99"/>
    </row>
    <row r="461" spans="2:61" ht="20.100000000000001" customHeight="1" x14ac:dyDescent="0.45">
      <c r="B461" s="123"/>
      <c r="C461" s="31"/>
      <c r="D461" s="31"/>
      <c r="E461" s="31"/>
      <c r="F461" s="31"/>
      <c r="G461" s="96"/>
      <c r="H461" s="97"/>
      <c r="I461" s="31"/>
      <c r="J461" s="103" t="s">
        <v>273</v>
      </c>
      <c r="K461" s="104"/>
      <c r="L461" s="104"/>
      <c r="M461" s="104"/>
      <c r="N461" s="104"/>
      <c r="O461" s="104"/>
      <c r="P461" s="104"/>
      <c r="Q461" s="127"/>
      <c r="R461" s="160" t="s">
        <v>434</v>
      </c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27"/>
      <c r="AK461" s="98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99"/>
    </row>
    <row r="462" spans="2:61" ht="20.100000000000001" customHeight="1" x14ac:dyDescent="0.45">
      <c r="B462" s="123"/>
      <c r="C462" s="31"/>
      <c r="D462" s="31"/>
      <c r="E462" s="31"/>
      <c r="F462" s="31"/>
      <c r="G462" s="96"/>
      <c r="H462" s="97"/>
      <c r="I462" s="31"/>
      <c r="J462" s="103" t="s">
        <v>275</v>
      </c>
      <c r="K462" s="104"/>
      <c r="L462" s="104"/>
      <c r="M462" s="104"/>
      <c r="N462" s="104"/>
      <c r="O462" s="104"/>
      <c r="P462" s="104"/>
      <c r="Q462" s="127"/>
      <c r="R462" s="160" t="s">
        <v>435</v>
      </c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27"/>
      <c r="AK462" s="98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99"/>
    </row>
    <row r="463" spans="2:61" ht="20.100000000000001" customHeight="1" x14ac:dyDescent="0.45">
      <c r="B463" s="123"/>
      <c r="C463" s="31"/>
      <c r="D463" s="31"/>
      <c r="E463" s="31"/>
      <c r="F463" s="31"/>
      <c r="G463" s="96"/>
      <c r="H463" s="97"/>
      <c r="I463" s="31"/>
      <c r="J463" s="103" t="s">
        <v>277</v>
      </c>
      <c r="K463" s="104"/>
      <c r="L463" s="104"/>
      <c r="M463" s="104"/>
      <c r="N463" s="104"/>
      <c r="O463" s="104"/>
      <c r="P463" s="104"/>
      <c r="Q463" s="127"/>
      <c r="R463" s="160" t="s">
        <v>436</v>
      </c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27"/>
      <c r="AK463" s="98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99"/>
    </row>
    <row r="464" spans="2:61" ht="20.100000000000001" customHeight="1" x14ac:dyDescent="0.45">
      <c r="B464" s="123"/>
      <c r="C464" s="31"/>
      <c r="D464" s="31"/>
      <c r="E464" s="31"/>
      <c r="F464" s="31"/>
      <c r="G464" s="96"/>
      <c r="H464" s="97"/>
      <c r="I464" s="31"/>
      <c r="J464" s="103" t="s">
        <v>279</v>
      </c>
      <c r="K464" s="104"/>
      <c r="L464" s="104"/>
      <c r="M464" s="104"/>
      <c r="N464" s="104"/>
      <c r="O464" s="104"/>
      <c r="P464" s="104"/>
      <c r="Q464" s="127"/>
      <c r="R464" s="160" t="s">
        <v>437</v>
      </c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27"/>
      <c r="AK464" s="98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99"/>
    </row>
    <row r="465" spans="2:61" ht="20.100000000000001" customHeight="1" x14ac:dyDescent="0.45">
      <c r="B465" s="123"/>
      <c r="C465" s="31"/>
      <c r="D465" s="31"/>
      <c r="E465" s="31"/>
      <c r="F465" s="31"/>
      <c r="G465" s="96"/>
      <c r="H465" s="97"/>
      <c r="I465" s="31"/>
      <c r="J465" s="103" t="s">
        <v>281</v>
      </c>
      <c r="K465" s="104"/>
      <c r="L465" s="104"/>
      <c r="M465" s="104"/>
      <c r="N465" s="104"/>
      <c r="O465" s="104"/>
      <c r="P465" s="104"/>
      <c r="Q465" s="127"/>
      <c r="R465" s="160" t="s">
        <v>438</v>
      </c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27"/>
      <c r="AK465" s="98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99"/>
    </row>
    <row r="466" spans="2:61" ht="20.100000000000001" customHeight="1" x14ac:dyDescent="0.45">
      <c r="B466" s="123"/>
      <c r="C466" s="31"/>
      <c r="D466" s="31"/>
      <c r="E466" s="31"/>
      <c r="F466" s="31"/>
      <c r="G466" s="96"/>
      <c r="H466" s="97"/>
      <c r="I466" s="31"/>
      <c r="J466" s="103" t="s">
        <v>283</v>
      </c>
      <c r="K466" s="104"/>
      <c r="L466" s="104"/>
      <c r="M466" s="104"/>
      <c r="N466" s="104"/>
      <c r="O466" s="104"/>
      <c r="P466" s="104"/>
      <c r="Q466" s="127"/>
      <c r="R466" s="160" t="s">
        <v>439</v>
      </c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27"/>
      <c r="AK466" s="98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99"/>
    </row>
    <row r="467" spans="2:61" ht="20.100000000000001" customHeight="1" x14ac:dyDescent="0.45">
      <c r="B467" s="123"/>
      <c r="C467" s="31"/>
      <c r="D467" s="31"/>
      <c r="E467" s="31"/>
      <c r="F467" s="31"/>
      <c r="G467" s="96"/>
      <c r="H467" s="97"/>
      <c r="I467" s="31"/>
      <c r="J467" s="103" t="s">
        <v>285</v>
      </c>
      <c r="K467" s="104"/>
      <c r="L467" s="104"/>
      <c r="M467" s="104"/>
      <c r="N467" s="104"/>
      <c r="O467" s="104"/>
      <c r="P467" s="104"/>
      <c r="Q467" s="127"/>
      <c r="R467" s="160" t="s">
        <v>440</v>
      </c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27"/>
      <c r="AK467" s="98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99"/>
    </row>
    <row r="468" spans="2:61" ht="20.100000000000001" customHeight="1" x14ac:dyDescent="0.45">
      <c r="B468" s="123"/>
      <c r="C468" s="31"/>
      <c r="D468" s="31"/>
      <c r="E468" s="31"/>
      <c r="F468" s="31"/>
      <c r="G468" s="96"/>
      <c r="H468" s="97"/>
      <c r="I468" s="31"/>
      <c r="J468" s="103" t="s">
        <v>287</v>
      </c>
      <c r="K468" s="104"/>
      <c r="L468" s="104"/>
      <c r="M468" s="104"/>
      <c r="N468" s="104"/>
      <c r="O468" s="104"/>
      <c r="P468" s="104"/>
      <c r="Q468" s="127"/>
      <c r="R468" s="160" t="s">
        <v>441</v>
      </c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27"/>
      <c r="AK468" s="98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99"/>
    </row>
    <row r="469" spans="2:61" ht="20.100000000000001" customHeight="1" x14ac:dyDescent="0.45">
      <c r="B469" s="123"/>
      <c r="C469" s="31"/>
      <c r="D469" s="31"/>
      <c r="E469" s="31"/>
      <c r="F469" s="31"/>
      <c r="G469" s="96"/>
      <c r="H469" s="97"/>
      <c r="I469" s="31"/>
      <c r="J469" s="103" t="s">
        <v>289</v>
      </c>
      <c r="K469" s="104"/>
      <c r="L469" s="104"/>
      <c r="M469" s="104"/>
      <c r="N469" s="104"/>
      <c r="O469" s="104"/>
      <c r="P469" s="104"/>
      <c r="Q469" s="127"/>
      <c r="R469" s="160" t="s">
        <v>442</v>
      </c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27"/>
      <c r="AK469" s="98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99"/>
    </row>
    <row r="470" spans="2:61" ht="20.100000000000001" customHeight="1" x14ac:dyDescent="0.45">
      <c r="B470" s="123"/>
      <c r="C470" s="31"/>
      <c r="D470" s="31"/>
      <c r="E470" s="31"/>
      <c r="F470" s="31"/>
      <c r="G470" s="96"/>
      <c r="H470" s="97"/>
      <c r="I470" s="31"/>
      <c r="J470" s="103" t="s">
        <v>200</v>
      </c>
      <c r="K470" s="104"/>
      <c r="L470" s="104"/>
      <c r="M470" s="104"/>
      <c r="N470" s="104"/>
      <c r="O470" s="104"/>
      <c r="P470" s="104"/>
      <c r="Q470" s="127"/>
      <c r="R470" s="160" t="s">
        <v>344</v>
      </c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27"/>
      <c r="AK470" s="98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99"/>
    </row>
    <row r="471" spans="2:61" ht="20.100000000000001" customHeight="1" x14ac:dyDescent="0.45">
      <c r="B471" s="123"/>
      <c r="C471" s="31"/>
      <c r="D471" s="31"/>
      <c r="E471" s="31"/>
      <c r="F471" s="31"/>
      <c r="G471" s="96"/>
      <c r="H471" s="97"/>
      <c r="I471" s="31"/>
      <c r="J471" s="103" t="s">
        <v>292</v>
      </c>
      <c r="K471" s="104"/>
      <c r="L471" s="104"/>
      <c r="M471" s="104"/>
      <c r="N471" s="104"/>
      <c r="O471" s="104"/>
      <c r="P471" s="104"/>
      <c r="Q471" s="127"/>
      <c r="R471" s="160" t="s">
        <v>345</v>
      </c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27"/>
      <c r="AK471" s="98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99"/>
    </row>
    <row r="472" spans="2:61" ht="20.100000000000001" customHeight="1" x14ac:dyDescent="0.45">
      <c r="B472" s="123"/>
      <c r="C472" s="31"/>
      <c r="D472" s="31"/>
      <c r="E472" s="31"/>
      <c r="F472" s="31"/>
      <c r="G472" s="96"/>
      <c r="H472" s="97"/>
      <c r="I472" s="31"/>
      <c r="J472" s="103" t="s">
        <v>294</v>
      </c>
      <c r="K472" s="104"/>
      <c r="L472" s="104"/>
      <c r="M472" s="104"/>
      <c r="N472" s="104"/>
      <c r="O472" s="104"/>
      <c r="P472" s="104"/>
      <c r="Q472" s="127"/>
      <c r="R472" s="160" t="s">
        <v>443</v>
      </c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27"/>
      <c r="AK472" s="98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99"/>
    </row>
    <row r="473" spans="2:61" ht="20.100000000000001" customHeight="1" x14ac:dyDescent="0.45">
      <c r="B473" s="123"/>
      <c r="C473" s="31"/>
      <c r="D473" s="31"/>
      <c r="E473" s="31"/>
      <c r="F473" s="31"/>
      <c r="G473" s="96"/>
      <c r="H473" s="97"/>
      <c r="I473" s="31"/>
      <c r="J473" s="103" t="s">
        <v>296</v>
      </c>
      <c r="K473" s="104"/>
      <c r="L473" s="104"/>
      <c r="M473" s="104"/>
      <c r="N473" s="104"/>
      <c r="O473" s="104"/>
      <c r="P473" s="104"/>
      <c r="Q473" s="127"/>
      <c r="R473" s="160" t="s">
        <v>444</v>
      </c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27"/>
      <c r="AK473" s="98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99"/>
    </row>
    <row r="474" spans="2:61" ht="20.100000000000001" customHeight="1" x14ac:dyDescent="0.45">
      <c r="B474" s="123"/>
      <c r="C474" s="31"/>
      <c r="D474" s="31"/>
      <c r="E474" s="31"/>
      <c r="F474" s="31"/>
      <c r="G474" s="96"/>
      <c r="H474" s="97"/>
      <c r="I474" s="31"/>
      <c r="J474" s="103" t="s">
        <v>298</v>
      </c>
      <c r="K474" s="104"/>
      <c r="L474" s="104"/>
      <c r="M474" s="104"/>
      <c r="N474" s="104"/>
      <c r="O474" s="104"/>
      <c r="P474" s="104"/>
      <c r="Q474" s="127"/>
      <c r="R474" s="160" t="s">
        <v>445</v>
      </c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27"/>
      <c r="AK474" s="98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99"/>
    </row>
    <row r="475" spans="2:61" ht="20.100000000000001" customHeight="1" x14ac:dyDescent="0.45">
      <c r="B475" s="123"/>
      <c r="C475" s="31"/>
      <c r="D475" s="31"/>
      <c r="E475" s="31"/>
      <c r="F475" s="31"/>
      <c r="G475" s="96"/>
      <c r="H475" s="97"/>
      <c r="I475" s="31"/>
      <c r="J475" s="103" t="s">
        <v>300</v>
      </c>
      <c r="K475" s="104"/>
      <c r="L475" s="104"/>
      <c r="M475" s="104"/>
      <c r="N475" s="104"/>
      <c r="O475" s="104"/>
      <c r="P475" s="104"/>
      <c r="Q475" s="127"/>
      <c r="R475" s="160" t="s">
        <v>446</v>
      </c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27"/>
      <c r="AK475" s="98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99"/>
    </row>
    <row r="476" spans="2:61" ht="20.100000000000001" customHeight="1" x14ac:dyDescent="0.45">
      <c r="B476" s="123"/>
      <c r="C476" s="31"/>
      <c r="D476" s="31"/>
      <c r="E476" s="31"/>
      <c r="F476" s="31"/>
      <c r="G476" s="96"/>
      <c r="H476" s="97"/>
      <c r="I476" s="31"/>
      <c r="J476" s="103" t="s">
        <v>302</v>
      </c>
      <c r="K476" s="104"/>
      <c r="L476" s="104"/>
      <c r="M476" s="104"/>
      <c r="N476" s="104"/>
      <c r="O476" s="104"/>
      <c r="P476" s="104"/>
      <c r="Q476" s="127"/>
      <c r="R476" s="160" t="s">
        <v>447</v>
      </c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27"/>
      <c r="AK476" s="98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99"/>
    </row>
    <row r="477" spans="2:61" ht="20.100000000000001" customHeight="1" x14ac:dyDescent="0.45">
      <c r="B477" s="123"/>
      <c r="C477" s="31"/>
      <c r="D477" s="31"/>
      <c r="E477" s="31"/>
      <c r="F477" s="31"/>
      <c r="G477" s="96"/>
      <c r="H477" s="97"/>
      <c r="I477" s="31"/>
      <c r="J477" s="103" t="s">
        <v>304</v>
      </c>
      <c r="K477" s="104"/>
      <c r="L477" s="104"/>
      <c r="M477" s="104"/>
      <c r="N477" s="104"/>
      <c r="O477" s="104"/>
      <c r="P477" s="104"/>
      <c r="Q477" s="127"/>
      <c r="R477" s="160" t="s">
        <v>448</v>
      </c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27"/>
      <c r="AK477" s="98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99"/>
    </row>
    <row r="478" spans="2:61" ht="20.100000000000001" customHeight="1" x14ac:dyDescent="0.45">
      <c r="B478" s="123"/>
      <c r="C478" s="31"/>
      <c r="D478" s="31"/>
      <c r="E478" s="31"/>
      <c r="F478" s="31"/>
      <c r="G478" s="96"/>
      <c r="H478" s="97"/>
      <c r="I478" s="31"/>
      <c r="J478" s="103" t="s">
        <v>306</v>
      </c>
      <c r="K478" s="104"/>
      <c r="L478" s="104"/>
      <c r="M478" s="104"/>
      <c r="N478" s="104"/>
      <c r="O478" s="104"/>
      <c r="P478" s="104"/>
      <c r="Q478" s="127"/>
      <c r="R478" s="160" t="s">
        <v>449</v>
      </c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27"/>
      <c r="AK478" s="98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99"/>
    </row>
    <row r="479" spans="2:61" ht="20.100000000000001" customHeight="1" x14ac:dyDescent="0.45">
      <c r="B479" s="123"/>
      <c r="C479" s="31"/>
      <c r="D479" s="31"/>
      <c r="E479" s="31"/>
      <c r="F479" s="31"/>
      <c r="G479" s="96"/>
      <c r="H479" s="97"/>
      <c r="I479" s="31"/>
      <c r="J479" s="103" t="s">
        <v>308</v>
      </c>
      <c r="K479" s="104"/>
      <c r="L479" s="104"/>
      <c r="M479" s="104"/>
      <c r="N479" s="104"/>
      <c r="O479" s="104"/>
      <c r="P479" s="104"/>
      <c r="Q479" s="127"/>
      <c r="R479" s="160" t="s">
        <v>450</v>
      </c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27"/>
      <c r="AK479" s="98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99"/>
    </row>
    <row r="480" spans="2:61" ht="20.100000000000001" customHeight="1" x14ac:dyDescent="0.45">
      <c r="B480" s="123"/>
      <c r="C480" s="31"/>
      <c r="D480" s="31"/>
      <c r="E480" s="31"/>
      <c r="F480" s="31"/>
      <c r="G480" s="96"/>
      <c r="H480" s="100" t="s">
        <v>52</v>
      </c>
      <c r="I480" s="55"/>
      <c r="J480" s="100" t="s">
        <v>354</v>
      </c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101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102"/>
    </row>
    <row r="481" spans="2:61" ht="20.100000000000001" customHeight="1" x14ac:dyDescent="0.45">
      <c r="B481" s="95"/>
      <c r="C481" s="31"/>
      <c r="D481" s="31"/>
      <c r="E481" s="31"/>
      <c r="F481" s="31"/>
      <c r="G481" s="96"/>
      <c r="H481" s="100" t="s">
        <v>54</v>
      </c>
      <c r="I481" s="55"/>
      <c r="J481" s="100" t="s">
        <v>359</v>
      </c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101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102"/>
    </row>
    <row r="482" spans="2:61" ht="20.100000000000001" customHeight="1" thickBot="1" x14ac:dyDescent="0.5">
      <c r="B482" s="95"/>
      <c r="C482" s="31"/>
      <c r="D482" s="31"/>
      <c r="E482" s="31"/>
      <c r="F482" s="31"/>
      <c r="G482" s="96"/>
      <c r="H482" s="97"/>
      <c r="I482" s="31"/>
      <c r="J482" s="97" t="s">
        <v>451</v>
      </c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98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99"/>
    </row>
    <row r="483" spans="2:61" ht="20.100000000000001" customHeight="1" x14ac:dyDescent="0.45">
      <c r="B483" s="89" t="s">
        <v>318</v>
      </c>
      <c r="C483" s="90"/>
      <c r="D483" s="90"/>
      <c r="E483" s="90"/>
      <c r="F483" s="90"/>
      <c r="G483" s="91"/>
      <c r="H483" s="92" t="s">
        <v>83</v>
      </c>
      <c r="I483" s="90"/>
      <c r="J483" s="120" t="s">
        <v>186</v>
      </c>
      <c r="K483" s="121"/>
      <c r="L483" s="121"/>
      <c r="M483" s="121"/>
      <c r="N483" s="121"/>
      <c r="O483" s="121"/>
      <c r="P483" s="121"/>
      <c r="Q483" s="122"/>
      <c r="R483" s="121" t="s">
        <v>452</v>
      </c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2"/>
      <c r="AK483" s="93" t="s">
        <v>453</v>
      </c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4"/>
    </row>
    <row r="484" spans="2:61" ht="20.100000000000001" customHeight="1" x14ac:dyDescent="0.45">
      <c r="B484" s="123"/>
      <c r="C484" s="31"/>
      <c r="D484" s="31"/>
      <c r="E484" s="31"/>
      <c r="F484" s="31"/>
      <c r="G484" s="96"/>
      <c r="H484" s="97"/>
      <c r="I484" s="31"/>
      <c r="J484" s="103" t="s">
        <v>243</v>
      </c>
      <c r="K484" s="104"/>
      <c r="L484" s="104"/>
      <c r="M484" s="104"/>
      <c r="N484" s="104"/>
      <c r="O484" s="104"/>
      <c r="P484" s="104"/>
      <c r="Q484" s="127"/>
      <c r="R484" s="160" t="s">
        <v>454</v>
      </c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27"/>
      <c r="AK484" s="98" t="s">
        <v>455</v>
      </c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99"/>
    </row>
    <row r="485" spans="2:61" ht="20.100000000000001" customHeight="1" x14ac:dyDescent="0.45">
      <c r="B485" s="123"/>
      <c r="C485" s="31"/>
      <c r="D485" s="31"/>
      <c r="E485" s="31"/>
      <c r="F485" s="31"/>
      <c r="G485" s="96"/>
      <c r="H485" s="97"/>
      <c r="I485" s="31"/>
      <c r="J485" s="103" t="s">
        <v>246</v>
      </c>
      <c r="K485" s="104"/>
      <c r="L485" s="104"/>
      <c r="M485" s="104"/>
      <c r="N485" s="104"/>
      <c r="O485" s="104"/>
      <c r="P485" s="104"/>
      <c r="Q485" s="127"/>
      <c r="R485" s="160" t="s">
        <v>456</v>
      </c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27"/>
      <c r="AK485" s="98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99"/>
    </row>
    <row r="486" spans="2:61" ht="20.100000000000001" customHeight="1" x14ac:dyDescent="0.45">
      <c r="B486" s="123"/>
      <c r="C486" s="31"/>
      <c r="D486" s="31"/>
      <c r="E486" s="31"/>
      <c r="F486" s="31"/>
      <c r="G486" s="96"/>
      <c r="H486" s="97"/>
      <c r="I486" s="31"/>
      <c r="J486" s="103" t="s">
        <v>249</v>
      </c>
      <c r="K486" s="104"/>
      <c r="L486" s="104"/>
      <c r="M486" s="104"/>
      <c r="N486" s="104"/>
      <c r="O486" s="104"/>
      <c r="P486" s="104"/>
      <c r="Q486" s="127"/>
      <c r="R486" s="104" t="s">
        <v>457</v>
      </c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27"/>
      <c r="AK486" s="98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99"/>
    </row>
    <row r="487" spans="2:61" ht="20.100000000000001" customHeight="1" x14ac:dyDescent="0.45">
      <c r="B487" s="123"/>
      <c r="C487" s="31"/>
      <c r="D487" s="31"/>
      <c r="E487" s="31"/>
      <c r="F487" s="31"/>
      <c r="G487" s="96"/>
      <c r="H487" s="97"/>
      <c r="I487" s="31"/>
      <c r="J487" s="103" t="s">
        <v>251</v>
      </c>
      <c r="K487" s="104"/>
      <c r="L487" s="104"/>
      <c r="M487" s="104"/>
      <c r="N487" s="104"/>
      <c r="O487" s="104"/>
      <c r="P487" s="104"/>
      <c r="Q487" s="127"/>
      <c r="R487" s="160" t="s">
        <v>458</v>
      </c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27"/>
      <c r="AK487" s="98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99"/>
    </row>
    <row r="488" spans="2:61" ht="20.100000000000001" customHeight="1" x14ac:dyDescent="0.45">
      <c r="B488" s="123"/>
      <c r="C488" s="31"/>
      <c r="D488" s="31"/>
      <c r="E488" s="31"/>
      <c r="F488" s="31"/>
      <c r="G488" s="96"/>
      <c r="H488" s="97"/>
      <c r="I488" s="31"/>
      <c r="J488" s="103" t="s">
        <v>253</v>
      </c>
      <c r="K488" s="104"/>
      <c r="L488" s="104"/>
      <c r="M488" s="104"/>
      <c r="N488" s="104"/>
      <c r="O488" s="104"/>
      <c r="P488" s="104"/>
      <c r="Q488" s="127"/>
      <c r="R488" s="160" t="s">
        <v>459</v>
      </c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27"/>
      <c r="AK488" s="98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99"/>
    </row>
    <row r="489" spans="2:61" ht="20.100000000000001" customHeight="1" x14ac:dyDescent="0.45">
      <c r="B489" s="123"/>
      <c r="C489" s="31"/>
      <c r="D489" s="31"/>
      <c r="E489" s="31"/>
      <c r="F489" s="31"/>
      <c r="G489" s="96"/>
      <c r="H489" s="97"/>
      <c r="I489" s="31"/>
      <c r="J489" s="103" t="s">
        <v>255</v>
      </c>
      <c r="K489" s="104"/>
      <c r="L489" s="104"/>
      <c r="M489" s="104"/>
      <c r="N489" s="104"/>
      <c r="O489" s="104"/>
      <c r="P489" s="104"/>
      <c r="Q489" s="127"/>
      <c r="R489" s="160" t="s">
        <v>460</v>
      </c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27"/>
      <c r="AK489" s="98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99"/>
    </row>
    <row r="490" spans="2:61" ht="20.100000000000001" customHeight="1" x14ac:dyDescent="0.45">
      <c r="B490" s="123"/>
      <c r="C490" s="31"/>
      <c r="D490" s="31"/>
      <c r="E490" s="31"/>
      <c r="F490" s="31"/>
      <c r="G490" s="96"/>
      <c r="H490" s="97"/>
      <c r="I490" s="31"/>
      <c r="J490" s="103" t="s">
        <v>257</v>
      </c>
      <c r="K490" s="104"/>
      <c r="L490" s="104"/>
      <c r="M490" s="104"/>
      <c r="N490" s="104"/>
      <c r="O490" s="104"/>
      <c r="P490" s="104"/>
      <c r="Q490" s="127"/>
      <c r="R490" s="160" t="s">
        <v>461</v>
      </c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27"/>
      <c r="AK490" s="98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99"/>
    </row>
    <row r="491" spans="2:61" ht="20.100000000000001" customHeight="1" x14ac:dyDescent="0.45">
      <c r="B491" s="123"/>
      <c r="C491" s="31"/>
      <c r="D491" s="31"/>
      <c r="E491" s="31"/>
      <c r="F491" s="31"/>
      <c r="G491" s="96"/>
      <c r="H491" s="97"/>
      <c r="I491" s="31"/>
      <c r="J491" s="103" t="s">
        <v>259</v>
      </c>
      <c r="K491" s="104"/>
      <c r="L491" s="104"/>
      <c r="M491" s="104"/>
      <c r="N491" s="104"/>
      <c r="O491" s="104"/>
      <c r="P491" s="104"/>
      <c r="Q491" s="127"/>
      <c r="R491" s="160" t="s">
        <v>462</v>
      </c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27"/>
      <c r="AK491" s="98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99"/>
    </row>
    <row r="492" spans="2:61" ht="20.100000000000001" customHeight="1" x14ac:dyDescent="0.45">
      <c r="B492" s="123"/>
      <c r="C492" s="31"/>
      <c r="D492" s="31"/>
      <c r="E492" s="31"/>
      <c r="F492" s="31"/>
      <c r="G492" s="96"/>
      <c r="H492" s="97"/>
      <c r="I492" s="31"/>
      <c r="J492" s="103" t="s">
        <v>261</v>
      </c>
      <c r="K492" s="104"/>
      <c r="L492" s="104"/>
      <c r="M492" s="104"/>
      <c r="N492" s="104"/>
      <c r="O492" s="104"/>
      <c r="P492" s="104"/>
      <c r="Q492" s="127"/>
      <c r="R492" s="160" t="s">
        <v>463</v>
      </c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27"/>
      <c r="AK492" s="98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99"/>
    </row>
    <row r="493" spans="2:61" ht="20.100000000000001" customHeight="1" x14ac:dyDescent="0.45">
      <c r="B493" s="123"/>
      <c r="C493" s="31"/>
      <c r="D493" s="31"/>
      <c r="E493" s="31"/>
      <c r="F493" s="31"/>
      <c r="G493" s="96"/>
      <c r="H493" s="97"/>
      <c r="I493" s="31"/>
      <c r="J493" s="103" t="s">
        <v>263</v>
      </c>
      <c r="K493" s="104"/>
      <c r="L493" s="104"/>
      <c r="M493" s="104"/>
      <c r="N493" s="104"/>
      <c r="O493" s="104"/>
      <c r="P493" s="104"/>
      <c r="Q493" s="127"/>
      <c r="R493" s="160" t="s">
        <v>464</v>
      </c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27"/>
      <c r="AK493" s="98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99"/>
    </row>
    <row r="494" spans="2:61" ht="20.100000000000001" customHeight="1" x14ac:dyDescent="0.45">
      <c r="B494" s="123"/>
      <c r="C494" s="31"/>
      <c r="D494" s="31"/>
      <c r="E494" s="31"/>
      <c r="F494" s="31"/>
      <c r="G494" s="96"/>
      <c r="H494" s="97"/>
      <c r="I494" s="31"/>
      <c r="J494" s="103" t="s">
        <v>265</v>
      </c>
      <c r="K494" s="104"/>
      <c r="L494" s="104"/>
      <c r="M494" s="104"/>
      <c r="N494" s="104"/>
      <c r="O494" s="104"/>
      <c r="P494" s="104"/>
      <c r="Q494" s="127"/>
      <c r="R494" s="160" t="s">
        <v>465</v>
      </c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27"/>
      <c r="AK494" s="98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99"/>
    </row>
    <row r="495" spans="2:61" ht="20.100000000000001" customHeight="1" x14ac:dyDescent="0.45">
      <c r="B495" s="123"/>
      <c r="C495" s="31"/>
      <c r="D495" s="31"/>
      <c r="E495" s="31"/>
      <c r="F495" s="31"/>
      <c r="G495" s="96"/>
      <c r="H495" s="97"/>
      <c r="I495" s="31"/>
      <c r="J495" s="103" t="s">
        <v>267</v>
      </c>
      <c r="K495" s="104"/>
      <c r="L495" s="104"/>
      <c r="M495" s="104"/>
      <c r="N495" s="104"/>
      <c r="O495" s="104"/>
      <c r="P495" s="104"/>
      <c r="Q495" s="127"/>
      <c r="R495" s="160" t="s">
        <v>466</v>
      </c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27"/>
      <c r="AK495" s="98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99"/>
    </row>
    <row r="496" spans="2:61" ht="20.100000000000001" customHeight="1" x14ac:dyDescent="0.45">
      <c r="B496" s="123"/>
      <c r="C496" s="31"/>
      <c r="D496" s="31"/>
      <c r="E496" s="31"/>
      <c r="F496" s="31"/>
      <c r="G496" s="96"/>
      <c r="H496" s="97"/>
      <c r="I496" s="31"/>
      <c r="J496" s="103" t="s">
        <v>269</v>
      </c>
      <c r="K496" s="104"/>
      <c r="L496" s="104"/>
      <c r="M496" s="104"/>
      <c r="N496" s="104"/>
      <c r="O496" s="104"/>
      <c r="P496" s="104"/>
      <c r="Q496" s="127"/>
      <c r="R496" s="160" t="s">
        <v>467</v>
      </c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27"/>
      <c r="AK496" s="98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99"/>
    </row>
    <row r="497" spans="2:61" ht="20.100000000000001" customHeight="1" x14ac:dyDescent="0.45">
      <c r="B497" s="123"/>
      <c r="C497" s="31"/>
      <c r="D497" s="31"/>
      <c r="E497" s="31"/>
      <c r="F497" s="31"/>
      <c r="G497" s="96"/>
      <c r="H497" s="97"/>
      <c r="I497" s="31"/>
      <c r="J497" s="103" t="s">
        <v>271</v>
      </c>
      <c r="K497" s="104"/>
      <c r="L497" s="104"/>
      <c r="M497" s="104"/>
      <c r="N497" s="104"/>
      <c r="O497" s="104"/>
      <c r="P497" s="104"/>
      <c r="Q497" s="127"/>
      <c r="R497" s="160" t="s">
        <v>468</v>
      </c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27"/>
      <c r="AK497" s="98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99"/>
    </row>
    <row r="498" spans="2:61" ht="20.100000000000001" customHeight="1" x14ac:dyDescent="0.45">
      <c r="B498" s="123"/>
      <c r="C498" s="31"/>
      <c r="D498" s="31"/>
      <c r="E498" s="31"/>
      <c r="F498" s="31"/>
      <c r="G498" s="96"/>
      <c r="H498" s="97"/>
      <c r="I498" s="31"/>
      <c r="J498" s="103" t="s">
        <v>273</v>
      </c>
      <c r="K498" s="104"/>
      <c r="L498" s="104"/>
      <c r="M498" s="104"/>
      <c r="N498" s="104"/>
      <c r="O498" s="104"/>
      <c r="P498" s="104"/>
      <c r="Q498" s="127"/>
      <c r="R498" s="160" t="s">
        <v>469</v>
      </c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27"/>
      <c r="AK498" s="98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99"/>
    </row>
    <row r="499" spans="2:61" ht="20.100000000000001" customHeight="1" x14ac:dyDescent="0.45">
      <c r="B499" s="123"/>
      <c r="C499" s="31"/>
      <c r="D499" s="31"/>
      <c r="E499" s="31"/>
      <c r="F499" s="31"/>
      <c r="G499" s="96"/>
      <c r="H499" s="97"/>
      <c r="I499" s="31"/>
      <c r="J499" s="103" t="s">
        <v>275</v>
      </c>
      <c r="K499" s="104"/>
      <c r="L499" s="104"/>
      <c r="M499" s="104"/>
      <c r="N499" s="104"/>
      <c r="O499" s="104"/>
      <c r="P499" s="104"/>
      <c r="Q499" s="127"/>
      <c r="R499" s="160" t="s">
        <v>470</v>
      </c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27"/>
      <c r="AK499" s="98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99"/>
    </row>
    <row r="500" spans="2:61" ht="20.100000000000001" customHeight="1" x14ac:dyDescent="0.45">
      <c r="B500" s="123"/>
      <c r="C500" s="31"/>
      <c r="D500" s="31"/>
      <c r="E500" s="31"/>
      <c r="F500" s="31"/>
      <c r="G500" s="96"/>
      <c r="H500" s="97"/>
      <c r="I500" s="31"/>
      <c r="J500" s="103" t="s">
        <v>277</v>
      </c>
      <c r="K500" s="104"/>
      <c r="L500" s="104"/>
      <c r="M500" s="104"/>
      <c r="N500" s="104"/>
      <c r="O500" s="104"/>
      <c r="P500" s="104"/>
      <c r="Q500" s="127"/>
      <c r="R500" s="160" t="s">
        <v>471</v>
      </c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27"/>
      <c r="AK500" s="98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99"/>
    </row>
    <row r="501" spans="2:61" ht="20.100000000000001" customHeight="1" x14ac:dyDescent="0.45">
      <c r="B501" s="123"/>
      <c r="C501" s="31"/>
      <c r="D501" s="31"/>
      <c r="E501" s="31"/>
      <c r="F501" s="31"/>
      <c r="G501" s="96"/>
      <c r="H501" s="97"/>
      <c r="I501" s="31"/>
      <c r="J501" s="103" t="s">
        <v>279</v>
      </c>
      <c r="K501" s="104"/>
      <c r="L501" s="104"/>
      <c r="M501" s="104"/>
      <c r="N501" s="104"/>
      <c r="O501" s="104"/>
      <c r="P501" s="104"/>
      <c r="Q501" s="127"/>
      <c r="R501" s="160" t="s">
        <v>472</v>
      </c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27"/>
      <c r="AK501" s="98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99"/>
    </row>
    <row r="502" spans="2:61" ht="20.100000000000001" customHeight="1" x14ac:dyDescent="0.45">
      <c r="B502" s="123"/>
      <c r="C502" s="31"/>
      <c r="D502" s="31"/>
      <c r="E502" s="31"/>
      <c r="F502" s="31"/>
      <c r="G502" s="96"/>
      <c r="H502" s="97"/>
      <c r="I502" s="31"/>
      <c r="J502" s="103" t="s">
        <v>281</v>
      </c>
      <c r="K502" s="104"/>
      <c r="L502" s="104"/>
      <c r="M502" s="104"/>
      <c r="N502" s="104"/>
      <c r="O502" s="104"/>
      <c r="P502" s="104"/>
      <c r="Q502" s="127"/>
      <c r="R502" s="160" t="s">
        <v>473</v>
      </c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27"/>
      <c r="AK502" s="98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99"/>
    </row>
    <row r="503" spans="2:61" ht="20.100000000000001" customHeight="1" x14ac:dyDescent="0.45">
      <c r="B503" s="123"/>
      <c r="C503" s="31"/>
      <c r="D503" s="31"/>
      <c r="E503" s="31"/>
      <c r="F503" s="31"/>
      <c r="G503" s="96"/>
      <c r="H503" s="97"/>
      <c r="I503" s="31"/>
      <c r="J503" s="103" t="s">
        <v>283</v>
      </c>
      <c r="K503" s="104"/>
      <c r="L503" s="104"/>
      <c r="M503" s="104"/>
      <c r="N503" s="104"/>
      <c r="O503" s="104"/>
      <c r="P503" s="104"/>
      <c r="Q503" s="127"/>
      <c r="R503" s="160" t="s">
        <v>474</v>
      </c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27"/>
      <c r="AK503" s="98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99"/>
    </row>
    <row r="504" spans="2:61" ht="20.100000000000001" customHeight="1" x14ac:dyDescent="0.45">
      <c r="B504" s="123"/>
      <c r="C504" s="31"/>
      <c r="D504" s="31"/>
      <c r="E504" s="31"/>
      <c r="F504" s="31"/>
      <c r="G504" s="96"/>
      <c r="H504" s="97"/>
      <c r="I504" s="31"/>
      <c r="J504" s="103" t="s">
        <v>285</v>
      </c>
      <c r="K504" s="104"/>
      <c r="L504" s="104"/>
      <c r="M504" s="104"/>
      <c r="N504" s="104"/>
      <c r="O504" s="104"/>
      <c r="P504" s="104"/>
      <c r="Q504" s="127"/>
      <c r="R504" s="160" t="s">
        <v>475</v>
      </c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27"/>
      <c r="AK504" s="98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99"/>
    </row>
    <row r="505" spans="2:61" ht="20.100000000000001" customHeight="1" x14ac:dyDescent="0.45">
      <c r="B505" s="123"/>
      <c r="C505" s="31"/>
      <c r="D505" s="31"/>
      <c r="E505" s="31"/>
      <c r="F505" s="31"/>
      <c r="G505" s="96"/>
      <c r="H505" s="97"/>
      <c r="I505" s="31"/>
      <c r="J505" s="103" t="s">
        <v>287</v>
      </c>
      <c r="K505" s="104"/>
      <c r="L505" s="104"/>
      <c r="M505" s="104"/>
      <c r="N505" s="104"/>
      <c r="O505" s="104"/>
      <c r="P505" s="104"/>
      <c r="Q505" s="127"/>
      <c r="R505" s="160" t="s">
        <v>476</v>
      </c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27"/>
      <c r="AK505" s="98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99"/>
    </row>
    <row r="506" spans="2:61" ht="20.100000000000001" customHeight="1" x14ac:dyDescent="0.45">
      <c r="B506" s="123"/>
      <c r="C506" s="31"/>
      <c r="D506" s="31"/>
      <c r="E506" s="31"/>
      <c r="F506" s="31"/>
      <c r="G506" s="96"/>
      <c r="H506" s="97"/>
      <c r="I506" s="31"/>
      <c r="J506" s="103" t="s">
        <v>289</v>
      </c>
      <c r="K506" s="104"/>
      <c r="L506" s="104"/>
      <c r="M506" s="104"/>
      <c r="N506" s="104"/>
      <c r="O506" s="104"/>
      <c r="P506" s="104"/>
      <c r="Q506" s="127"/>
      <c r="R506" s="160" t="s">
        <v>477</v>
      </c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27"/>
      <c r="AK506" s="98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99"/>
    </row>
    <row r="507" spans="2:61" ht="20.100000000000001" customHeight="1" x14ac:dyDescent="0.45">
      <c r="B507" s="123"/>
      <c r="C507" s="31"/>
      <c r="D507" s="31"/>
      <c r="E507" s="31"/>
      <c r="F507" s="31"/>
      <c r="G507" s="96"/>
      <c r="H507" s="97"/>
      <c r="I507" s="31"/>
      <c r="J507" s="103" t="s">
        <v>200</v>
      </c>
      <c r="K507" s="104"/>
      <c r="L507" s="104"/>
      <c r="M507" s="104"/>
      <c r="N507" s="104"/>
      <c r="O507" s="104"/>
      <c r="P507" s="104"/>
      <c r="Q507" s="127"/>
      <c r="R507" s="160" t="s">
        <v>478</v>
      </c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27"/>
      <c r="AK507" s="98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99"/>
    </row>
    <row r="508" spans="2:61" ht="20.100000000000001" customHeight="1" x14ac:dyDescent="0.45">
      <c r="B508" s="123"/>
      <c r="C508" s="31"/>
      <c r="D508" s="31"/>
      <c r="E508" s="31"/>
      <c r="F508" s="31"/>
      <c r="G508" s="96"/>
      <c r="H508" s="97"/>
      <c r="I508" s="31"/>
      <c r="J508" s="103" t="s">
        <v>292</v>
      </c>
      <c r="K508" s="104"/>
      <c r="L508" s="104"/>
      <c r="M508" s="104"/>
      <c r="N508" s="104"/>
      <c r="O508" s="104"/>
      <c r="P508" s="104"/>
      <c r="Q508" s="127"/>
      <c r="R508" s="160" t="s">
        <v>479</v>
      </c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27"/>
      <c r="AK508" s="98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99"/>
    </row>
    <row r="509" spans="2:61" ht="20.100000000000001" customHeight="1" x14ac:dyDescent="0.45">
      <c r="B509" s="123"/>
      <c r="C509" s="31"/>
      <c r="D509" s="31"/>
      <c r="E509" s="31"/>
      <c r="F509" s="31"/>
      <c r="G509" s="96"/>
      <c r="H509" s="97"/>
      <c r="I509" s="31"/>
      <c r="J509" s="103" t="s">
        <v>294</v>
      </c>
      <c r="K509" s="104"/>
      <c r="L509" s="104"/>
      <c r="M509" s="104"/>
      <c r="N509" s="104"/>
      <c r="O509" s="104"/>
      <c r="P509" s="104"/>
      <c r="Q509" s="127"/>
      <c r="R509" s="160" t="s">
        <v>480</v>
      </c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27"/>
      <c r="AK509" s="98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99"/>
    </row>
    <row r="510" spans="2:61" ht="20.100000000000001" customHeight="1" x14ac:dyDescent="0.45">
      <c r="B510" s="123"/>
      <c r="C510" s="31"/>
      <c r="D510" s="31"/>
      <c r="E510" s="31"/>
      <c r="F510" s="31"/>
      <c r="G510" s="96"/>
      <c r="H510" s="97"/>
      <c r="I510" s="31"/>
      <c r="J510" s="103" t="s">
        <v>296</v>
      </c>
      <c r="K510" s="104"/>
      <c r="L510" s="104"/>
      <c r="M510" s="104"/>
      <c r="N510" s="104"/>
      <c r="O510" s="104"/>
      <c r="P510" s="104"/>
      <c r="Q510" s="127"/>
      <c r="R510" s="160" t="s">
        <v>481</v>
      </c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27"/>
      <c r="AK510" s="98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99"/>
    </row>
    <row r="511" spans="2:61" ht="20.100000000000001" customHeight="1" x14ac:dyDescent="0.45">
      <c r="B511" s="123"/>
      <c r="C511" s="31"/>
      <c r="D511" s="31"/>
      <c r="E511" s="31"/>
      <c r="F511" s="31"/>
      <c r="G511" s="96"/>
      <c r="H511" s="97"/>
      <c r="I511" s="31"/>
      <c r="J511" s="103" t="s">
        <v>298</v>
      </c>
      <c r="K511" s="104"/>
      <c r="L511" s="104"/>
      <c r="M511" s="104"/>
      <c r="N511" s="104"/>
      <c r="O511" s="104"/>
      <c r="P511" s="104"/>
      <c r="Q511" s="127"/>
      <c r="R511" s="160" t="s">
        <v>482</v>
      </c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27"/>
      <c r="AK511" s="98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99"/>
    </row>
    <row r="512" spans="2:61" ht="20.100000000000001" customHeight="1" x14ac:dyDescent="0.45">
      <c r="B512" s="123"/>
      <c r="C512" s="31"/>
      <c r="D512" s="31"/>
      <c r="E512" s="31"/>
      <c r="F512" s="31"/>
      <c r="G512" s="96"/>
      <c r="H512" s="97"/>
      <c r="I512" s="31"/>
      <c r="J512" s="103" t="s">
        <v>300</v>
      </c>
      <c r="K512" s="104"/>
      <c r="L512" s="104"/>
      <c r="M512" s="104"/>
      <c r="N512" s="104"/>
      <c r="O512" s="104"/>
      <c r="P512" s="104"/>
      <c r="Q512" s="127"/>
      <c r="R512" s="160" t="s">
        <v>483</v>
      </c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27"/>
      <c r="AK512" s="98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99"/>
    </row>
    <row r="513" spans="2:61" ht="20.100000000000001" customHeight="1" x14ac:dyDescent="0.45">
      <c r="B513" s="123"/>
      <c r="C513" s="31"/>
      <c r="D513" s="31"/>
      <c r="E513" s="31"/>
      <c r="F513" s="31"/>
      <c r="G513" s="96"/>
      <c r="H513" s="97"/>
      <c r="I513" s="31"/>
      <c r="J513" s="103" t="s">
        <v>302</v>
      </c>
      <c r="K513" s="104"/>
      <c r="L513" s="104"/>
      <c r="M513" s="104"/>
      <c r="N513" s="104"/>
      <c r="O513" s="104"/>
      <c r="P513" s="104"/>
      <c r="Q513" s="127"/>
      <c r="R513" s="160" t="s">
        <v>484</v>
      </c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27"/>
      <c r="AK513" s="98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99"/>
    </row>
    <row r="514" spans="2:61" ht="20.100000000000001" customHeight="1" x14ac:dyDescent="0.45">
      <c r="B514" s="123"/>
      <c r="C514" s="31"/>
      <c r="D514" s="31"/>
      <c r="E514" s="31"/>
      <c r="F514" s="31"/>
      <c r="G514" s="96"/>
      <c r="H514" s="97"/>
      <c r="I514" s="31"/>
      <c r="J514" s="103" t="s">
        <v>304</v>
      </c>
      <c r="K514" s="104"/>
      <c r="L514" s="104"/>
      <c r="M514" s="104"/>
      <c r="N514" s="104"/>
      <c r="O514" s="104"/>
      <c r="P514" s="104"/>
      <c r="Q514" s="127"/>
      <c r="R514" s="160" t="s">
        <v>485</v>
      </c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27"/>
      <c r="AK514" s="98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99"/>
    </row>
    <row r="515" spans="2:61" ht="20.100000000000001" customHeight="1" x14ac:dyDescent="0.45">
      <c r="B515" s="123"/>
      <c r="C515" s="31"/>
      <c r="D515" s="31"/>
      <c r="E515" s="31"/>
      <c r="F515" s="31"/>
      <c r="G515" s="96"/>
      <c r="H515" s="97"/>
      <c r="I515" s="31"/>
      <c r="J515" s="103" t="s">
        <v>306</v>
      </c>
      <c r="K515" s="104"/>
      <c r="L515" s="104"/>
      <c r="M515" s="104"/>
      <c r="N515" s="104"/>
      <c r="O515" s="104"/>
      <c r="P515" s="104"/>
      <c r="Q515" s="127"/>
      <c r="R515" s="160" t="s">
        <v>486</v>
      </c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27"/>
      <c r="AK515" s="98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99"/>
    </row>
    <row r="516" spans="2:61" ht="20.100000000000001" customHeight="1" x14ac:dyDescent="0.45">
      <c r="B516" s="123"/>
      <c r="C516" s="31"/>
      <c r="D516" s="31"/>
      <c r="E516" s="31"/>
      <c r="F516" s="31"/>
      <c r="G516" s="96"/>
      <c r="H516" s="97"/>
      <c r="I516" s="31"/>
      <c r="J516" s="103" t="s">
        <v>308</v>
      </c>
      <c r="K516" s="104"/>
      <c r="L516" s="104"/>
      <c r="M516" s="104"/>
      <c r="N516" s="104"/>
      <c r="O516" s="104"/>
      <c r="P516" s="104"/>
      <c r="Q516" s="127"/>
      <c r="R516" s="160" t="s">
        <v>487</v>
      </c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27"/>
      <c r="AK516" s="98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99"/>
    </row>
    <row r="517" spans="2:61" ht="20.100000000000001" customHeight="1" x14ac:dyDescent="0.45">
      <c r="B517" s="123"/>
      <c r="C517" s="31"/>
      <c r="D517" s="31"/>
      <c r="E517" s="31"/>
      <c r="F517" s="31"/>
      <c r="G517" s="96"/>
      <c r="H517" s="100" t="s">
        <v>52</v>
      </c>
      <c r="I517" s="55"/>
      <c r="J517" s="100" t="s">
        <v>488</v>
      </c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101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102"/>
    </row>
    <row r="518" spans="2:61" ht="20.100000000000001" customHeight="1" x14ac:dyDescent="0.45">
      <c r="B518" s="123"/>
      <c r="C518" s="31"/>
      <c r="D518" s="31"/>
      <c r="E518" s="31"/>
      <c r="F518" s="31"/>
      <c r="G518" s="96"/>
      <c r="H518" s="97"/>
      <c r="I518" s="31"/>
      <c r="J518" s="97"/>
      <c r="K518" s="31" t="s">
        <v>489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98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99"/>
    </row>
    <row r="519" spans="2:61" ht="20.100000000000001" customHeight="1" thickBot="1" x14ac:dyDescent="0.5">
      <c r="B519" s="123"/>
      <c r="C519" s="31"/>
      <c r="D519" s="31"/>
      <c r="E519" s="31"/>
      <c r="F519" s="31"/>
      <c r="G519" s="96"/>
      <c r="H519" s="97"/>
      <c r="I519" s="31"/>
      <c r="J519" s="97"/>
      <c r="K519" s="31" t="s">
        <v>490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98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99"/>
    </row>
    <row r="520" spans="2:61" ht="20.100000000000001" customHeight="1" x14ac:dyDescent="0.45">
      <c r="B520" s="89" t="s">
        <v>489</v>
      </c>
      <c r="C520" s="90"/>
      <c r="D520" s="90"/>
      <c r="E520" s="90"/>
      <c r="F520" s="90"/>
      <c r="G520" s="91"/>
      <c r="H520" s="92" t="s">
        <v>83</v>
      </c>
      <c r="I520" s="90"/>
      <c r="J520" s="120" t="s">
        <v>186</v>
      </c>
      <c r="K520" s="121"/>
      <c r="L520" s="121"/>
      <c r="M520" s="121"/>
      <c r="N520" s="121"/>
      <c r="O520" s="121"/>
      <c r="P520" s="121"/>
      <c r="Q520" s="122"/>
      <c r="R520" s="121" t="s">
        <v>491</v>
      </c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2"/>
      <c r="AK520" s="93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4"/>
    </row>
    <row r="521" spans="2:61" ht="20.100000000000001" customHeight="1" x14ac:dyDescent="0.45">
      <c r="B521" s="123"/>
      <c r="C521" s="31"/>
      <c r="D521" s="31"/>
      <c r="E521" s="31"/>
      <c r="F521" s="31"/>
      <c r="G521" s="96"/>
      <c r="H521" s="97"/>
      <c r="I521" s="31"/>
      <c r="J521" s="103" t="s">
        <v>243</v>
      </c>
      <c r="K521" s="104"/>
      <c r="L521" s="104"/>
      <c r="M521" s="104"/>
      <c r="N521" s="104"/>
      <c r="O521" s="104"/>
      <c r="P521" s="104"/>
      <c r="Q521" s="127"/>
      <c r="R521" s="160" t="s">
        <v>492</v>
      </c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27"/>
      <c r="AK521" s="98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99"/>
    </row>
    <row r="522" spans="2:61" ht="20.100000000000001" customHeight="1" x14ac:dyDescent="0.45">
      <c r="B522" s="123"/>
      <c r="C522" s="31"/>
      <c r="D522" s="31"/>
      <c r="E522" s="31"/>
      <c r="F522" s="31"/>
      <c r="G522" s="96"/>
      <c r="H522" s="97"/>
      <c r="I522" s="31"/>
      <c r="J522" s="103" t="s">
        <v>246</v>
      </c>
      <c r="K522" s="104"/>
      <c r="L522" s="104"/>
      <c r="M522" s="104"/>
      <c r="N522" s="104"/>
      <c r="O522" s="104"/>
      <c r="P522" s="104"/>
      <c r="Q522" s="127"/>
      <c r="R522" s="160" t="s">
        <v>493</v>
      </c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27"/>
      <c r="AK522" s="98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99"/>
    </row>
    <row r="523" spans="2:61" ht="20.100000000000001" customHeight="1" x14ac:dyDescent="0.45">
      <c r="B523" s="123"/>
      <c r="C523" s="31"/>
      <c r="D523" s="31"/>
      <c r="E523" s="31"/>
      <c r="F523" s="31"/>
      <c r="G523" s="96"/>
      <c r="H523" s="97"/>
      <c r="I523" s="31"/>
      <c r="J523" s="103" t="s">
        <v>249</v>
      </c>
      <c r="K523" s="104"/>
      <c r="L523" s="104"/>
      <c r="M523" s="104"/>
      <c r="N523" s="104"/>
      <c r="O523" s="104"/>
      <c r="P523" s="104"/>
      <c r="Q523" s="127"/>
      <c r="R523" s="104" t="s">
        <v>494</v>
      </c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27"/>
      <c r="AK523" s="98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99"/>
    </row>
    <row r="524" spans="2:61" ht="20.100000000000001" customHeight="1" x14ac:dyDescent="0.45">
      <c r="B524" s="123"/>
      <c r="C524" s="31"/>
      <c r="D524" s="31"/>
      <c r="E524" s="31"/>
      <c r="F524" s="31"/>
      <c r="G524" s="96"/>
      <c r="H524" s="97"/>
      <c r="I524" s="31"/>
      <c r="J524" s="103" t="s">
        <v>251</v>
      </c>
      <c r="K524" s="104"/>
      <c r="L524" s="104"/>
      <c r="M524" s="104"/>
      <c r="N524" s="104"/>
      <c r="O524" s="104"/>
      <c r="P524" s="104"/>
      <c r="Q524" s="127"/>
      <c r="R524" s="104" t="s">
        <v>495</v>
      </c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27"/>
      <c r="AK524" s="98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99"/>
    </row>
    <row r="525" spans="2:61" ht="20.100000000000001" customHeight="1" x14ac:dyDescent="0.45">
      <c r="B525" s="123"/>
      <c r="C525" s="31"/>
      <c r="D525" s="31"/>
      <c r="E525" s="31"/>
      <c r="F525" s="31"/>
      <c r="G525" s="96"/>
      <c r="H525" s="97"/>
      <c r="I525" s="31"/>
      <c r="J525" s="103" t="s">
        <v>253</v>
      </c>
      <c r="K525" s="104"/>
      <c r="L525" s="104"/>
      <c r="M525" s="104"/>
      <c r="N525" s="104"/>
      <c r="O525" s="104"/>
      <c r="P525" s="104"/>
      <c r="Q525" s="127"/>
      <c r="R525" s="104" t="s">
        <v>496</v>
      </c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27"/>
      <c r="AK525" s="98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99"/>
    </row>
    <row r="526" spans="2:61" ht="20.100000000000001" customHeight="1" x14ac:dyDescent="0.45">
      <c r="B526" s="123"/>
      <c r="C526" s="31"/>
      <c r="D526" s="31"/>
      <c r="E526" s="31"/>
      <c r="F526" s="31"/>
      <c r="G526" s="96"/>
      <c r="H526" s="97"/>
      <c r="I526" s="31"/>
      <c r="J526" s="103" t="s">
        <v>255</v>
      </c>
      <c r="K526" s="104"/>
      <c r="L526" s="104"/>
      <c r="M526" s="104"/>
      <c r="N526" s="104"/>
      <c r="O526" s="104"/>
      <c r="P526" s="104"/>
      <c r="Q526" s="127"/>
      <c r="R526" s="104" t="s">
        <v>497</v>
      </c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27"/>
      <c r="AK526" s="98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99"/>
    </row>
    <row r="527" spans="2:61" ht="20.100000000000001" customHeight="1" x14ac:dyDescent="0.45">
      <c r="B527" s="123"/>
      <c r="C527" s="31"/>
      <c r="D527" s="31"/>
      <c r="E527" s="31"/>
      <c r="F527" s="31"/>
      <c r="G527" s="96"/>
      <c r="H527" s="97"/>
      <c r="I527" s="31"/>
      <c r="J527" s="103" t="s">
        <v>257</v>
      </c>
      <c r="K527" s="104"/>
      <c r="L527" s="104"/>
      <c r="M527" s="104"/>
      <c r="N527" s="104"/>
      <c r="O527" s="104"/>
      <c r="P527" s="104"/>
      <c r="Q527" s="127"/>
      <c r="R527" s="104" t="s">
        <v>498</v>
      </c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27"/>
      <c r="AK527" s="98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99"/>
    </row>
    <row r="528" spans="2:61" ht="20.100000000000001" customHeight="1" x14ac:dyDescent="0.45">
      <c r="B528" s="123"/>
      <c r="C528" s="31"/>
      <c r="D528" s="31"/>
      <c r="E528" s="31"/>
      <c r="F528" s="31"/>
      <c r="G528" s="96"/>
      <c r="H528" s="97"/>
      <c r="I528" s="31"/>
      <c r="J528" s="103" t="s">
        <v>259</v>
      </c>
      <c r="K528" s="104"/>
      <c r="L528" s="104"/>
      <c r="M528" s="104"/>
      <c r="N528" s="104"/>
      <c r="O528" s="104"/>
      <c r="P528" s="104"/>
      <c r="Q528" s="127"/>
      <c r="R528" s="104" t="s">
        <v>499</v>
      </c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27"/>
      <c r="AK528" s="98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99"/>
    </row>
    <row r="529" spans="2:61" ht="20.100000000000001" customHeight="1" x14ac:dyDescent="0.45">
      <c r="B529" s="123"/>
      <c r="C529" s="31"/>
      <c r="D529" s="31"/>
      <c r="E529" s="31"/>
      <c r="F529" s="31"/>
      <c r="G529" s="96"/>
      <c r="H529" s="97"/>
      <c r="I529" s="31"/>
      <c r="J529" s="103" t="s">
        <v>261</v>
      </c>
      <c r="K529" s="104"/>
      <c r="L529" s="104"/>
      <c r="M529" s="104"/>
      <c r="N529" s="104"/>
      <c r="O529" s="104"/>
      <c r="P529" s="104"/>
      <c r="Q529" s="127"/>
      <c r="R529" s="104" t="s">
        <v>500</v>
      </c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27"/>
      <c r="AK529" s="98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99"/>
    </row>
    <row r="530" spans="2:61" ht="20.100000000000001" customHeight="1" x14ac:dyDescent="0.45">
      <c r="B530" s="123"/>
      <c r="C530" s="31"/>
      <c r="D530" s="31"/>
      <c r="E530" s="31"/>
      <c r="F530" s="31"/>
      <c r="G530" s="96"/>
      <c r="H530" s="97"/>
      <c r="I530" s="31"/>
      <c r="J530" s="103" t="s">
        <v>263</v>
      </c>
      <c r="K530" s="104"/>
      <c r="L530" s="104"/>
      <c r="M530" s="104"/>
      <c r="N530" s="104"/>
      <c r="O530" s="104"/>
      <c r="P530" s="104"/>
      <c r="Q530" s="127"/>
      <c r="R530" s="104" t="s">
        <v>501</v>
      </c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27"/>
      <c r="AK530" s="98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99"/>
    </row>
    <row r="531" spans="2:61" ht="20.100000000000001" customHeight="1" x14ac:dyDescent="0.45">
      <c r="B531" s="123"/>
      <c r="C531" s="31"/>
      <c r="D531" s="31"/>
      <c r="E531" s="31"/>
      <c r="F531" s="31"/>
      <c r="G531" s="96"/>
      <c r="H531" s="97"/>
      <c r="I531" s="31"/>
      <c r="J531" s="103" t="s">
        <v>265</v>
      </c>
      <c r="K531" s="104"/>
      <c r="L531" s="104"/>
      <c r="M531" s="104"/>
      <c r="N531" s="104"/>
      <c r="O531" s="104"/>
      <c r="P531" s="104"/>
      <c r="Q531" s="127"/>
      <c r="R531" s="104" t="s">
        <v>502</v>
      </c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27"/>
      <c r="AK531" s="98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99"/>
    </row>
    <row r="532" spans="2:61" ht="20.100000000000001" customHeight="1" x14ac:dyDescent="0.45">
      <c r="B532" s="123"/>
      <c r="C532" s="31"/>
      <c r="D532" s="31"/>
      <c r="E532" s="31"/>
      <c r="F532" s="31"/>
      <c r="G532" s="96"/>
      <c r="H532" s="97"/>
      <c r="I532" s="31"/>
      <c r="J532" s="103" t="s">
        <v>267</v>
      </c>
      <c r="K532" s="104"/>
      <c r="L532" s="104"/>
      <c r="M532" s="104"/>
      <c r="N532" s="104"/>
      <c r="O532" s="104"/>
      <c r="P532" s="104"/>
      <c r="Q532" s="127"/>
      <c r="R532" s="104" t="s">
        <v>503</v>
      </c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27"/>
      <c r="AK532" s="98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99"/>
    </row>
    <row r="533" spans="2:61" ht="20.100000000000001" customHeight="1" x14ac:dyDescent="0.45">
      <c r="B533" s="123"/>
      <c r="C533" s="31"/>
      <c r="D533" s="31"/>
      <c r="E533" s="31"/>
      <c r="F533" s="31"/>
      <c r="G533" s="96"/>
      <c r="H533" s="97"/>
      <c r="I533" s="31"/>
      <c r="J533" s="103" t="s">
        <v>269</v>
      </c>
      <c r="K533" s="104"/>
      <c r="L533" s="104"/>
      <c r="M533" s="104"/>
      <c r="N533" s="104"/>
      <c r="O533" s="104"/>
      <c r="P533" s="104"/>
      <c r="Q533" s="127"/>
      <c r="R533" s="104" t="s">
        <v>504</v>
      </c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27"/>
      <c r="AK533" s="98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99"/>
    </row>
    <row r="534" spans="2:61" ht="20.100000000000001" customHeight="1" x14ac:dyDescent="0.45">
      <c r="B534" s="123"/>
      <c r="C534" s="31"/>
      <c r="D534" s="31"/>
      <c r="E534" s="31"/>
      <c r="F534" s="31"/>
      <c r="G534" s="96"/>
      <c r="H534" s="97"/>
      <c r="I534" s="31"/>
      <c r="J534" s="103" t="s">
        <v>271</v>
      </c>
      <c r="K534" s="104"/>
      <c r="L534" s="104"/>
      <c r="M534" s="104"/>
      <c r="N534" s="104"/>
      <c r="O534" s="104"/>
      <c r="P534" s="104"/>
      <c r="Q534" s="127"/>
      <c r="R534" s="104" t="s">
        <v>505</v>
      </c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27"/>
      <c r="AK534" s="98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99"/>
    </row>
    <row r="535" spans="2:61" ht="20.100000000000001" customHeight="1" x14ac:dyDescent="0.45">
      <c r="B535" s="123"/>
      <c r="C535" s="31"/>
      <c r="D535" s="31"/>
      <c r="E535" s="31"/>
      <c r="F535" s="31"/>
      <c r="G535" s="96"/>
      <c r="H535" s="97"/>
      <c r="I535" s="31"/>
      <c r="J535" s="103" t="s">
        <v>273</v>
      </c>
      <c r="K535" s="104"/>
      <c r="L535" s="104"/>
      <c r="M535" s="104"/>
      <c r="N535" s="104"/>
      <c r="O535" s="104"/>
      <c r="P535" s="104"/>
      <c r="Q535" s="127"/>
      <c r="R535" s="104" t="s">
        <v>506</v>
      </c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27"/>
      <c r="AK535" s="98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99"/>
    </row>
    <row r="536" spans="2:61" ht="20.100000000000001" customHeight="1" x14ac:dyDescent="0.45">
      <c r="B536" s="123"/>
      <c r="C536" s="31"/>
      <c r="D536" s="31"/>
      <c r="E536" s="31"/>
      <c r="F536" s="31"/>
      <c r="G536" s="96"/>
      <c r="H536" s="97"/>
      <c r="I536" s="31"/>
      <c r="J536" s="103" t="s">
        <v>275</v>
      </c>
      <c r="K536" s="104"/>
      <c r="L536" s="104"/>
      <c r="M536" s="104"/>
      <c r="N536" s="104"/>
      <c r="O536" s="104"/>
      <c r="P536" s="104"/>
      <c r="Q536" s="127"/>
      <c r="R536" s="104" t="s">
        <v>507</v>
      </c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27"/>
      <c r="AK536" s="98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99"/>
    </row>
    <row r="537" spans="2:61" ht="20.100000000000001" customHeight="1" x14ac:dyDescent="0.45">
      <c r="B537" s="123"/>
      <c r="C537" s="31"/>
      <c r="D537" s="31"/>
      <c r="E537" s="31"/>
      <c r="F537" s="31"/>
      <c r="G537" s="96"/>
      <c r="H537" s="97"/>
      <c r="I537" s="31"/>
      <c r="J537" s="103" t="s">
        <v>277</v>
      </c>
      <c r="K537" s="104"/>
      <c r="L537" s="104"/>
      <c r="M537" s="104"/>
      <c r="N537" s="104"/>
      <c r="O537" s="104"/>
      <c r="P537" s="104"/>
      <c r="Q537" s="127"/>
      <c r="R537" s="104" t="s">
        <v>508</v>
      </c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27"/>
      <c r="AK537" s="98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99"/>
    </row>
    <row r="538" spans="2:61" ht="20.100000000000001" customHeight="1" x14ac:dyDescent="0.45">
      <c r="B538" s="123"/>
      <c r="C538" s="31"/>
      <c r="D538" s="31"/>
      <c r="E538" s="31"/>
      <c r="F538" s="31"/>
      <c r="G538" s="96"/>
      <c r="H538" s="97"/>
      <c r="I538" s="31"/>
      <c r="J538" s="103" t="s">
        <v>279</v>
      </c>
      <c r="K538" s="104"/>
      <c r="L538" s="104"/>
      <c r="M538" s="104"/>
      <c r="N538" s="104"/>
      <c r="O538" s="104"/>
      <c r="P538" s="104"/>
      <c r="Q538" s="127"/>
      <c r="R538" s="104" t="s">
        <v>509</v>
      </c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27"/>
      <c r="AK538" s="98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99"/>
    </row>
    <row r="539" spans="2:61" ht="20.100000000000001" customHeight="1" x14ac:dyDescent="0.45">
      <c r="B539" s="123"/>
      <c r="C539" s="31"/>
      <c r="D539" s="31"/>
      <c r="E539" s="31"/>
      <c r="F539" s="31"/>
      <c r="G539" s="96"/>
      <c r="H539" s="97"/>
      <c r="I539" s="31"/>
      <c r="J539" s="103" t="s">
        <v>281</v>
      </c>
      <c r="K539" s="104"/>
      <c r="L539" s="104"/>
      <c r="M539" s="104"/>
      <c r="N539" s="104"/>
      <c r="O539" s="104"/>
      <c r="P539" s="104"/>
      <c r="Q539" s="127"/>
      <c r="R539" s="104" t="s">
        <v>510</v>
      </c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27"/>
      <c r="AK539" s="98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99"/>
    </row>
    <row r="540" spans="2:61" ht="20.100000000000001" customHeight="1" x14ac:dyDescent="0.45">
      <c r="B540" s="123"/>
      <c r="C540" s="31"/>
      <c r="D540" s="31"/>
      <c r="E540" s="31"/>
      <c r="F540" s="31"/>
      <c r="G540" s="96"/>
      <c r="H540" s="97"/>
      <c r="I540" s="31"/>
      <c r="J540" s="103" t="s">
        <v>283</v>
      </c>
      <c r="K540" s="104"/>
      <c r="L540" s="104"/>
      <c r="M540" s="104"/>
      <c r="N540" s="104"/>
      <c r="O540" s="104"/>
      <c r="P540" s="104"/>
      <c r="Q540" s="127"/>
      <c r="R540" s="104" t="s">
        <v>511</v>
      </c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27"/>
      <c r="AK540" s="98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99"/>
    </row>
    <row r="541" spans="2:61" ht="20.100000000000001" customHeight="1" x14ac:dyDescent="0.45">
      <c r="B541" s="123"/>
      <c r="C541" s="31"/>
      <c r="D541" s="31"/>
      <c r="E541" s="31"/>
      <c r="F541" s="31"/>
      <c r="G541" s="96"/>
      <c r="H541" s="97"/>
      <c r="I541" s="31"/>
      <c r="J541" s="103" t="s">
        <v>285</v>
      </c>
      <c r="K541" s="104"/>
      <c r="L541" s="104"/>
      <c r="M541" s="104"/>
      <c r="N541" s="104"/>
      <c r="O541" s="104"/>
      <c r="P541" s="104"/>
      <c r="Q541" s="127"/>
      <c r="R541" s="104" t="s">
        <v>512</v>
      </c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27"/>
      <c r="AK541" s="98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99"/>
    </row>
    <row r="542" spans="2:61" ht="20.100000000000001" customHeight="1" x14ac:dyDescent="0.45">
      <c r="B542" s="123"/>
      <c r="C542" s="31"/>
      <c r="D542" s="31"/>
      <c r="E542" s="31"/>
      <c r="F542" s="31"/>
      <c r="G542" s="96"/>
      <c r="H542" s="97"/>
      <c r="I542" s="31"/>
      <c r="J542" s="103" t="s">
        <v>287</v>
      </c>
      <c r="K542" s="104"/>
      <c r="L542" s="104"/>
      <c r="M542" s="104"/>
      <c r="N542" s="104"/>
      <c r="O542" s="104"/>
      <c r="P542" s="104"/>
      <c r="Q542" s="127"/>
      <c r="R542" s="104" t="s">
        <v>513</v>
      </c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27"/>
      <c r="AK542" s="98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99"/>
    </row>
    <row r="543" spans="2:61" ht="20.100000000000001" customHeight="1" x14ac:dyDescent="0.45">
      <c r="B543" s="123"/>
      <c r="C543" s="31"/>
      <c r="D543" s="31"/>
      <c r="E543" s="31"/>
      <c r="F543" s="31"/>
      <c r="G543" s="96"/>
      <c r="H543" s="97"/>
      <c r="I543" s="31"/>
      <c r="J543" s="103" t="s">
        <v>289</v>
      </c>
      <c r="K543" s="104"/>
      <c r="L543" s="104"/>
      <c r="M543" s="104"/>
      <c r="N543" s="104"/>
      <c r="O543" s="104"/>
      <c r="P543" s="104"/>
      <c r="Q543" s="127"/>
      <c r="R543" s="160" t="s">
        <v>514</v>
      </c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27"/>
      <c r="AK543" s="98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99"/>
    </row>
    <row r="544" spans="2:61" ht="20.100000000000001" customHeight="1" x14ac:dyDescent="0.45">
      <c r="B544" s="123"/>
      <c r="C544" s="31"/>
      <c r="D544" s="31"/>
      <c r="E544" s="31"/>
      <c r="F544" s="31"/>
      <c r="G544" s="96"/>
      <c r="H544" s="97"/>
      <c r="I544" s="31"/>
      <c r="J544" s="103" t="s">
        <v>200</v>
      </c>
      <c r="K544" s="104"/>
      <c r="L544" s="104"/>
      <c r="M544" s="104"/>
      <c r="N544" s="104"/>
      <c r="O544" s="104"/>
      <c r="P544" s="104"/>
      <c r="Q544" s="127"/>
      <c r="R544" s="104" t="s">
        <v>515</v>
      </c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27"/>
      <c r="AK544" s="98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99"/>
    </row>
    <row r="545" spans="2:61" ht="20.100000000000001" customHeight="1" x14ac:dyDescent="0.45">
      <c r="B545" s="123"/>
      <c r="C545" s="31"/>
      <c r="D545" s="31"/>
      <c r="E545" s="31"/>
      <c r="F545" s="31"/>
      <c r="G545" s="96"/>
      <c r="H545" s="97"/>
      <c r="I545" s="31"/>
      <c r="J545" s="103" t="s">
        <v>292</v>
      </c>
      <c r="K545" s="104"/>
      <c r="L545" s="104"/>
      <c r="M545" s="104"/>
      <c r="N545" s="104"/>
      <c r="O545" s="104"/>
      <c r="P545" s="104"/>
      <c r="Q545" s="127"/>
      <c r="R545" s="104" t="s">
        <v>516</v>
      </c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27"/>
      <c r="AK545" s="98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99"/>
    </row>
    <row r="546" spans="2:61" ht="20.100000000000001" customHeight="1" x14ac:dyDescent="0.45">
      <c r="B546" s="123"/>
      <c r="C546" s="31"/>
      <c r="D546" s="31"/>
      <c r="E546" s="31"/>
      <c r="F546" s="31"/>
      <c r="G546" s="96"/>
      <c r="H546" s="97"/>
      <c r="I546" s="31"/>
      <c r="J546" s="103" t="s">
        <v>294</v>
      </c>
      <c r="K546" s="104"/>
      <c r="L546" s="104"/>
      <c r="M546" s="104"/>
      <c r="N546" s="104"/>
      <c r="O546" s="104"/>
      <c r="P546" s="104"/>
      <c r="Q546" s="127"/>
      <c r="R546" s="104" t="s">
        <v>517</v>
      </c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27"/>
      <c r="AK546" s="98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99"/>
    </row>
    <row r="547" spans="2:61" ht="20.100000000000001" customHeight="1" x14ac:dyDescent="0.45">
      <c r="B547" s="123"/>
      <c r="C547" s="31"/>
      <c r="D547" s="31"/>
      <c r="E547" s="31"/>
      <c r="F547" s="31"/>
      <c r="G547" s="96"/>
      <c r="H547" s="97"/>
      <c r="I547" s="31"/>
      <c r="J547" s="103" t="s">
        <v>296</v>
      </c>
      <c r="K547" s="104"/>
      <c r="L547" s="104"/>
      <c r="M547" s="104"/>
      <c r="N547" s="104"/>
      <c r="O547" s="104"/>
      <c r="P547" s="104"/>
      <c r="Q547" s="127"/>
      <c r="R547" s="104" t="s">
        <v>518</v>
      </c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27"/>
      <c r="AK547" s="98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99"/>
    </row>
    <row r="548" spans="2:61" ht="20.100000000000001" customHeight="1" x14ac:dyDescent="0.45">
      <c r="B548" s="123"/>
      <c r="C548" s="31"/>
      <c r="D548" s="31"/>
      <c r="E548" s="31"/>
      <c r="F548" s="31"/>
      <c r="G548" s="96"/>
      <c r="H548" s="97"/>
      <c r="I548" s="31"/>
      <c r="J548" s="103" t="s">
        <v>298</v>
      </c>
      <c r="K548" s="104"/>
      <c r="L548" s="104"/>
      <c r="M548" s="104"/>
      <c r="N548" s="104"/>
      <c r="O548" s="104"/>
      <c r="P548" s="104"/>
      <c r="Q548" s="127"/>
      <c r="R548" s="104" t="s">
        <v>519</v>
      </c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27"/>
      <c r="AK548" s="98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99"/>
    </row>
    <row r="549" spans="2:61" ht="20.100000000000001" customHeight="1" x14ac:dyDescent="0.45">
      <c r="B549" s="123"/>
      <c r="C549" s="31"/>
      <c r="D549" s="31"/>
      <c r="E549" s="31"/>
      <c r="F549" s="31"/>
      <c r="G549" s="96"/>
      <c r="H549" s="97"/>
      <c r="I549" s="31"/>
      <c r="J549" s="103" t="s">
        <v>300</v>
      </c>
      <c r="K549" s="104"/>
      <c r="L549" s="104"/>
      <c r="M549" s="104"/>
      <c r="N549" s="104"/>
      <c r="O549" s="104"/>
      <c r="P549" s="104"/>
      <c r="Q549" s="127"/>
      <c r="R549" s="104" t="s">
        <v>520</v>
      </c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27"/>
      <c r="AK549" s="98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99"/>
    </row>
    <row r="550" spans="2:61" ht="20.100000000000001" customHeight="1" x14ac:dyDescent="0.45">
      <c r="B550" s="123"/>
      <c r="C550" s="31"/>
      <c r="D550" s="31"/>
      <c r="E550" s="31"/>
      <c r="F550" s="31"/>
      <c r="G550" s="96"/>
      <c r="H550" s="97"/>
      <c r="I550" s="31"/>
      <c r="J550" s="103" t="s">
        <v>302</v>
      </c>
      <c r="K550" s="104"/>
      <c r="L550" s="104"/>
      <c r="M550" s="104"/>
      <c r="N550" s="104"/>
      <c r="O550" s="104"/>
      <c r="P550" s="104"/>
      <c r="Q550" s="127"/>
      <c r="R550" s="104" t="s">
        <v>521</v>
      </c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27"/>
      <c r="AK550" s="98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99"/>
    </row>
    <row r="551" spans="2:61" ht="20.100000000000001" customHeight="1" x14ac:dyDescent="0.45">
      <c r="B551" s="123"/>
      <c r="C551" s="31"/>
      <c r="D551" s="31"/>
      <c r="E551" s="31"/>
      <c r="F551" s="31"/>
      <c r="G551" s="96"/>
      <c r="H551" s="97"/>
      <c r="I551" s="31"/>
      <c r="J551" s="103" t="s">
        <v>304</v>
      </c>
      <c r="K551" s="104"/>
      <c r="L551" s="104"/>
      <c r="M551" s="104"/>
      <c r="N551" s="104"/>
      <c r="O551" s="104"/>
      <c r="P551" s="104"/>
      <c r="Q551" s="127"/>
      <c r="R551" s="104" t="s">
        <v>522</v>
      </c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27"/>
      <c r="AK551" s="98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99"/>
    </row>
    <row r="552" spans="2:61" ht="20.100000000000001" customHeight="1" x14ac:dyDescent="0.45">
      <c r="B552" s="123"/>
      <c r="C552" s="31"/>
      <c r="D552" s="31"/>
      <c r="E552" s="31"/>
      <c r="F552" s="31"/>
      <c r="G552" s="96"/>
      <c r="H552" s="97"/>
      <c r="I552" s="31"/>
      <c r="J552" s="103" t="s">
        <v>306</v>
      </c>
      <c r="K552" s="104"/>
      <c r="L552" s="104"/>
      <c r="M552" s="104"/>
      <c r="N552" s="104"/>
      <c r="O552" s="104"/>
      <c r="P552" s="104"/>
      <c r="Q552" s="127"/>
      <c r="R552" s="104" t="s">
        <v>523</v>
      </c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27"/>
      <c r="AK552" s="98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99"/>
    </row>
    <row r="553" spans="2:61" ht="20.100000000000001" customHeight="1" x14ac:dyDescent="0.45">
      <c r="B553" s="123"/>
      <c r="C553" s="31"/>
      <c r="D553" s="31"/>
      <c r="E553" s="31"/>
      <c r="F553" s="31"/>
      <c r="G553" s="96"/>
      <c r="H553" s="97"/>
      <c r="I553" s="31"/>
      <c r="J553" s="103" t="s">
        <v>308</v>
      </c>
      <c r="K553" s="104"/>
      <c r="L553" s="104"/>
      <c r="M553" s="104"/>
      <c r="N553" s="104"/>
      <c r="O553" s="104"/>
      <c r="P553" s="104"/>
      <c r="Q553" s="127"/>
      <c r="R553" s="104" t="s">
        <v>524</v>
      </c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27"/>
      <c r="AK553" s="98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99"/>
    </row>
    <row r="554" spans="2:61" ht="20.100000000000001" customHeight="1" x14ac:dyDescent="0.45">
      <c r="B554" s="123"/>
      <c r="C554" s="31"/>
      <c r="D554" s="31"/>
      <c r="E554" s="31"/>
      <c r="F554" s="31"/>
      <c r="G554" s="96"/>
      <c r="H554" s="100" t="s">
        <v>52</v>
      </c>
      <c r="I554" s="55"/>
      <c r="J554" s="100" t="s">
        <v>310</v>
      </c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101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102"/>
    </row>
    <row r="555" spans="2:61" ht="20.100000000000001" customHeight="1" x14ac:dyDescent="0.45">
      <c r="B555" s="123"/>
      <c r="C555" s="31"/>
      <c r="D555" s="31"/>
      <c r="E555" s="31"/>
      <c r="F555" s="31"/>
      <c r="G555" s="96"/>
      <c r="H555" s="97"/>
      <c r="I555" s="31"/>
      <c r="J555" s="97"/>
      <c r="K555" s="31" t="s">
        <v>525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98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99"/>
    </row>
    <row r="556" spans="2:61" ht="20.100000000000001" customHeight="1" x14ac:dyDescent="0.45">
      <c r="B556" s="123"/>
      <c r="C556" s="31"/>
      <c r="D556" s="31"/>
      <c r="E556" s="31"/>
      <c r="F556" s="31"/>
      <c r="G556" s="96"/>
      <c r="H556" s="97"/>
      <c r="I556" s="31"/>
      <c r="J556" s="97"/>
      <c r="K556" s="31" t="s">
        <v>490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98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99"/>
    </row>
    <row r="557" spans="2:61" ht="20.100000000000001" customHeight="1" x14ac:dyDescent="0.45">
      <c r="B557" s="95"/>
      <c r="C557" s="31"/>
      <c r="D557" s="31"/>
      <c r="E557" s="31"/>
      <c r="F557" s="31"/>
      <c r="G557" s="96"/>
      <c r="H557" s="100" t="s">
        <v>53</v>
      </c>
      <c r="I557" s="55"/>
      <c r="J557" s="161" t="s">
        <v>526</v>
      </c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101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102"/>
    </row>
    <row r="558" spans="2:61" ht="20.100000000000001" customHeight="1" x14ac:dyDescent="0.45">
      <c r="B558" s="95"/>
      <c r="C558" s="31"/>
      <c r="D558" s="31"/>
      <c r="E558" s="31"/>
      <c r="F558" s="31"/>
      <c r="G558" s="96"/>
      <c r="H558" s="97"/>
      <c r="I558" s="31"/>
      <c r="J558" s="162"/>
      <c r="K558" s="31" t="s">
        <v>527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98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99"/>
    </row>
    <row r="559" spans="2:61" ht="20.100000000000001" customHeight="1" x14ac:dyDescent="0.45">
      <c r="B559" s="95"/>
      <c r="C559" s="31"/>
      <c r="D559" s="31"/>
      <c r="E559" s="31"/>
      <c r="F559" s="31"/>
      <c r="G559" s="96"/>
      <c r="H559" s="97"/>
      <c r="I559" s="31"/>
      <c r="J559" s="162"/>
      <c r="K559" s="31" t="s">
        <v>528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98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99"/>
    </row>
    <row r="560" spans="2:61" ht="20.100000000000001" customHeight="1" x14ac:dyDescent="0.45">
      <c r="B560" s="95"/>
      <c r="C560" s="31"/>
      <c r="D560" s="31"/>
      <c r="E560" s="31"/>
      <c r="F560" s="31"/>
      <c r="G560" s="96"/>
      <c r="H560" s="97"/>
      <c r="I560" s="31"/>
      <c r="J560" s="162"/>
      <c r="K560" s="31" t="s">
        <v>529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98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99"/>
    </row>
    <row r="561" spans="2:61" ht="20.100000000000001" customHeight="1" x14ac:dyDescent="0.45">
      <c r="B561" s="95"/>
      <c r="C561" s="31"/>
      <c r="D561" s="31"/>
      <c r="E561" s="31"/>
      <c r="F561" s="31"/>
      <c r="G561" s="96"/>
      <c r="H561" s="97"/>
      <c r="I561" s="31"/>
      <c r="J561" s="162"/>
      <c r="K561" s="31" t="s">
        <v>530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98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99"/>
    </row>
    <row r="562" spans="2:61" ht="20.100000000000001" customHeight="1" x14ac:dyDescent="0.45">
      <c r="B562" s="95"/>
      <c r="C562" s="31"/>
      <c r="D562" s="31"/>
      <c r="E562" s="31"/>
      <c r="F562" s="31"/>
      <c r="G562" s="96"/>
      <c r="H562" s="97"/>
      <c r="I562" s="31"/>
      <c r="J562" s="162"/>
      <c r="K562" s="31" t="s">
        <v>531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98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99"/>
    </row>
    <row r="563" spans="2:61" ht="20.100000000000001" customHeight="1" thickBot="1" x14ac:dyDescent="0.5">
      <c r="B563" s="95"/>
      <c r="C563" s="31"/>
      <c r="D563" s="31"/>
      <c r="E563" s="31"/>
      <c r="F563" s="31"/>
      <c r="G563" s="96"/>
      <c r="H563" s="97"/>
      <c r="I563" s="31"/>
      <c r="J563" s="162"/>
      <c r="K563" s="31" t="s">
        <v>532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98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99"/>
    </row>
    <row r="564" spans="2:61" ht="20.100000000000001" customHeight="1" x14ac:dyDescent="0.45">
      <c r="B564" s="89" t="s">
        <v>525</v>
      </c>
      <c r="C564" s="90"/>
      <c r="D564" s="90"/>
      <c r="E564" s="90"/>
      <c r="F564" s="90"/>
      <c r="G564" s="91"/>
      <c r="H564" s="92" t="s">
        <v>83</v>
      </c>
      <c r="I564" s="90"/>
      <c r="J564" s="120" t="s">
        <v>186</v>
      </c>
      <c r="K564" s="121"/>
      <c r="L564" s="121"/>
      <c r="M564" s="121"/>
      <c r="N564" s="121"/>
      <c r="O564" s="121"/>
      <c r="P564" s="121"/>
      <c r="Q564" s="122"/>
      <c r="R564" s="121" t="s">
        <v>241</v>
      </c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2"/>
      <c r="AK564" s="93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4"/>
    </row>
    <row r="565" spans="2:61" ht="20.100000000000001" customHeight="1" x14ac:dyDescent="0.45">
      <c r="B565" s="123"/>
      <c r="C565" s="31"/>
      <c r="D565" s="31"/>
      <c r="E565" s="31"/>
      <c r="F565" s="31"/>
      <c r="G565" s="96"/>
      <c r="H565" s="97"/>
      <c r="I565" s="31"/>
      <c r="J565" s="103" t="s">
        <v>243</v>
      </c>
      <c r="K565" s="104"/>
      <c r="L565" s="104"/>
      <c r="M565" s="104"/>
      <c r="N565" s="104"/>
      <c r="O565" s="104"/>
      <c r="P565" s="104"/>
      <c r="Q565" s="127"/>
      <c r="R565" s="160" t="s">
        <v>244</v>
      </c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27"/>
      <c r="AK565" s="98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99"/>
    </row>
    <row r="566" spans="2:61" ht="20.100000000000001" customHeight="1" x14ac:dyDescent="0.45">
      <c r="B566" s="123"/>
      <c r="C566" s="31"/>
      <c r="D566" s="31"/>
      <c r="E566" s="31"/>
      <c r="F566" s="31"/>
      <c r="G566" s="96"/>
      <c r="H566" s="97"/>
      <c r="I566" s="31"/>
      <c r="J566" s="103" t="s">
        <v>533</v>
      </c>
      <c r="K566" s="104"/>
      <c r="L566" s="104"/>
      <c r="M566" s="104"/>
      <c r="N566" s="104"/>
      <c r="O566" s="104"/>
      <c r="P566" s="104"/>
      <c r="Q566" s="127"/>
      <c r="R566" s="160" t="s">
        <v>309</v>
      </c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27"/>
      <c r="AK566" s="98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99"/>
    </row>
    <row r="567" spans="2:61" ht="20.100000000000001" customHeight="1" x14ac:dyDescent="0.45">
      <c r="B567" s="123"/>
      <c r="C567" s="31"/>
      <c r="D567" s="31"/>
      <c r="E567" s="31"/>
      <c r="F567" s="31"/>
      <c r="G567" s="96"/>
      <c r="H567" s="97"/>
      <c r="I567" s="31"/>
      <c r="J567" s="103" t="s">
        <v>249</v>
      </c>
      <c r="K567" s="104"/>
      <c r="L567" s="104"/>
      <c r="M567" s="104"/>
      <c r="N567" s="104"/>
      <c r="O567" s="104"/>
      <c r="P567" s="104"/>
      <c r="Q567" s="127"/>
      <c r="R567" s="104" t="s">
        <v>534</v>
      </c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27"/>
      <c r="AK567" s="98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99"/>
    </row>
    <row r="568" spans="2:61" ht="20.100000000000001" customHeight="1" x14ac:dyDescent="0.45">
      <c r="B568" s="123"/>
      <c r="C568" s="31"/>
      <c r="D568" s="31"/>
      <c r="E568" s="31"/>
      <c r="F568" s="31"/>
      <c r="G568" s="96"/>
      <c r="H568" s="97"/>
      <c r="I568" s="31"/>
      <c r="J568" s="103" t="s">
        <v>275</v>
      </c>
      <c r="K568" s="104"/>
      <c r="L568" s="104"/>
      <c r="M568" s="104"/>
      <c r="N568" s="104"/>
      <c r="O568" s="104"/>
      <c r="P568" s="104"/>
      <c r="Q568" s="127"/>
      <c r="R568" s="104" t="s">
        <v>535</v>
      </c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27"/>
      <c r="AK568" s="98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99"/>
    </row>
    <row r="569" spans="2:61" ht="20.100000000000001" customHeight="1" x14ac:dyDescent="0.45">
      <c r="B569" s="123"/>
      <c r="C569" s="31"/>
      <c r="D569" s="31"/>
      <c r="E569" s="31"/>
      <c r="F569" s="31"/>
      <c r="G569" s="96"/>
      <c r="H569" s="97"/>
      <c r="I569" s="31"/>
      <c r="J569" s="103" t="s">
        <v>289</v>
      </c>
      <c r="K569" s="104"/>
      <c r="L569" s="104"/>
      <c r="M569" s="104"/>
      <c r="N569" s="104"/>
      <c r="O569" s="104"/>
      <c r="P569" s="104"/>
      <c r="Q569" s="127"/>
      <c r="R569" s="160" t="s">
        <v>536</v>
      </c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27"/>
      <c r="AK569" s="98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99"/>
    </row>
    <row r="570" spans="2:61" ht="20.100000000000001" customHeight="1" x14ac:dyDescent="0.45">
      <c r="B570" s="123"/>
      <c r="C570" s="31"/>
      <c r="D570" s="31"/>
      <c r="E570" s="31"/>
      <c r="F570" s="31"/>
      <c r="G570" s="96"/>
      <c r="H570" s="97"/>
      <c r="I570" s="31"/>
      <c r="J570" s="103" t="s">
        <v>537</v>
      </c>
      <c r="K570" s="104"/>
      <c r="L570" s="104"/>
      <c r="M570" s="104"/>
      <c r="N570" s="104"/>
      <c r="O570" s="104"/>
      <c r="P570" s="104"/>
      <c r="Q570" s="127"/>
      <c r="R570" s="160" t="s">
        <v>538</v>
      </c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27"/>
      <c r="AK570" s="98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99"/>
    </row>
    <row r="571" spans="2:61" ht="20.100000000000001" customHeight="1" x14ac:dyDescent="0.45">
      <c r="B571" s="123"/>
      <c r="C571" s="31"/>
      <c r="D571" s="31"/>
      <c r="E571" s="31"/>
      <c r="F571" s="31"/>
      <c r="G571" s="96"/>
      <c r="H571" s="100" t="s">
        <v>52</v>
      </c>
      <c r="I571" s="55"/>
      <c r="J571" s="100" t="s">
        <v>539</v>
      </c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101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102"/>
    </row>
    <row r="572" spans="2:61" ht="20.100000000000001" customHeight="1" x14ac:dyDescent="0.45">
      <c r="B572" s="95"/>
      <c r="C572" s="31"/>
      <c r="D572" s="31"/>
      <c r="E572" s="31"/>
      <c r="F572" s="31"/>
      <c r="G572" s="96"/>
      <c r="H572" s="100" t="s">
        <v>54</v>
      </c>
      <c r="I572" s="55"/>
      <c r="J572" s="161" t="s">
        <v>540</v>
      </c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101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102"/>
    </row>
    <row r="573" spans="2:61" ht="20.100000000000001" customHeight="1" thickBot="1" x14ac:dyDescent="0.5">
      <c r="B573" s="95"/>
      <c r="C573" s="31"/>
      <c r="D573" s="31"/>
      <c r="E573" s="31"/>
      <c r="F573" s="31"/>
      <c r="G573" s="96"/>
      <c r="H573" s="100" t="s">
        <v>541</v>
      </c>
      <c r="I573" s="55"/>
      <c r="J573" s="161" t="s">
        <v>542</v>
      </c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101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102"/>
    </row>
    <row r="574" spans="2:61" ht="20.100000000000001" customHeight="1" x14ac:dyDescent="0.45">
      <c r="B574" s="89" t="s">
        <v>527</v>
      </c>
      <c r="C574" s="90"/>
      <c r="D574" s="90"/>
      <c r="E574" s="90"/>
      <c r="F574" s="90"/>
      <c r="G574" s="91"/>
      <c r="H574" s="92" t="s">
        <v>83</v>
      </c>
      <c r="I574" s="90"/>
      <c r="J574" s="120" t="s">
        <v>186</v>
      </c>
      <c r="K574" s="121"/>
      <c r="L574" s="121"/>
      <c r="M574" s="121"/>
      <c r="N574" s="121"/>
      <c r="O574" s="121"/>
      <c r="P574" s="121"/>
      <c r="Q574" s="122"/>
      <c r="R574" s="121" t="s">
        <v>543</v>
      </c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2"/>
      <c r="AK574" s="93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4"/>
    </row>
    <row r="575" spans="2:61" ht="20.100000000000001" customHeight="1" x14ac:dyDescent="0.45">
      <c r="B575" s="123"/>
      <c r="C575" s="31"/>
      <c r="D575" s="31"/>
      <c r="E575" s="31"/>
      <c r="F575" s="31"/>
      <c r="G575" s="96"/>
      <c r="H575" s="97"/>
      <c r="I575" s="31"/>
      <c r="J575" s="103" t="s">
        <v>243</v>
      </c>
      <c r="K575" s="104"/>
      <c r="L575" s="104"/>
      <c r="M575" s="104"/>
      <c r="N575" s="104"/>
      <c r="O575" s="104"/>
      <c r="P575" s="104"/>
      <c r="Q575" s="127"/>
      <c r="R575" s="160" t="s">
        <v>544</v>
      </c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27"/>
      <c r="AK575" s="98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99"/>
    </row>
    <row r="576" spans="2:61" ht="20.100000000000001" customHeight="1" x14ac:dyDescent="0.45">
      <c r="B576" s="123"/>
      <c r="C576" s="31"/>
      <c r="D576" s="31"/>
      <c r="E576" s="31"/>
      <c r="F576" s="31"/>
      <c r="G576" s="96"/>
      <c r="H576" s="97"/>
      <c r="I576" s="31"/>
      <c r="J576" s="103" t="s">
        <v>246</v>
      </c>
      <c r="K576" s="104"/>
      <c r="L576" s="104"/>
      <c r="M576" s="104"/>
      <c r="N576" s="104"/>
      <c r="O576" s="104"/>
      <c r="P576" s="104"/>
      <c r="Q576" s="127"/>
      <c r="R576" s="160" t="s">
        <v>545</v>
      </c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27"/>
      <c r="AK576" s="98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99"/>
    </row>
    <row r="577" spans="2:61" ht="20.100000000000001" customHeight="1" x14ac:dyDescent="0.45">
      <c r="B577" s="123"/>
      <c r="C577" s="31"/>
      <c r="D577" s="31"/>
      <c r="E577" s="31"/>
      <c r="F577" s="31"/>
      <c r="G577" s="96"/>
      <c r="H577" s="97"/>
      <c r="I577" s="31"/>
      <c r="J577" s="103" t="s">
        <v>249</v>
      </c>
      <c r="K577" s="104"/>
      <c r="L577" s="104"/>
      <c r="M577" s="104"/>
      <c r="N577" s="104"/>
      <c r="O577" s="104"/>
      <c r="P577" s="104"/>
      <c r="Q577" s="127"/>
      <c r="R577" s="104" t="s">
        <v>546</v>
      </c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27"/>
      <c r="AK577" s="98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99"/>
    </row>
    <row r="578" spans="2:61" ht="20.100000000000001" customHeight="1" x14ac:dyDescent="0.45">
      <c r="B578" s="123"/>
      <c r="C578" s="31"/>
      <c r="D578" s="31"/>
      <c r="E578" s="31"/>
      <c r="F578" s="31"/>
      <c r="G578" s="96"/>
      <c r="H578" s="97"/>
      <c r="I578" s="31"/>
      <c r="J578" s="103" t="s">
        <v>251</v>
      </c>
      <c r="K578" s="104"/>
      <c r="L578" s="104"/>
      <c r="M578" s="104"/>
      <c r="N578" s="104"/>
      <c r="O578" s="104"/>
      <c r="P578" s="104"/>
      <c r="Q578" s="127"/>
      <c r="R578" s="104" t="s">
        <v>547</v>
      </c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27"/>
      <c r="AK578" s="98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99"/>
    </row>
    <row r="579" spans="2:61" ht="20.100000000000001" customHeight="1" x14ac:dyDescent="0.45">
      <c r="B579" s="123"/>
      <c r="C579" s="31"/>
      <c r="D579" s="31"/>
      <c r="E579" s="31"/>
      <c r="F579" s="31"/>
      <c r="G579" s="96"/>
      <c r="H579" s="97"/>
      <c r="I579" s="31"/>
      <c r="J579" s="103" t="s">
        <v>253</v>
      </c>
      <c r="K579" s="104"/>
      <c r="L579" s="104"/>
      <c r="M579" s="104"/>
      <c r="N579" s="104"/>
      <c r="O579" s="104"/>
      <c r="P579" s="104"/>
      <c r="Q579" s="127"/>
      <c r="R579" s="104" t="s">
        <v>548</v>
      </c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27"/>
      <c r="AK579" s="98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99"/>
    </row>
    <row r="580" spans="2:61" ht="20.100000000000001" customHeight="1" x14ac:dyDescent="0.45">
      <c r="B580" s="123"/>
      <c r="C580" s="31"/>
      <c r="D580" s="31"/>
      <c r="E580" s="31"/>
      <c r="F580" s="31"/>
      <c r="G580" s="96"/>
      <c r="H580" s="97"/>
      <c r="I580" s="31"/>
      <c r="J580" s="103" t="s">
        <v>255</v>
      </c>
      <c r="K580" s="104"/>
      <c r="L580" s="104"/>
      <c r="M580" s="104"/>
      <c r="N580" s="104"/>
      <c r="O580" s="104"/>
      <c r="P580" s="104"/>
      <c r="Q580" s="127"/>
      <c r="R580" s="104" t="s">
        <v>549</v>
      </c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27"/>
      <c r="AK580" s="98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99"/>
    </row>
    <row r="581" spans="2:61" ht="20.100000000000001" customHeight="1" x14ac:dyDescent="0.45">
      <c r="B581" s="123"/>
      <c r="C581" s="31"/>
      <c r="D581" s="31"/>
      <c r="E581" s="31"/>
      <c r="F581" s="31"/>
      <c r="G581" s="96"/>
      <c r="H581" s="97"/>
      <c r="I581" s="31"/>
      <c r="J581" s="103" t="s">
        <v>257</v>
      </c>
      <c r="K581" s="104"/>
      <c r="L581" s="104"/>
      <c r="M581" s="104"/>
      <c r="N581" s="104"/>
      <c r="O581" s="104"/>
      <c r="P581" s="104"/>
      <c r="Q581" s="127"/>
      <c r="R581" s="104" t="s">
        <v>550</v>
      </c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27"/>
      <c r="AK581" s="98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99"/>
    </row>
    <row r="582" spans="2:61" ht="20.100000000000001" customHeight="1" x14ac:dyDescent="0.45">
      <c r="B582" s="123"/>
      <c r="C582" s="31"/>
      <c r="D582" s="31"/>
      <c r="E582" s="31"/>
      <c r="F582" s="31"/>
      <c r="G582" s="96"/>
      <c r="H582" s="97"/>
      <c r="I582" s="31"/>
      <c r="J582" s="103" t="s">
        <v>259</v>
      </c>
      <c r="K582" s="104"/>
      <c r="L582" s="104"/>
      <c r="M582" s="104"/>
      <c r="N582" s="104"/>
      <c r="O582" s="104"/>
      <c r="P582" s="104"/>
      <c r="Q582" s="127"/>
      <c r="R582" s="104" t="s">
        <v>551</v>
      </c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27"/>
      <c r="AK582" s="98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99"/>
    </row>
    <row r="583" spans="2:61" ht="20.100000000000001" customHeight="1" x14ac:dyDescent="0.45">
      <c r="B583" s="123"/>
      <c r="C583" s="31"/>
      <c r="D583" s="31"/>
      <c r="E583" s="31"/>
      <c r="F583" s="31"/>
      <c r="G583" s="96"/>
      <c r="H583" s="97"/>
      <c r="I583" s="31"/>
      <c r="J583" s="103" t="s">
        <v>261</v>
      </c>
      <c r="K583" s="104"/>
      <c r="L583" s="104"/>
      <c r="M583" s="104"/>
      <c r="N583" s="104"/>
      <c r="O583" s="104"/>
      <c r="P583" s="104"/>
      <c r="Q583" s="127"/>
      <c r="R583" s="104" t="s">
        <v>552</v>
      </c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27"/>
      <c r="AK583" s="98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99"/>
    </row>
    <row r="584" spans="2:61" ht="20.100000000000001" customHeight="1" x14ac:dyDescent="0.45">
      <c r="B584" s="123"/>
      <c r="C584" s="31"/>
      <c r="D584" s="31"/>
      <c r="E584" s="31"/>
      <c r="F584" s="31"/>
      <c r="G584" s="96"/>
      <c r="H584" s="97"/>
      <c r="I584" s="31"/>
      <c r="J584" s="103" t="s">
        <v>263</v>
      </c>
      <c r="K584" s="104"/>
      <c r="L584" s="104"/>
      <c r="M584" s="104"/>
      <c r="N584" s="104"/>
      <c r="O584" s="104"/>
      <c r="P584" s="104"/>
      <c r="Q584" s="127"/>
      <c r="R584" s="104" t="s">
        <v>553</v>
      </c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27"/>
      <c r="AK584" s="98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99"/>
    </row>
    <row r="585" spans="2:61" ht="20.100000000000001" customHeight="1" x14ac:dyDescent="0.45">
      <c r="B585" s="123"/>
      <c r="C585" s="31"/>
      <c r="D585" s="31"/>
      <c r="E585" s="31"/>
      <c r="F585" s="31"/>
      <c r="G585" s="96"/>
      <c r="H585" s="97"/>
      <c r="I585" s="31"/>
      <c r="J585" s="103" t="s">
        <v>265</v>
      </c>
      <c r="K585" s="104"/>
      <c r="L585" s="104"/>
      <c r="M585" s="104"/>
      <c r="N585" s="104"/>
      <c r="O585" s="104"/>
      <c r="P585" s="104"/>
      <c r="Q585" s="127"/>
      <c r="R585" s="104" t="s">
        <v>554</v>
      </c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27"/>
      <c r="AK585" s="98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99"/>
    </row>
    <row r="586" spans="2:61" ht="20.100000000000001" customHeight="1" x14ac:dyDescent="0.45">
      <c r="B586" s="123"/>
      <c r="C586" s="31"/>
      <c r="D586" s="31"/>
      <c r="E586" s="31"/>
      <c r="F586" s="31"/>
      <c r="G586" s="96"/>
      <c r="H586" s="97"/>
      <c r="I586" s="31"/>
      <c r="J586" s="103" t="s">
        <v>267</v>
      </c>
      <c r="K586" s="104"/>
      <c r="L586" s="104"/>
      <c r="M586" s="104"/>
      <c r="N586" s="104"/>
      <c r="O586" s="104"/>
      <c r="P586" s="104"/>
      <c r="Q586" s="127"/>
      <c r="R586" s="104" t="s">
        <v>555</v>
      </c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27"/>
      <c r="AK586" s="98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99"/>
    </row>
    <row r="587" spans="2:61" ht="20.100000000000001" customHeight="1" x14ac:dyDescent="0.45">
      <c r="B587" s="123"/>
      <c r="C587" s="31"/>
      <c r="D587" s="31"/>
      <c r="E587" s="31"/>
      <c r="F587" s="31"/>
      <c r="G587" s="96"/>
      <c r="H587" s="97"/>
      <c r="I587" s="31"/>
      <c r="J587" s="103" t="s">
        <v>269</v>
      </c>
      <c r="K587" s="104"/>
      <c r="L587" s="104"/>
      <c r="M587" s="104"/>
      <c r="N587" s="104"/>
      <c r="O587" s="104"/>
      <c r="P587" s="104"/>
      <c r="Q587" s="127"/>
      <c r="R587" s="104" t="s">
        <v>556</v>
      </c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27"/>
      <c r="AK587" s="98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99"/>
    </row>
    <row r="588" spans="2:61" ht="20.100000000000001" customHeight="1" x14ac:dyDescent="0.45">
      <c r="B588" s="123"/>
      <c r="C588" s="31"/>
      <c r="D588" s="31"/>
      <c r="E588" s="31"/>
      <c r="F588" s="31"/>
      <c r="G588" s="96"/>
      <c r="H588" s="97"/>
      <c r="I588" s="31"/>
      <c r="J588" s="103" t="s">
        <v>271</v>
      </c>
      <c r="K588" s="104"/>
      <c r="L588" s="104"/>
      <c r="M588" s="104"/>
      <c r="N588" s="104"/>
      <c r="O588" s="104"/>
      <c r="P588" s="104"/>
      <c r="Q588" s="127"/>
      <c r="R588" s="104" t="s">
        <v>557</v>
      </c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27"/>
      <c r="AK588" s="98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99"/>
    </row>
    <row r="589" spans="2:61" ht="20.100000000000001" customHeight="1" x14ac:dyDescent="0.45">
      <c r="B589" s="123"/>
      <c r="C589" s="31"/>
      <c r="D589" s="31"/>
      <c r="E589" s="31"/>
      <c r="F589" s="31"/>
      <c r="G589" s="96"/>
      <c r="H589" s="97"/>
      <c r="I589" s="31"/>
      <c r="J589" s="103" t="s">
        <v>273</v>
      </c>
      <c r="K589" s="104"/>
      <c r="L589" s="104"/>
      <c r="M589" s="104"/>
      <c r="N589" s="104"/>
      <c r="O589" s="104"/>
      <c r="P589" s="104"/>
      <c r="Q589" s="127"/>
      <c r="R589" s="104" t="s">
        <v>558</v>
      </c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27"/>
      <c r="AK589" s="98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99"/>
    </row>
    <row r="590" spans="2:61" ht="20.100000000000001" customHeight="1" x14ac:dyDescent="0.45">
      <c r="B590" s="123"/>
      <c r="C590" s="31"/>
      <c r="D590" s="31"/>
      <c r="E590" s="31"/>
      <c r="F590" s="31"/>
      <c r="G590" s="96"/>
      <c r="H590" s="97"/>
      <c r="I590" s="31"/>
      <c r="J590" s="103" t="s">
        <v>277</v>
      </c>
      <c r="K590" s="104"/>
      <c r="L590" s="104"/>
      <c r="M590" s="104"/>
      <c r="N590" s="104"/>
      <c r="O590" s="104"/>
      <c r="P590" s="104"/>
      <c r="Q590" s="127"/>
      <c r="R590" s="104" t="s">
        <v>559</v>
      </c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27"/>
      <c r="AK590" s="98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99"/>
    </row>
    <row r="591" spans="2:61" ht="20.100000000000001" customHeight="1" x14ac:dyDescent="0.45">
      <c r="B591" s="123"/>
      <c r="C591" s="31"/>
      <c r="D591" s="31"/>
      <c r="E591" s="31"/>
      <c r="F591" s="31"/>
      <c r="G591" s="96"/>
      <c r="H591" s="97"/>
      <c r="I591" s="31"/>
      <c r="J591" s="103" t="s">
        <v>283</v>
      </c>
      <c r="K591" s="104"/>
      <c r="L591" s="104"/>
      <c r="M591" s="104"/>
      <c r="N591" s="104"/>
      <c r="O591" s="104"/>
      <c r="P591" s="104"/>
      <c r="Q591" s="127"/>
      <c r="R591" s="160" t="s">
        <v>560</v>
      </c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27"/>
      <c r="AK591" s="98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99"/>
    </row>
    <row r="592" spans="2:61" ht="20.100000000000001" customHeight="1" x14ac:dyDescent="0.45">
      <c r="B592" s="123"/>
      <c r="C592" s="31"/>
      <c r="D592" s="31"/>
      <c r="E592" s="31"/>
      <c r="F592" s="31"/>
      <c r="G592" s="96"/>
      <c r="H592" s="97"/>
      <c r="I592" s="31"/>
      <c r="J592" s="103" t="s">
        <v>285</v>
      </c>
      <c r="K592" s="104"/>
      <c r="L592" s="104"/>
      <c r="M592" s="104"/>
      <c r="N592" s="104"/>
      <c r="O592" s="104"/>
      <c r="P592" s="104"/>
      <c r="Q592" s="127"/>
      <c r="R592" s="160" t="s">
        <v>561</v>
      </c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27"/>
      <c r="AK592" s="98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99"/>
    </row>
    <row r="593" spans="2:61" ht="20.100000000000001" customHeight="1" x14ac:dyDescent="0.45">
      <c r="B593" s="123"/>
      <c r="C593" s="31"/>
      <c r="D593" s="31"/>
      <c r="E593" s="31"/>
      <c r="F593" s="31"/>
      <c r="G593" s="96"/>
      <c r="H593" s="97"/>
      <c r="I593" s="31"/>
      <c r="J593" s="103" t="s">
        <v>200</v>
      </c>
      <c r="K593" s="104"/>
      <c r="L593" s="104"/>
      <c r="M593" s="104"/>
      <c r="N593" s="104"/>
      <c r="O593" s="104"/>
      <c r="P593" s="104"/>
      <c r="Q593" s="127"/>
      <c r="R593" s="104" t="s">
        <v>562</v>
      </c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27"/>
      <c r="AK593" s="98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99"/>
    </row>
    <row r="594" spans="2:61" ht="20.100000000000001" customHeight="1" x14ac:dyDescent="0.45">
      <c r="B594" s="123"/>
      <c r="C594" s="31"/>
      <c r="D594" s="31"/>
      <c r="E594" s="31"/>
      <c r="F594" s="31"/>
      <c r="G594" s="96"/>
      <c r="H594" s="97"/>
      <c r="I594" s="31"/>
      <c r="J594" s="103" t="s">
        <v>292</v>
      </c>
      <c r="K594" s="104"/>
      <c r="L594" s="104"/>
      <c r="M594" s="104"/>
      <c r="N594" s="104"/>
      <c r="O594" s="104"/>
      <c r="P594" s="104"/>
      <c r="Q594" s="127"/>
      <c r="R594" s="104" t="s">
        <v>563</v>
      </c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27"/>
      <c r="AK594" s="98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99"/>
    </row>
    <row r="595" spans="2:61" ht="20.100000000000001" customHeight="1" x14ac:dyDescent="0.45">
      <c r="B595" s="123"/>
      <c r="C595" s="31"/>
      <c r="D595" s="31"/>
      <c r="E595" s="31"/>
      <c r="F595" s="31"/>
      <c r="G595" s="96"/>
      <c r="H595" s="97"/>
      <c r="I595" s="31"/>
      <c r="J595" s="103" t="s">
        <v>294</v>
      </c>
      <c r="K595" s="104"/>
      <c r="L595" s="104"/>
      <c r="M595" s="104"/>
      <c r="N595" s="104"/>
      <c r="O595" s="104"/>
      <c r="P595" s="104"/>
      <c r="Q595" s="127"/>
      <c r="R595" s="160" t="s">
        <v>564</v>
      </c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27"/>
      <c r="AK595" s="98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99"/>
    </row>
    <row r="596" spans="2:61" ht="20.100000000000001" customHeight="1" x14ac:dyDescent="0.45">
      <c r="B596" s="123"/>
      <c r="C596" s="31"/>
      <c r="D596" s="31"/>
      <c r="E596" s="31"/>
      <c r="F596" s="31"/>
      <c r="G596" s="96"/>
      <c r="H596" s="97"/>
      <c r="I596" s="31"/>
      <c r="J596" s="103" t="s">
        <v>296</v>
      </c>
      <c r="K596" s="104"/>
      <c r="L596" s="104"/>
      <c r="M596" s="104"/>
      <c r="N596" s="104"/>
      <c r="O596" s="104"/>
      <c r="P596" s="104"/>
      <c r="Q596" s="127"/>
      <c r="R596" s="160" t="s">
        <v>565</v>
      </c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27"/>
      <c r="AK596" s="98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99"/>
    </row>
    <row r="597" spans="2:61" ht="20.100000000000001" customHeight="1" x14ac:dyDescent="0.45">
      <c r="B597" s="123"/>
      <c r="C597" s="31"/>
      <c r="D597" s="31"/>
      <c r="E597" s="31"/>
      <c r="F597" s="31"/>
      <c r="G597" s="96"/>
      <c r="H597" s="97"/>
      <c r="I597" s="31"/>
      <c r="J597" s="103" t="s">
        <v>298</v>
      </c>
      <c r="K597" s="104"/>
      <c r="L597" s="104"/>
      <c r="M597" s="104"/>
      <c r="N597" s="104"/>
      <c r="O597" s="104"/>
      <c r="P597" s="104"/>
      <c r="Q597" s="127"/>
      <c r="R597" s="104" t="s">
        <v>566</v>
      </c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27"/>
      <c r="AK597" s="98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99"/>
    </row>
    <row r="598" spans="2:61" ht="20.100000000000001" customHeight="1" x14ac:dyDescent="0.45">
      <c r="B598" s="123"/>
      <c r="C598" s="31"/>
      <c r="D598" s="31"/>
      <c r="E598" s="31"/>
      <c r="F598" s="31"/>
      <c r="G598" s="96"/>
      <c r="H598" s="97"/>
      <c r="I598" s="31"/>
      <c r="J598" s="103" t="s">
        <v>300</v>
      </c>
      <c r="K598" s="104"/>
      <c r="L598" s="104"/>
      <c r="M598" s="104"/>
      <c r="N598" s="104"/>
      <c r="O598" s="104"/>
      <c r="P598" s="104"/>
      <c r="Q598" s="127"/>
      <c r="R598" s="104" t="s">
        <v>567</v>
      </c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27"/>
      <c r="AK598" s="98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99"/>
    </row>
    <row r="599" spans="2:61" ht="20.100000000000001" customHeight="1" x14ac:dyDescent="0.45">
      <c r="B599" s="123"/>
      <c r="C599" s="31"/>
      <c r="D599" s="31"/>
      <c r="E599" s="31"/>
      <c r="F599" s="31"/>
      <c r="G599" s="96"/>
      <c r="H599" s="97"/>
      <c r="I599" s="31"/>
      <c r="J599" s="103" t="s">
        <v>302</v>
      </c>
      <c r="K599" s="104"/>
      <c r="L599" s="104"/>
      <c r="M599" s="104"/>
      <c r="N599" s="104"/>
      <c r="O599" s="104"/>
      <c r="P599" s="104"/>
      <c r="Q599" s="127"/>
      <c r="R599" s="104" t="s">
        <v>568</v>
      </c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27"/>
      <c r="AK599" s="98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99"/>
    </row>
    <row r="600" spans="2:61" ht="20.100000000000001" customHeight="1" x14ac:dyDescent="0.45">
      <c r="B600" s="123"/>
      <c r="C600" s="31"/>
      <c r="D600" s="31"/>
      <c r="E600" s="31"/>
      <c r="F600" s="31"/>
      <c r="G600" s="96"/>
      <c r="H600" s="97"/>
      <c r="I600" s="31"/>
      <c r="J600" s="103" t="s">
        <v>304</v>
      </c>
      <c r="K600" s="104"/>
      <c r="L600" s="104"/>
      <c r="M600" s="104"/>
      <c r="N600" s="104"/>
      <c r="O600" s="104"/>
      <c r="P600" s="104"/>
      <c r="Q600" s="127"/>
      <c r="R600" s="104" t="s">
        <v>569</v>
      </c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27"/>
      <c r="AK600" s="98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99"/>
    </row>
    <row r="601" spans="2:61" ht="20.100000000000001" customHeight="1" x14ac:dyDescent="0.45">
      <c r="B601" s="123"/>
      <c r="C601" s="31"/>
      <c r="D601" s="31"/>
      <c r="E601" s="31"/>
      <c r="F601" s="31"/>
      <c r="G601" s="96"/>
      <c r="H601" s="97"/>
      <c r="I601" s="31"/>
      <c r="J601" s="103" t="s">
        <v>306</v>
      </c>
      <c r="K601" s="104"/>
      <c r="L601" s="104"/>
      <c r="M601" s="104"/>
      <c r="N601" s="104"/>
      <c r="O601" s="104"/>
      <c r="P601" s="104"/>
      <c r="Q601" s="127"/>
      <c r="R601" s="104" t="s">
        <v>570</v>
      </c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27"/>
      <c r="AK601" s="98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99"/>
    </row>
    <row r="602" spans="2:61" ht="20.100000000000001" customHeight="1" x14ac:dyDescent="0.45">
      <c r="B602" s="123"/>
      <c r="C602" s="31"/>
      <c r="D602" s="31"/>
      <c r="E602" s="31"/>
      <c r="F602" s="31"/>
      <c r="G602" s="96"/>
      <c r="H602" s="97"/>
      <c r="I602" s="31"/>
      <c r="J602" s="103" t="s">
        <v>308</v>
      </c>
      <c r="K602" s="104"/>
      <c r="L602" s="104"/>
      <c r="M602" s="104"/>
      <c r="N602" s="104"/>
      <c r="O602" s="104"/>
      <c r="P602" s="104"/>
      <c r="Q602" s="127"/>
      <c r="R602" s="104" t="s">
        <v>571</v>
      </c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27"/>
      <c r="AK602" s="98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99"/>
    </row>
    <row r="603" spans="2:61" ht="20.100000000000001" customHeight="1" thickBot="1" x14ac:dyDescent="0.5">
      <c r="B603" s="123"/>
      <c r="C603" s="31"/>
      <c r="D603" s="31"/>
      <c r="E603" s="31"/>
      <c r="F603" s="31"/>
      <c r="G603" s="96"/>
      <c r="H603" s="100" t="s">
        <v>52</v>
      </c>
      <c r="I603" s="55"/>
      <c r="J603" s="100" t="s">
        <v>572</v>
      </c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101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102"/>
    </row>
    <row r="604" spans="2:61" ht="20.100000000000001" customHeight="1" x14ac:dyDescent="0.45">
      <c r="B604" s="89" t="s">
        <v>573</v>
      </c>
      <c r="C604" s="90"/>
      <c r="D604" s="90"/>
      <c r="E604" s="90"/>
      <c r="F604" s="90"/>
      <c r="G604" s="91"/>
      <c r="H604" s="92" t="s">
        <v>574</v>
      </c>
      <c r="I604" s="90"/>
      <c r="J604" s="120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2"/>
      <c r="AK604" s="93" t="s">
        <v>575</v>
      </c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4"/>
    </row>
    <row r="605" spans="2:61" ht="20.100000000000001" customHeight="1" x14ac:dyDescent="0.45">
      <c r="B605" s="123"/>
      <c r="C605" s="31"/>
      <c r="D605" s="31"/>
      <c r="E605" s="31"/>
      <c r="F605" s="31"/>
      <c r="G605" s="96"/>
      <c r="H605" s="100" t="s">
        <v>52</v>
      </c>
      <c r="I605" s="55"/>
      <c r="J605" s="100" t="s">
        <v>576</v>
      </c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101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102"/>
    </row>
    <row r="606" spans="2:61" ht="20.100000000000001" customHeight="1" thickBot="1" x14ac:dyDescent="0.5">
      <c r="B606" s="123"/>
      <c r="C606" s="31"/>
      <c r="D606" s="31"/>
      <c r="E606" s="31"/>
      <c r="F606" s="31"/>
      <c r="G606" s="96"/>
      <c r="H606" s="100" t="s">
        <v>54</v>
      </c>
      <c r="I606" s="55"/>
      <c r="J606" s="100" t="s">
        <v>577</v>
      </c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101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102"/>
    </row>
    <row r="607" spans="2:61" ht="20.100000000000001" customHeight="1" x14ac:dyDescent="0.45">
      <c r="B607" s="89" t="s">
        <v>578</v>
      </c>
      <c r="C607" s="90"/>
      <c r="D607" s="90"/>
      <c r="E607" s="90"/>
      <c r="F607" s="90"/>
      <c r="G607" s="91"/>
      <c r="H607" s="92" t="s">
        <v>579</v>
      </c>
      <c r="I607" s="90"/>
      <c r="J607" s="120" t="s">
        <v>186</v>
      </c>
      <c r="K607" s="121"/>
      <c r="L607" s="121"/>
      <c r="M607" s="121"/>
      <c r="N607" s="121"/>
      <c r="O607" s="121"/>
      <c r="P607" s="121"/>
      <c r="Q607" s="122"/>
      <c r="R607" s="121" t="s">
        <v>452</v>
      </c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2"/>
      <c r="AK607" s="93" t="s">
        <v>580</v>
      </c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4"/>
    </row>
    <row r="608" spans="2:61" ht="20.100000000000001" customHeight="1" x14ac:dyDescent="0.45">
      <c r="B608" s="123"/>
      <c r="C608" s="31"/>
      <c r="D608" s="31"/>
      <c r="E608" s="31"/>
      <c r="F608" s="31"/>
      <c r="G608" s="96"/>
      <c r="H608" s="97"/>
      <c r="I608" s="31"/>
      <c r="J608" s="103" t="s">
        <v>243</v>
      </c>
      <c r="K608" s="104"/>
      <c r="L608" s="104"/>
      <c r="M608" s="104"/>
      <c r="N608" s="104"/>
      <c r="O608" s="104"/>
      <c r="P608" s="104"/>
      <c r="Q608" s="127"/>
      <c r="R608" s="160" t="s">
        <v>454</v>
      </c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27"/>
      <c r="AK608" s="98" t="s">
        <v>581</v>
      </c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99"/>
    </row>
    <row r="609" spans="2:61" ht="20.100000000000001" customHeight="1" x14ac:dyDescent="0.45">
      <c r="B609" s="123"/>
      <c r="C609" s="31"/>
      <c r="D609" s="31"/>
      <c r="E609" s="31"/>
      <c r="F609" s="31"/>
      <c r="G609" s="96"/>
      <c r="H609" s="97"/>
      <c r="I609" s="31"/>
      <c r="J609" s="103" t="s">
        <v>246</v>
      </c>
      <c r="K609" s="104"/>
      <c r="L609" s="104"/>
      <c r="M609" s="104"/>
      <c r="N609" s="104"/>
      <c r="O609" s="104"/>
      <c r="P609" s="104"/>
      <c r="Q609" s="127"/>
      <c r="R609" s="160" t="s">
        <v>456</v>
      </c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27"/>
      <c r="AK609" s="98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99"/>
    </row>
    <row r="610" spans="2:61" ht="20.100000000000001" customHeight="1" x14ac:dyDescent="0.45">
      <c r="B610" s="123"/>
      <c r="C610" s="31"/>
      <c r="D610" s="31"/>
      <c r="E610" s="31"/>
      <c r="F610" s="31"/>
      <c r="G610" s="96"/>
      <c r="H610" s="97"/>
      <c r="I610" s="31"/>
      <c r="J610" s="103" t="s">
        <v>249</v>
      </c>
      <c r="K610" s="104"/>
      <c r="L610" s="104"/>
      <c r="M610" s="104"/>
      <c r="N610" s="104"/>
      <c r="O610" s="104"/>
      <c r="P610" s="104"/>
      <c r="Q610" s="127"/>
      <c r="R610" s="104" t="s">
        <v>457</v>
      </c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27"/>
      <c r="AK610" s="98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99"/>
    </row>
    <row r="611" spans="2:61" ht="20.100000000000001" customHeight="1" x14ac:dyDescent="0.45">
      <c r="B611" s="123"/>
      <c r="C611" s="31"/>
      <c r="D611" s="31"/>
      <c r="E611" s="31"/>
      <c r="F611" s="31"/>
      <c r="G611" s="96"/>
      <c r="H611" s="97"/>
      <c r="I611" s="31"/>
      <c r="J611" s="103" t="s">
        <v>251</v>
      </c>
      <c r="K611" s="104"/>
      <c r="L611" s="104"/>
      <c r="M611" s="104"/>
      <c r="N611" s="104"/>
      <c r="O611" s="104"/>
      <c r="P611" s="104"/>
      <c r="Q611" s="127"/>
      <c r="R611" s="160" t="s">
        <v>458</v>
      </c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27"/>
      <c r="AK611" s="98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99"/>
    </row>
    <row r="612" spans="2:61" ht="20.100000000000001" customHeight="1" x14ac:dyDescent="0.45">
      <c r="B612" s="123"/>
      <c r="C612" s="31"/>
      <c r="D612" s="31"/>
      <c r="E612" s="31"/>
      <c r="F612" s="31"/>
      <c r="G612" s="96"/>
      <c r="H612" s="97"/>
      <c r="I612" s="31"/>
      <c r="J612" s="103" t="s">
        <v>253</v>
      </c>
      <c r="K612" s="104"/>
      <c r="L612" s="104"/>
      <c r="M612" s="104"/>
      <c r="N612" s="104"/>
      <c r="O612" s="104"/>
      <c r="P612" s="104"/>
      <c r="Q612" s="127"/>
      <c r="R612" s="160" t="s">
        <v>459</v>
      </c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27"/>
      <c r="AK612" s="98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99"/>
    </row>
    <row r="613" spans="2:61" ht="20.100000000000001" customHeight="1" x14ac:dyDescent="0.45">
      <c r="B613" s="123"/>
      <c r="C613" s="31"/>
      <c r="D613" s="31"/>
      <c r="E613" s="31"/>
      <c r="F613" s="31"/>
      <c r="G613" s="96"/>
      <c r="H613" s="97"/>
      <c r="I613" s="31"/>
      <c r="J613" s="103" t="s">
        <v>255</v>
      </c>
      <c r="K613" s="104"/>
      <c r="L613" s="104"/>
      <c r="M613" s="104"/>
      <c r="N613" s="104"/>
      <c r="O613" s="104"/>
      <c r="P613" s="104"/>
      <c r="Q613" s="127"/>
      <c r="R613" s="160" t="s">
        <v>460</v>
      </c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27"/>
      <c r="AK613" s="98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99"/>
    </row>
    <row r="614" spans="2:61" ht="20.100000000000001" customHeight="1" x14ac:dyDescent="0.45">
      <c r="B614" s="123"/>
      <c r="C614" s="31"/>
      <c r="D614" s="31"/>
      <c r="E614" s="31"/>
      <c r="F614" s="31"/>
      <c r="G614" s="96"/>
      <c r="H614" s="97"/>
      <c r="I614" s="31"/>
      <c r="J614" s="103" t="s">
        <v>257</v>
      </c>
      <c r="K614" s="104"/>
      <c r="L614" s="104"/>
      <c r="M614" s="104"/>
      <c r="N614" s="104"/>
      <c r="O614" s="104"/>
      <c r="P614" s="104"/>
      <c r="Q614" s="127"/>
      <c r="R614" s="160" t="s">
        <v>461</v>
      </c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27"/>
      <c r="AK614" s="98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99"/>
    </row>
    <row r="615" spans="2:61" ht="20.100000000000001" customHeight="1" x14ac:dyDescent="0.45">
      <c r="B615" s="123"/>
      <c r="C615" s="31"/>
      <c r="D615" s="31"/>
      <c r="E615" s="31"/>
      <c r="F615" s="31"/>
      <c r="G615" s="96"/>
      <c r="H615" s="97"/>
      <c r="I615" s="31"/>
      <c r="J615" s="103" t="s">
        <v>259</v>
      </c>
      <c r="K615" s="104"/>
      <c r="L615" s="104"/>
      <c r="M615" s="104"/>
      <c r="N615" s="104"/>
      <c r="O615" s="104"/>
      <c r="P615" s="104"/>
      <c r="Q615" s="127"/>
      <c r="R615" s="160" t="s">
        <v>462</v>
      </c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27"/>
      <c r="AK615" s="98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99"/>
    </row>
    <row r="616" spans="2:61" ht="20.100000000000001" customHeight="1" x14ac:dyDescent="0.45">
      <c r="B616" s="123"/>
      <c r="C616" s="31"/>
      <c r="D616" s="31"/>
      <c r="E616" s="31"/>
      <c r="F616" s="31"/>
      <c r="G616" s="96"/>
      <c r="H616" s="97"/>
      <c r="I616" s="31"/>
      <c r="J616" s="103" t="s">
        <v>261</v>
      </c>
      <c r="K616" s="104"/>
      <c r="L616" s="104"/>
      <c r="M616" s="104"/>
      <c r="N616" s="104"/>
      <c r="O616" s="104"/>
      <c r="P616" s="104"/>
      <c r="Q616" s="127"/>
      <c r="R616" s="160" t="s">
        <v>463</v>
      </c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27"/>
      <c r="AK616" s="98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99"/>
    </row>
    <row r="617" spans="2:61" ht="20.100000000000001" customHeight="1" x14ac:dyDescent="0.45">
      <c r="B617" s="123"/>
      <c r="C617" s="31"/>
      <c r="D617" s="31"/>
      <c r="E617" s="31"/>
      <c r="F617" s="31"/>
      <c r="G617" s="96"/>
      <c r="H617" s="97"/>
      <c r="I617" s="31"/>
      <c r="J617" s="103" t="s">
        <v>263</v>
      </c>
      <c r="K617" s="104"/>
      <c r="L617" s="104"/>
      <c r="M617" s="104"/>
      <c r="N617" s="104"/>
      <c r="O617" s="104"/>
      <c r="P617" s="104"/>
      <c r="Q617" s="127"/>
      <c r="R617" s="160" t="s">
        <v>464</v>
      </c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27"/>
      <c r="AK617" s="98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99"/>
    </row>
    <row r="618" spans="2:61" ht="20.100000000000001" customHeight="1" x14ac:dyDescent="0.45">
      <c r="B618" s="123"/>
      <c r="C618" s="31"/>
      <c r="D618" s="31"/>
      <c r="E618" s="31"/>
      <c r="F618" s="31"/>
      <c r="G618" s="96"/>
      <c r="H618" s="97"/>
      <c r="I618" s="31"/>
      <c r="J618" s="103" t="s">
        <v>265</v>
      </c>
      <c r="K618" s="104"/>
      <c r="L618" s="104"/>
      <c r="M618" s="104"/>
      <c r="N618" s="104"/>
      <c r="O618" s="104"/>
      <c r="P618" s="104"/>
      <c r="Q618" s="127"/>
      <c r="R618" s="160" t="s">
        <v>465</v>
      </c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27"/>
      <c r="AK618" s="98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99"/>
    </row>
    <row r="619" spans="2:61" ht="20.100000000000001" customHeight="1" x14ac:dyDescent="0.45">
      <c r="B619" s="123"/>
      <c r="C619" s="31"/>
      <c r="D619" s="31"/>
      <c r="E619" s="31"/>
      <c r="F619" s="31"/>
      <c r="G619" s="96"/>
      <c r="H619" s="97"/>
      <c r="I619" s="31"/>
      <c r="J619" s="103" t="s">
        <v>267</v>
      </c>
      <c r="K619" s="104"/>
      <c r="L619" s="104"/>
      <c r="M619" s="104"/>
      <c r="N619" s="104"/>
      <c r="O619" s="104"/>
      <c r="P619" s="104"/>
      <c r="Q619" s="127"/>
      <c r="R619" s="160" t="s">
        <v>466</v>
      </c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27"/>
      <c r="AK619" s="98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99"/>
    </row>
    <row r="620" spans="2:61" ht="20.100000000000001" customHeight="1" x14ac:dyDescent="0.45">
      <c r="B620" s="123"/>
      <c r="C620" s="31"/>
      <c r="D620" s="31"/>
      <c r="E620" s="31"/>
      <c r="F620" s="31"/>
      <c r="G620" s="96"/>
      <c r="H620" s="97"/>
      <c r="I620" s="31"/>
      <c r="J620" s="103" t="s">
        <v>269</v>
      </c>
      <c r="K620" s="104"/>
      <c r="L620" s="104"/>
      <c r="M620" s="104"/>
      <c r="N620" s="104"/>
      <c r="O620" s="104"/>
      <c r="P620" s="104"/>
      <c r="Q620" s="127"/>
      <c r="R620" s="160" t="s">
        <v>467</v>
      </c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27"/>
      <c r="AK620" s="98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99"/>
    </row>
    <row r="621" spans="2:61" ht="20.100000000000001" customHeight="1" x14ac:dyDescent="0.45">
      <c r="B621" s="123"/>
      <c r="C621" s="31"/>
      <c r="D621" s="31"/>
      <c r="E621" s="31"/>
      <c r="F621" s="31"/>
      <c r="G621" s="96"/>
      <c r="H621" s="97"/>
      <c r="I621" s="31"/>
      <c r="J621" s="103" t="s">
        <v>271</v>
      </c>
      <c r="K621" s="104"/>
      <c r="L621" s="104"/>
      <c r="M621" s="104"/>
      <c r="N621" s="104"/>
      <c r="O621" s="104"/>
      <c r="P621" s="104"/>
      <c r="Q621" s="127"/>
      <c r="R621" s="160" t="s">
        <v>468</v>
      </c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27"/>
      <c r="AK621" s="98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99"/>
    </row>
    <row r="622" spans="2:61" ht="20.100000000000001" customHeight="1" x14ac:dyDescent="0.45">
      <c r="B622" s="123"/>
      <c r="C622" s="31"/>
      <c r="D622" s="31"/>
      <c r="E622" s="31"/>
      <c r="F622" s="31"/>
      <c r="G622" s="96"/>
      <c r="H622" s="97"/>
      <c r="I622" s="31"/>
      <c r="J622" s="103" t="s">
        <v>273</v>
      </c>
      <c r="K622" s="104"/>
      <c r="L622" s="104"/>
      <c r="M622" s="104"/>
      <c r="N622" s="104"/>
      <c r="O622" s="104"/>
      <c r="P622" s="104"/>
      <c r="Q622" s="127"/>
      <c r="R622" s="160" t="s">
        <v>469</v>
      </c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27"/>
      <c r="AK622" s="98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99"/>
    </row>
    <row r="623" spans="2:61" ht="20.100000000000001" customHeight="1" x14ac:dyDescent="0.45">
      <c r="B623" s="123"/>
      <c r="C623" s="31"/>
      <c r="D623" s="31"/>
      <c r="E623" s="31"/>
      <c r="F623" s="31"/>
      <c r="G623" s="96"/>
      <c r="H623" s="97"/>
      <c r="I623" s="31"/>
      <c r="J623" s="103" t="s">
        <v>275</v>
      </c>
      <c r="K623" s="104"/>
      <c r="L623" s="104"/>
      <c r="M623" s="104"/>
      <c r="N623" s="104"/>
      <c r="O623" s="104"/>
      <c r="P623" s="104"/>
      <c r="Q623" s="127"/>
      <c r="R623" s="160" t="s">
        <v>470</v>
      </c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27"/>
      <c r="AK623" s="98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99"/>
    </row>
    <row r="624" spans="2:61" ht="20.100000000000001" customHeight="1" x14ac:dyDescent="0.45">
      <c r="B624" s="123"/>
      <c r="C624" s="31"/>
      <c r="D624" s="31"/>
      <c r="E624" s="31"/>
      <c r="F624" s="31"/>
      <c r="G624" s="96"/>
      <c r="H624" s="97"/>
      <c r="I624" s="31"/>
      <c r="J624" s="103" t="s">
        <v>277</v>
      </c>
      <c r="K624" s="104"/>
      <c r="L624" s="104"/>
      <c r="M624" s="104"/>
      <c r="N624" s="104"/>
      <c r="O624" s="104"/>
      <c r="P624" s="104"/>
      <c r="Q624" s="127"/>
      <c r="R624" s="160" t="s">
        <v>471</v>
      </c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27"/>
      <c r="AK624" s="98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99"/>
    </row>
    <row r="625" spans="2:61" ht="20.100000000000001" customHeight="1" x14ac:dyDescent="0.45">
      <c r="B625" s="123"/>
      <c r="C625" s="31"/>
      <c r="D625" s="31"/>
      <c r="E625" s="31"/>
      <c r="F625" s="31"/>
      <c r="G625" s="96"/>
      <c r="H625" s="97"/>
      <c r="I625" s="31"/>
      <c r="J625" s="103" t="s">
        <v>279</v>
      </c>
      <c r="K625" s="104"/>
      <c r="L625" s="104"/>
      <c r="M625" s="104"/>
      <c r="N625" s="104"/>
      <c r="O625" s="104"/>
      <c r="P625" s="104"/>
      <c r="Q625" s="127"/>
      <c r="R625" s="160" t="s">
        <v>472</v>
      </c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27"/>
      <c r="AK625" s="98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99"/>
    </row>
    <row r="626" spans="2:61" ht="20.100000000000001" customHeight="1" x14ac:dyDescent="0.45">
      <c r="B626" s="123"/>
      <c r="C626" s="31"/>
      <c r="D626" s="31"/>
      <c r="E626" s="31"/>
      <c r="F626" s="31"/>
      <c r="G626" s="96"/>
      <c r="H626" s="97"/>
      <c r="I626" s="31"/>
      <c r="J626" s="103" t="s">
        <v>281</v>
      </c>
      <c r="K626" s="104"/>
      <c r="L626" s="104"/>
      <c r="M626" s="104"/>
      <c r="N626" s="104"/>
      <c r="O626" s="104"/>
      <c r="P626" s="104"/>
      <c r="Q626" s="127"/>
      <c r="R626" s="160" t="s">
        <v>473</v>
      </c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27"/>
      <c r="AK626" s="98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99"/>
    </row>
    <row r="627" spans="2:61" ht="20.100000000000001" customHeight="1" x14ac:dyDescent="0.45">
      <c r="B627" s="123"/>
      <c r="C627" s="31"/>
      <c r="D627" s="31"/>
      <c r="E627" s="31"/>
      <c r="F627" s="31"/>
      <c r="G627" s="96"/>
      <c r="H627" s="97"/>
      <c r="I627" s="31"/>
      <c r="J627" s="103" t="s">
        <v>283</v>
      </c>
      <c r="K627" s="104"/>
      <c r="L627" s="104"/>
      <c r="M627" s="104"/>
      <c r="N627" s="104"/>
      <c r="O627" s="104"/>
      <c r="P627" s="104"/>
      <c r="Q627" s="127"/>
      <c r="R627" s="160" t="s">
        <v>474</v>
      </c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27"/>
      <c r="AK627" s="98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99"/>
    </row>
    <row r="628" spans="2:61" ht="20.100000000000001" customHeight="1" x14ac:dyDescent="0.45">
      <c r="B628" s="123"/>
      <c r="C628" s="31"/>
      <c r="D628" s="31"/>
      <c r="E628" s="31"/>
      <c r="F628" s="31"/>
      <c r="G628" s="96"/>
      <c r="H628" s="97"/>
      <c r="I628" s="31"/>
      <c r="J628" s="103" t="s">
        <v>285</v>
      </c>
      <c r="K628" s="104"/>
      <c r="L628" s="104"/>
      <c r="M628" s="104"/>
      <c r="N628" s="104"/>
      <c r="O628" s="104"/>
      <c r="P628" s="104"/>
      <c r="Q628" s="127"/>
      <c r="R628" s="160" t="s">
        <v>475</v>
      </c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27"/>
      <c r="AK628" s="98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99"/>
    </row>
    <row r="629" spans="2:61" ht="20.100000000000001" customHeight="1" x14ac:dyDescent="0.45">
      <c r="B629" s="123"/>
      <c r="C629" s="31"/>
      <c r="D629" s="31"/>
      <c r="E629" s="31"/>
      <c r="F629" s="31"/>
      <c r="G629" s="96"/>
      <c r="H629" s="97"/>
      <c r="I629" s="31"/>
      <c r="J629" s="103" t="s">
        <v>287</v>
      </c>
      <c r="K629" s="104"/>
      <c r="L629" s="104"/>
      <c r="M629" s="104"/>
      <c r="N629" s="104"/>
      <c r="O629" s="104"/>
      <c r="P629" s="104"/>
      <c r="Q629" s="127"/>
      <c r="R629" s="160" t="s">
        <v>476</v>
      </c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27"/>
      <c r="AK629" s="98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99"/>
    </row>
    <row r="630" spans="2:61" ht="20.100000000000001" customHeight="1" x14ac:dyDescent="0.45">
      <c r="B630" s="123"/>
      <c r="C630" s="31"/>
      <c r="D630" s="31"/>
      <c r="E630" s="31"/>
      <c r="F630" s="31"/>
      <c r="G630" s="96"/>
      <c r="H630" s="97"/>
      <c r="I630" s="31"/>
      <c r="J630" s="103" t="s">
        <v>289</v>
      </c>
      <c r="K630" s="104"/>
      <c r="L630" s="104"/>
      <c r="M630" s="104"/>
      <c r="N630" s="104"/>
      <c r="O630" s="104"/>
      <c r="P630" s="104"/>
      <c r="Q630" s="127"/>
      <c r="R630" s="160" t="s">
        <v>477</v>
      </c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27"/>
      <c r="AK630" s="98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99"/>
    </row>
    <row r="631" spans="2:61" ht="20.100000000000001" customHeight="1" x14ac:dyDescent="0.45">
      <c r="B631" s="123"/>
      <c r="C631" s="31"/>
      <c r="D631" s="31"/>
      <c r="E631" s="31"/>
      <c r="F631" s="31"/>
      <c r="G631" s="96"/>
      <c r="H631" s="97"/>
      <c r="I631" s="31"/>
      <c r="J631" s="103" t="s">
        <v>200</v>
      </c>
      <c r="K631" s="104"/>
      <c r="L631" s="104"/>
      <c r="M631" s="104"/>
      <c r="N631" s="104"/>
      <c r="O631" s="104"/>
      <c r="P631" s="104"/>
      <c r="Q631" s="127"/>
      <c r="R631" s="160" t="s">
        <v>478</v>
      </c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27"/>
      <c r="AK631" s="98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99"/>
    </row>
    <row r="632" spans="2:61" ht="20.100000000000001" customHeight="1" x14ac:dyDescent="0.45">
      <c r="B632" s="123"/>
      <c r="C632" s="31"/>
      <c r="D632" s="31"/>
      <c r="E632" s="31"/>
      <c r="F632" s="31"/>
      <c r="G632" s="96"/>
      <c r="H632" s="97"/>
      <c r="I632" s="31"/>
      <c r="J632" s="103" t="s">
        <v>292</v>
      </c>
      <c r="K632" s="104"/>
      <c r="L632" s="104"/>
      <c r="M632" s="104"/>
      <c r="N632" s="104"/>
      <c r="O632" s="104"/>
      <c r="P632" s="104"/>
      <c r="Q632" s="127"/>
      <c r="R632" s="160" t="s">
        <v>479</v>
      </c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27"/>
      <c r="AK632" s="98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99"/>
    </row>
    <row r="633" spans="2:61" ht="20.100000000000001" customHeight="1" x14ac:dyDescent="0.45">
      <c r="B633" s="123"/>
      <c r="C633" s="31"/>
      <c r="D633" s="31"/>
      <c r="E633" s="31"/>
      <c r="F633" s="31"/>
      <c r="G633" s="96"/>
      <c r="H633" s="97"/>
      <c r="I633" s="31"/>
      <c r="J633" s="103" t="s">
        <v>294</v>
      </c>
      <c r="K633" s="104"/>
      <c r="L633" s="104"/>
      <c r="M633" s="104"/>
      <c r="N633" s="104"/>
      <c r="O633" s="104"/>
      <c r="P633" s="104"/>
      <c r="Q633" s="127"/>
      <c r="R633" s="160" t="s">
        <v>480</v>
      </c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27"/>
      <c r="AK633" s="98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99"/>
    </row>
    <row r="634" spans="2:61" ht="20.100000000000001" customHeight="1" x14ac:dyDescent="0.45">
      <c r="B634" s="123"/>
      <c r="C634" s="31"/>
      <c r="D634" s="31"/>
      <c r="E634" s="31"/>
      <c r="F634" s="31"/>
      <c r="G634" s="96"/>
      <c r="H634" s="97"/>
      <c r="I634" s="31"/>
      <c r="J634" s="103" t="s">
        <v>296</v>
      </c>
      <c r="K634" s="104"/>
      <c r="L634" s="104"/>
      <c r="M634" s="104"/>
      <c r="N634" s="104"/>
      <c r="O634" s="104"/>
      <c r="P634" s="104"/>
      <c r="Q634" s="127"/>
      <c r="R634" s="160" t="s">
        <v>481</v>
      </c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27"/>
      <c r="AK634" s="98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99"/>
    </row>
    <row r="635" spans="2:61" ht="20.100000000000001" customHeight="1" x14ac:dyDescent="0.45">
      <c r="B635" s="123"/>
      <c r="C635" s="31"/>
      <c r="D635" s="31"/>
      <c r="E635" s="31"/>
      <c r="F635" s="31"/>
      <c r="G635" s="96"/>
      <c r="H635" s="97"/>
      <c r="I635" s="31"/>
      <c r="J635" s="103" t="s">
        <v>298</v>
      </c>
      <c r="K635" s="104"/>
      <c r="L635" s="104"/>
      <c r="M635" s="104"/>
      <c r="N635" s="104"/>
      <c r="O635" s="104"/>
      <c r="P635" s="104"/>
      <c r="Q635" s="127"/>
      <c r="R635" s="160" t="s">
        <v>482</v>
      </c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27"/>
      <c r="AK635" s="98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99"/>
    </row>
    <row r="636" spans="2:61" ht="20.100000000000001" customHeight="1" x14ac:dyDescent="0.45">
      <c r="B636" s="123"/>
      <c r="C636" s="31"/>
      <c r="D636" s="31"/>
      <c r="E636" s="31"/>
      <c r="F636" s="31"/>
      <c r="G636" s="96"/>
      <c r="H636" s="97"/>
      <c r="I636" s="31"/>
      <c r="J636" s="103" t="s">
        <v>300</v>
      </c>
      <c r="K636" s="104"/>
      <c r="L636" s="104"/>
      <c r="M636" s="104"/>
      <c r="N636" s="104"/>
      <c r="O636" s="104"/>
      <c r="P636" s="104"/>
      <c r="Q636" s="127"/>
      <c r="R636" s="160" t="s">
        <v>483</v>
      </c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27"/>
      <c r="AK636" s="98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99"/>
    </row>
    <row r="637" spans="2:61" ht="20.100000000000001" customHeight="1" x14ac:dyDescent="0.45">
      <c r="B637" s="123"/>
      <c r="C637" s="31"/>
      <c r="D637" s="31"/>
      <c r="E637" s="31"/>
      <c r="F637" s="31"/>
      <c r="G637" s="96"/>
      <c r="H637" s="97"/>
      <c r="I637" s="31"/>
      <c r="J637" s="103" t="s">
        <v>302</v>
      </c>
      <c r="K637" s="104"/>
      <c r="L637" s="104"/>
      <c r="M637" s="104"/>
      <c r="N637" s="104"/>
      <c r="O637" s="104"/>
      <c r="P637" s="104"/>
      <c r="Q637" s="127"/>
      <c r="R637" s="160" t="s">
        <v>484</v>
      </c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27"/>
      <c r="AK637" s="98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99"/>
    </row>
    <row r="638" spans="2:61" ht="20.100000000000001" customHeight="1" x14ac:dyDescent="0.45">
      <c r="B638" s="123"/>
      <c r="C638" s="31"/>
      <c r="D638" s="31"/>
      <c r="E638" s="31"/>
      <c r="F638" s="31"/>
      <c r="G638" s="96"/>
      <c r="H638" s="97"/>
      <c r="I638" s="31"/>
      <c r="J638" s="103" t="s">
        <v>304</v>
      </c>
      <c r="K638" s="104"/>
      <c r="L638" s="104"/>
      <c r="M638" s="104"/>
      <c r="N638" s="104"/>
      <c r="O638" s="104"/>
      <c r="P638" s="104"/>
      <c r="Q638" s="127"/>
      <c r="R638" s="160" t="s">
        <v>485</v>
      </c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27"/>
      <c r="AK638" s="98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99"/>
    </row>
    <row r="639" spans="2:61" ht="20.100000000000001" customHeight="1" x14ac:dyDescent="0.45">
      <c r="B639" s="123"/>
      <c r="C639" s="31"/>
      <c r="D639" s="31"/>
      <c r="E639" s="31"/>
      <c r="F639" s="31"/>
      <c r="G639" s="96"/>
      <c r="H639" s="97"/>
      <c r="I639" s="31"/>
      <c r="J639" s="103" t="s">
        <v>306</v>
      </c>
      <c r="K639" s="104"/>
      <c r="L639" s="104"/>
      <c r="M639" s="104"/>
      <c r="N639" s="104"/>
      <c r="O639" s="104"/>
      <c r="P639" s="104"/>
      <c r="Q639" s="127"/>
      <c r="R639" s="160" t="s">
        <v>486</v>
      </c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27"/>
      <c r="AK639" s="98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99"/>
    </row>
    <row r="640" spans="2:61" ht="20.100000000000001" customHeight="1" x14ac:dyDescent="0.45">
      <c r="B640" s="123"/>
      <c r="C640" s="31"/>
      <c r="D640" s="31"/>
      <c r="E640" s="31"/>
      <c r="F640" s="31"/>
      <c r="G640" s="96"/>
      <c r="H640" s="97"/>
      <c r="I640" s="31"/>
      <c r="J640" s="103" t="s">
        <v>308</v>
      </c>
      <c r="K640" s="104"/>
      <c r="L640" s="104"/>
      <c r="M640" s="104"/>
      <c r="N640" s="104"/>
      <c r="O640" s="104"/>
      <c r="P640" s="104"/>
      <c r="Q640" s="127"/>
      <c r="R640" s="160" t="s">
        <v>487</v>
      </c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27"/>
      <c r="AK640" s="98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99"/>
    </row>
    <row r="641" spans="2:61" ht="20.100000000000001" customHeight="1" thickBot="1" x14ac:dyDescent="0.5">
      <c r="B641" s="123"/>
      <c r="C641" s="31"/>
      <c r="D641" s="31"/>
      <c r="E641" s="31"/>
      <c r="F641" s="31"/>
      <c r="G641" s="96"/>
      <c r="H641" s="100" t="s">
        <v>52</v>
      </c>
      <c r="I641" s="55"/>
      <c r="J641" s="100" t="s">
        <v>582</v>
      </c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101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102"/>
    </row>
    <row r="642" spans="2:61" ht="20.100000000000001" customHeight="1" x14ac:dyDescent="0.45">
      <c r="B642" s="89" t="s">
        <v>583</v>
      </c>
      <c r="C642" s="90"/>
      <c r="D642" s="90"/>
      <c r="E642" s="90"/>
      <c r="F642" s="90"/>
      <c r="G642" s="91"/>
      <c r="H642" s="92" t="s">
        <v>83</v>
      </c>
      <c r="I642" s="90"/>
      <c r="J642" s="120" t="s">
        <v>186</v>
      </c>
      <c r="K642" s="121"/>
      <c r="L642" s="121"/>
      <c r="M642" s="121"/>
      <c r="N642" s="121"/>
      <c r="O642" s="121"/>
      <c r="P642" s="121"/>
      <c r="Q642" s="122"/>
      <c r="R642" s="120" t="s">
        <v>187</v>
      </c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2"/>
      <c r="AK642" s="93" t="s">
        <v>584</v>
      </c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4"/>
    </row>
    <row r="643" spans="2:61" ht="20.100000000000001" customHeight="1" x14ac:dyDescent="0.45">
      <c r="B643" s="123"/>
      <c r="C643" s="31"/>
      <c r="D643" s="31"/>
      <c r="E643" s="31"/>
      <c r="F643" s="31"/>
      <c r="G643" s="96"/>
      <c r="H643" s="97"/>
      <c r="I643" s="31"/>
      <c r="J643" s="103" t="s">
        <v>585</v>
      </c>
      <c r="K643" s="104"/>
      <c r="L643" s="104"/>
      <c r="M643" s="104"/>
      <c r="N643" s="104"/>
      <c r="O643" s="104"/>
      <c r="P643" s="104"/>
      <c r="Q643" s="127"/>
      <c r="R643" s="103" t="s">
        <v>586</v>
      </c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27"/>
      <c r="AK643" s="98" t="s">
        <v>587</v>
      </c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99"/>
    </row>
    <row r="644" spans="2:61" ht="20.100000000000001" customHeight="1" x14ac:dyDescent="0.45">
      <c r="B644" s="123"/>
      <c r="C644" s="31"/>
      <c r="D644" s="31"/>
      <c r="E644" s="31"/>
      <c r="F644" s="31"/>
      <c r="G644" s="96"/>
      <c r="H644" s="97"/>
      <c r="I644" s="31"/>
      <c r="J644" s="103" t="s">
        <v>588</v>
      </c>
      <c r="K644" s="104"/>
      <c r="L644" s="104"/>
      <c r="M644" s="104"/>
      <c r="N644" s="104"/>
      <c r="O644" s="104"/>
      <c r="P644" s="104"/>
      <c r="Q644" s="127"/>
      <c r="R644" s="103" t="s">
        <v>589</v>
      </c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27"/>
      <c r="AK644" s="98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99"/>
    </row>
    <row r="645" spans="2:61" ht="20.100000000000001" customHeight="1" x14ac:dyDescent="0.45">
      <c r="B645" s="123"/>
      <c r="C645" s="31"/>
      <c r="D645" s="31"/>
      <c r="E645" s="31"/>
      <c r="F645" s="31"/>
      <c r="G645" s="96"/>
      <c r="H645" s="97"/>
      <c r="I645" s="31"/>
      <c r="J645" s="103" t="s">
        <v>590</v>
      </c>
      <c r="K645" s="104"/>
      <c r="L645" s="104"/>
      <c r="M645" s="104"/>
      <c r="N645" s="104"/>
      <c r="O645" s="104"/>
      <c r="P645" s="104"/>
      <c r="Q645" s="127"/>
      <c r="R645" s="103" t="s">
        <v>591</v>
      </c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27"/>
      <c r="AK645" s="98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99"/>
    </row>
    <row r="646" spans="2:61" ht="20.100000000000001" customHeight="1" x14ac:dyDescent="0.45">
      <c r="B646" s="123"/>
      <c r="C646" s="31"/>
      <c r="D646" s="31"/>
      <c r="E646" s="31"/>
      <c r="F646" s="31"/>
      <c r="G646" s="96"/>
      <c r="H646" s="97"/>
      <c r="I646" s="31"/>
      <c r="J646" s="103" t="s">
        <v>592</v>
      </c>
      <c r="K646" s="104"/>
      <c r="L646" s="104"/>
      <c r="M646" s="104"/>
      <c r="N646" s="104"/>
      <c r="O646" s="104"/>
      <c r="P646" s="104"/>
      <c r="Q646" s="127"/>
      <c r="R646" s="103" t="s">
        <v>593</v>
      </c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27"/>
      <c r="AK646" s="98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99"/>
    </row>
    <row r="647" spans="2:61" ht="20.100000000000001" customHeight="1" x14ac:dyDescent="0.45">
      <c r="B647" s="123"/>
      <c r="C647" s="31"/>
      <c r="D647" s="31"/>
      <c r="E647" s="31"/>
      <c r="F647" s="31"/>
      <c r="G647" s="96"/>
      <c r="H647" s="97"/>
      <c r="I647" s="31"/>
      <c r="J647" s="103" t="s">
        <v>594</v>
      </c>
      <c r="K647" s="104"/>
      <c r="L647" s="104"/>
      <c r="M647" s="104"/>
      <c r="N647" s="104"/>
      <c r="O647" s="104"/>
      <c r="P647" s="104"/>
      <c r="Q647" s="127"/>
      <c r="R647" s="103" t="s">
        <v>595</v>
      </c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27"/>
      <c r="AK647" s="98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99"/>
    </row>
    <row r="648" spans="2:61" ht="20.100000000000001" customHeight="1" x14ac:dyDescent="0.45">
      <c r="B648" s="123"/>
      <c r="C648" s="31"/>
      <c r="D648" s="31"/>
      <c r="E648" s="31"/>
      <c r="F648" s="31"/>
      <c r="G648" s="96"/>
      <c r="H648" s="97"/>
      <c r="I648" s="31"/>
      <c r="J648" s="103" t="s">
        <v>596</v>
      </c>
      <c r="K648" s="104"/>
      <c r="L648" s="104"/>
      <c r="M648" s="104"/>
      <c r="N648" s="104"/>
      <c r="O648" s="104"/>
      <c r="P648" s="104"/>
      <c r="Q648" s="127"/>
      <c r="R648" s="103" t="s">
        <v>597</v>
      </c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27"/>
      <c r="AK648" s="98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99"/>
    </row>
    <row r="649" spans="2:61" ht="20.100000000000001" customHeight="1" x14ac:dyDescent="0.45">
      <c r="B649" s="123"/>
      <c r="C649" s="31"/>
      <c r="D649" s="31"/>
      <c r="E649" s="31"/>
      <c r="F649" s="31"/>
      <c r="G649" s="96"/>
      <c r="H649" s="97"/>
      <c r="I649" s="31"/>
      <c r="J649" s="103" t="s">
        <v>598</v>
      </c>
      <c r="K649" s="104"/>
      <c r="L649" s="104"/>
      <c r="M649" s="104"/>
      <c r="N649" s="104"/>
      <c r="O649" s="104"/>
      <c r="P649" s="104"/>
      <c r="Q649" s="127"/>
      <c r="R649" s="103" t="s">
        <v>599</v>
      </c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27"/>
      <c r="AK649" s="98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99"/>
    </row>
    <row r="650" spans="2:61" ht="20.100000000000001" customHeight="1" x14ac:dyDescent="0.45">
      <c r="B650" s="123"/>
      <c r="C650" s="31"/>
      <c r="D650" s="31"/>
      <c r="E650" s="31"/>
      <c r="F650" s="31"/>
      <c r="G650" s="96"/>
      <c r="H650" s="97"/>
      <c r="I650" s="31"/>
      <c r="J650" s="103" t="s">
        <v>600</v>
      </c>
      <c r="K650" s="104"/>
      <c r="L650" s="104"/>
      <c r="M650" s="104"/>
      <c r="N650" s="104"/>
      <c r="O650" s="104"/>
      <c r="P650" s="104"/>
      <c r="Q650" s="127"/>
      <c r="R650" s="103" t="s">
        <v>601</v>
      </c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27"/>
      <c r="AK650" s="98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99"/>
    </row>
    <row r="651" spans="2:61" ht="20.100000000000001" customHeight="1" x14ac:dyDescent="0.45">
      <c r="B651" s="123"/>
      <c r="C651" s="31"/>
      <c r="D651" s="31"/>
      <c r="E651" s="31"/>
      <c r="F651" s="31"/>
      <c r="G651" s="96"/>
      <c r="H651" s="97"/>
      <c r="I651" s="31"/>
      <c r="J651" s="103" t="s">
        <v>602</v>
      </c>
      <c r="K651" s="104"/>
      <c r="L651" s="104"/>
      <c r="M651" s="104"/>
      <c r="N651" s="104"/>
      <c r="O651" s="104"/>
      <c r="P651" s="104"/>
      <c r="Q651" s="127"/>
      <c r="R651" s="103" t="s">
        <v>603</v>
      </c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27"/>
      <c r="AK651" s="98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99"/>
    </row>
    <row r="652" spans="2:61" ht="20.100000000000001" customHeight="1" x14ac:dyDescent="0.45">
      <c r="B652" s="123"/>
      <c r="C652" s="31"/>
      <c r="D652" s="31"/>
      <c r="E652" s="31"/>
      <c r="F652" s="31"/>
      <c r="G652" s="96"/>
      <c r="H652" s="97"/>
      <c r="I652" s="31"/>
      <c r="J652" s="103" t="s">
        <v>604</v>
      </c>
      <c r="K652" s="104"/>
      <c r="L652" s="104"/>
      <c r="M652" s="104"/>
      <c r="N652" s="104"/>
      <c r="O652" s="104"/>
      <c r="P652" s="104"/>
      <c r="Q652" s="127"/>
      <c r="R652" s="103" t="s">
        <v>605</v>
      </c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27"/>
      <c r="AK652" s="98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99"/>
    </row>
    <row r="653" spans="2:61" ht="20.100000000000001" customHeight="1" x14ac:dyDescent="0.45">
      <c r="B653" s="123"/>
      <c r="C653" s="31"/>
      <c r="D653" s="31"/>
      <c r="E653" s="31"/>
      <c r="F653" s="31"/>
      <c r="G653" s="96"/>
      <c r="H653" s="97"/>
      <c r="I653" s="31"/>
      <c r="J653" s="103" t="s">
        <v>606</v>
      </c>
      <c r="K653" s="104"/>
      <c r="L653" s="104"/>
      <c r="M653" s="104"/>
      <c r="N653" s="104"/>
      <c r="O653" s="104"/>
      <c r="P653" s="104"/>
      <c r="Q653" s="127"/>
      <c r="R653" s="103" t="s">
        <v>607</v>
      </c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27"/>
      <c r="AK653" s="98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99"/>
    </row>
    <row r="654" spans="2:61" ht="20.100000000000001" customHeight="1" x14ac:dyDescent="0.45">
      <c r="B654" s="123"/>
      <c r="C654" s="31"/>
      <c r="D654" s="31"/>
      <c r="E654" s="31"/>
      <c r="F654" s="31"/>
      <c r="G654" s="96"/>
      <c r="H654" s="97"/>
      <c r="I654" s="31"/>
      <c r="J654" s="103" t="s">
        <v>608</v>
      </c>
      <c r="K654" s="104"/>
      <c r="L654" s="104"/>
      <c r="M654" s="104"/>
      <c r="N654" s="104"/>
      <c r="O654" s="104"/>
      <c r="P654" s="104"/>
      <c r="Q654" s="127"/>
      <c r="R654" s="103" t="s">
        <v>609</v>
      </c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27"/>
      <c r="AK654" s="98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99"/>
    </row>
    <row r="655" spans="2:61" ht="20.100000000000001" customHeight="1" x14ac:dyDescent="0.45">
      <c r="B655" s="123"/>
      <c r="C655" s="31"/>
      <c r="D655" s="31"/>
      <c r="E655" s="31"/>
      <c r="F655" s="31"/>
      <c r="G655" s="96"/>
      <c r="H655" s="97"/>
      <c r="I655" s="31"/>
      <c r="J655" s="103" t="s">
        <v>610</v>
      </c>
      <c r="K655" s="104"/>
      <c r="L655" s="104"/>
      <c r="M655" s="104"/>
      <c r="N655" s="104"/>
      <c r="O655" s="104"/>
      <c r="P655" s="104"/>
      <c r="Q655" s="127"/>
      <c r="R655" s="103" t="s">
        <v>611</v>
      </c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27"/>
      <c r="AK655" s="98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99"/>
    </row>
    <row r="656" spans="2:61" ht="20.100000000000001" customHeight="1" x14ac:dyDescent="0.45">
      <c r="B656" s="123"/>
      <c r="C656" s="31"/>
      <c r="D656" s="31"/>
      <c r="E656" s="31"/>
      <c r="F656" s="31"/>
      <c r="G656" s="96"/>
      <c r="H656" s="97"/>
      <c r="I656" s="31"/>
      <c r="J656" s="103" t="s">
        <v>612</v>
      </c>
      <c r="K656" s="104"/>
      <c r="L656" s="104"/>
      <c r="M656" s="104"/>
      <c r="N656" s="104"/>
      <c r="O656" s="104"/>
      <c r="P656" s="104"/>
      <c r="Q656" s="127"/>
      <c r="R656" s="103" t="s">
        <v>613</v>
      </c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27"/>
      <c r="AK656" s="98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99"/>
    </row>
    <row r="657" spans="2:61" ht="20.100000000000001" customHeight="1" x14ac:dyDescent="0.45">
      <c r="B657" s="123"/>
      <c r="C657" s="31"/>
      <c r="D657" s="31"/>
      <c r="E657" s="31"/>
      <c r="F657" s="31"/>
      <c r="G657" s="96"/>
      <c r="H657" s="97"/>
      <c r="I657" s="31"/>
      <c r="J657" s="103" t="s">
        <v>614</v>
      </c>
      <c r="K657" s="104"/>
      <c r="L657" s="104"/>
      <c r="M657" s="104"/>
      <c r="N657" s="104"/>
      <c r="O657" s="104"/>
      <c r="P657" s="104"/>
      <c r="Q657" s="127"/>
      <c r="R657" s="103" t="s">
        <v>615</v>
      </c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27"/>
      <c r="AK657" s="98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99"/>
    </row>
    <row r="658" spans="2:61" ht="20.100000000000001" customHeight="1" x14ac:dyDescent="0.45">
      <c r="B658" s="123"/>
      <c r="C658" s="31"/>
      <c r="D658" s="31"/>
      <c r="E658" s="31"/>
      <c r="F658" s="31"/>
      <c r="G658" s="96"/>
      <c r="H658" s="97"/>
      <c r="I658" s="31"/>
      <c r="J658" s="103" t="s">
        <v>616</v>
      </c>
      <c r="K658" s="104"/>
      <c r="L658" s="104"/>
      <c r="M658" s="104"/>
      <c r="N658" s="104"/>
      <c r="O658" s="104"/>
      <c r="P658" s="104"/>
      <c r="Q658" s="127"/>
      <c r="R658" s="103" t="s">
        <v>617</v>
      </c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27"/>
      <c r="AK658" s="98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99"/>
    </row>
    <row r="659" spans="2:61" ht="20.100000000000001" customHeight="1" x14ac:dyDescent="0.45">
      <c r="B659" s="123"/>
      <c r="C659" s="31"/>
      <c r="D659" s="31"/>
      <c r="E659" s="31"/>
      <c r="F659" s="31"/>
      <c r="G659" s="96"/>
      <c r="H659" s="97"/>
      <c r="I659" s="31"/>
      <c r="J659" s="103" t="s">
        <v>618</v>
      </c>
      <c r="K659" s="104"/>
      <c r="L659" s="104"/>
      <c r="M659" s="104"/>
      <c r="N659" s="104"/>
      <c r="O659" s="104"/>
      <c r="P659" s="104"/>
      <c r="Q659" s="127"/>
      <c r="R659" s="103" t="s">
        <v>619</v>
      </c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27"/>
      <c r="AK659" s="98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99"/>
    </row>
    <row r="660" spans="2:61" ht="20.100000000000001" customHeight="1" x14ac:dyDescent="0.45">
      <c r="B660" s="123"/>
      <c r="C660" s="31"/>
      <c r="D660" s="31"/>
      <c r="E660" s="31"/>
      <c r="F660" s="31"/>
      <c r="G660" s="96"/>
      <c r="H660" s="97"/>
      <c r="I660" s="31"/>
      <c r="J660" s="103" t="s">
        <v>620</v>
      </c>
      <c r="K660" s="104"/>
      <c r="L660" s="104"/>
      <c r="M660" s="104"/>
      <c r="N660" s="104"/>
      <c r="O660" s="104"/>
      <c r="P660" s="104"/>
      <c r="Q660" s="127"/>
      <c r="R660" s="103" t="s">
        <v>621</v>
      </c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27"/>
      <c r="AK660" s="98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99"/>
    </row>
    <row r="661" spans="2:61" ht="20.100000000000001" customHeight="1" x14ac:dyDescent="0.45">
      <c r="B661" s="123"/>
      <c r="C661" s="31"/>
      <c r="D661" s="31"/>
      <c r="E661" s="31"/>
      <c r="F661" s="31"/>
      <c r="G661" s="96"/>
      <c r="H661" s="97"/>
      <c r="I661" s="31"/>
      <c r="J661" s="103" t="s">
        <v>622</v>
      </c>
      <c r="K661" s="104"/>
      <c r="L661" s="104"/>
      <c r="M661" s="104"/>
      <c r="N661" s="104"/>
      <c r="O661" s="104"/>
      <c r="P661" s="104"/>
      <c r="Q661" s="127"/>
      <c r="R661" s="103" t="s">
        <v>623</v>
      </c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27"/>
      <c r="AK661" s="98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99"/>
    </row>
    <row r="662" spans="2:61" ht="20.100000000000001" customHeight="1" x14ac:dyDescent="0.45">
      <c r="B662" s="123"/>
      <c r="C662" s="31"/>
      <c r="D662" s="31"/>
      <c r="E662" s="31"/>
      <c r="F662" s="31"/>
      <c r="G662" s="96"/>
      <c r="H662" s="97"/>
      <c r="I662" s="31"/>
      <c r="J662" s="103" t="s">
        <v>624</v>
      </c>
      <c r="K662" s="104"/>
      <c r="L662" s="104"/>
      <c r="M662" s="104"/>
      <c r="N662" s="104"/>
      <c r="O662" s="104"/>
      <c r="P662" s="104"/>
      <c r="Q662" s="127"/>
      <c r="R662" s="103" t="s">
        <v>625</v>
      </c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27"/>
      <c r="AK662" s="98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99"/>
    </row>
    <row r="663" spans="2:61" ht="20.100000000000001" customHeight="1" x14ac:dyDescent="0.45">
      <c r="B663" s="123"/>
      <c r="C663" s="31"/>
      <c r="D663" s="31"/>
      <c r="E663" s="31"/>
      <c r="F663" s="31"/>
      <c r="G663" s="96"/>
      <c r="H663" s="97"/>
      <c r="I663" s="31"/>
      <c r="J663" s="103" t="s">
        <v>626</v>
      </c>
      <c r="K663" s="104"/>
      <c r="L663" s="104"/>
      <c r="M663" s="104"/>
      <c r="N663" s="104"/>
      <c r="O663" s="104"/>
      <c r="P663" s="104"/>
      <c r="Q663" s="127"/>
      <c r="R663" s="103" t="s">
        <v>627</v>
      </c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27"/>
      <c r="AK663" s="98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99"/>
    </row>
    <row r="664" spans="2:61" ht="20.100000000000001" customHeight="1" x14ac:dyDescent="0.45">
      <c r="B664" s="123"/>
      <c r="C664" s="31"/>
      <c r="D664" s="31"/>
      <c r="E664" s="31"/>
      <c r="F664" s="31"/>
      <c r="G664" s="96"/>
      <c r="H664" s="97"/>
      <c r="I664" s="31"/>
      <c r="J664" s="103" t="s">
        <v>628</v>
      </c>
      <c r="K664" s="104"/>
      <c r="L664" s="104"/>
      <c r="M664" s="104"/>
      <c r="N664" s="104"/>
      <c r="O664" s="104"/>
      <c r="P664" s="104"/>
      <c r="Q664" s="127"/>
      <c r="R664" s="103" t="s">
        <v>629</v>
      </c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27"/>
      <c r="AK664" s="98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99"/>
    </row>
    <row r="665" spans="2:61" ht="20.100000000000001" customHeight="1" x14ac:dyDescent="0.45">
      <c r="B665" s="123"/>
      <c r="C665" s="31"/>
      <c r="D665" s="31"/>
      <c r="E665" s="31"/>
      <c r="F665" s="31"/>
      <c r="G665" s="96"/>
      <c r="H665" s="97"/>
      <c r="I665" s="31"/>
      <c r="J665" s="103" t="s">
        <v>630</v>
      </c>
      <c r="K665" s="104"/>
      <c r="L665" s="104"/>
      <c r="M665" s="104"/>
      <c r="N665" s="104"/>
      <c r="O665" s="104"/>
      <c r="P665" s="104"/>
      <c r="Q665" s="127"/>
      <c r="R665" s="103" t="s">
        <v>631</v>
      </c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27"/>
      <c r="AK665" s="98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99"/>
    </row>
    <row r="666" spans="2:61" ht="20.100000000000001" customHeight="1" x14ac:dyDescent="0.45">
      <c r="B666" s="123"/>
      <c r="C666" s="31"/>
      <c r="D666" s="31"/>
      <c r="E666" s="31"/>
      <c r="F666" s="31"/>
      <c r="G666" s="96"/>
      <c r="H666" s="97"/>
      <c r="I666" s="31"/>
      <c r="J666" s="103" t="s">
        <v>632</v>
      </c>
      <c r="K666" s="104"/>
      <c r="L666" s="104"/>
      <c r="M666" s="104"/>
      <c r="N666" s="104"/>
      <c r="O666" s="104"/>
      <c r="P666" s="104"/>
      <c r="Q666" s="127"/>
      <c r="R666" s="103" t="s">
        <v>633</v>
      </c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27"/>
      <c r="AK666" s="98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99"/>
    </row>
    <row r="667" spans="2:61" ht="20.100000000000001" customHeight="1" x14ac:dyDescent="0.45">
      <c r="B667" s="123"/>
      <c r="C667" s="31"/>
      <c r="D667" s="31"/>
      <c r="E667" s="31"/>
      <c r="F667" s="31"/>
      <c r="G667" s="96"/>
      <c r="H667" s="97"/>
      <c r="I667" s="31"/>
      <c r="J667" s="103" t="s">
        <v>634</v>
      </c>
      <c r="K667" s="104"/>
      <c r="L667" s="104"/>
      <c r="M667" s="104"/>
      <c r="N667" s="104"/>
      <c r="O667" s="104"/>
      <c r="P667" s="104"/>
      <c r="Q667" s="127"/>
      <c r="R667" s="103" t="s">
        <v>635</v>
      </c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27"/>
      <c r="AK667" s="98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99"/>
    </row>
    <row r="668" spans="2:61" ht="20.100000000000001" customHeight="1" x14ac:dyDescent="0.45">
      <c r="B668" s="123"/>
      <c r="C668" s="31"/>
      <c r="D668" s="31"/>
      <c r="E668" s="31"/>
      <c r="F668" s="31"/>
      <c r="G668" s="96"/>
      <c r="H668" s="97"/>
      <c r="I668" s="31"/>
      <c r="J668" s="103" t="s">
        <v>636</v>
      </c>
      <c r="K668" s="104"/>
      <c r="L668" s="104"/>
      <c r="M668" s="104"/>
      <c r="N668" s="104"/>
      <c r="O668" s="104"/>
      <c r="P668" s="104"/>
      <c r="Q668" s="127"/>
      <c r="R668" s="103" t="s">
        <v>637</v>
      </c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27"/>
      <c r="AK668" s="98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99"/>
    </row>
    <row r="669" spans="2:61" ht="20.100000000000001" customHeight="1" x14ac:dyDescent="0.45">
      <c r="B669" s="123"/>
      <c r="C669" s="31"/>
      <c r="D669" s="31"/>
      <c r="E669" s="31"/>
      <c r="F669" s="31"/>
      <c r="G669" s="96"/>
      <c r="H669" s="97"/>
      <c r="I669" s="31"/>
      <c r="J669" s="103" t="s">
        <v>638</v>
      </c>
      <c r="K669" s="104"/>
      <c r="L669" s="104"/>
      <c r="M669" s="104"/>
      <c r="N669" s="104"/>
      <c r="O669" s="104"/>
      <c r="P669" s="104"/>
      <c r="Q669" s="127"/>
      <c r="R669" s="103" t="s">
        <v>639</v>
      </c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27"/>
      <c r="AK669" s="98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99"/>
    </row>
    <row r="670" spans="2:61" ht="20.100000000000001" customHeight="1" x14ac:dyDescent="0.45">
      <c r="B670" s="123"/>
      <c r="C670" s="31"/>
      <c r="D670" s="31"/>
      <c r="E670" s="31"/>
      <c r="F670" s="31"/>
      <c r="G670" s="96"/>
      <c r="H670" s="97"/>
      <c r="I670" s="31"/>
      <c r="J670" s="103" t="s">
        <v>640</v>
      </c>
      <c r="K670" s="104"/>
      <c r="L670" s="104"/>
      <c r="M670" s="104"/>
      <c r="N670" s="104"/>
      <c r="O670" s="104"/>
      <c r="P670" s="104"/>
      <c r="Q670" s="127"/>
      <c r="R670" s="103" t="s">
        <v>641</v>
      </c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27"/>
      <c r="AK670" s="98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99"/>
    </row>
    <row r="671" spans="2:61" ht="20.100000000000001" customHeight="1" x14ac:dyDescent="0.45">
      <c r="B671" s="123"/>
      <c r="C671" s="31"/>
      <c r="D671" s="31"/>
      <c r="E671" s="31"/>
      <c r="F671" s="31"/>
      <c r="G671" s="96"/>
      <c r="H671" s="97"/>
      <c r="I671" s="31"/>
      <c r="J671" s="103" t="s">
        <v>642</v>
      </c>
      <c r="K671" s="104"/>
      <c r="L671" s="104"/>
      <c r="M671" s="104"/>
      <c r="N671" s="104"/>
      <c r="O671" s="104"/>
      <c r="P671" s="104"/>
      <c r="Q671" s="127"/>
      <c r="R671" s="103" t="s">
        <v>643</v>
      </c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27"/>
      <c r="AK671" s="98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99"/>
    </row>
    <row r="672" spans="2:61" ht="20.100000000000001" customHeight="1" x14ac:dyDescent="0.45">
      <c r="B672" s="123"/>
      <c r="C672" s="31"/>
      <c r="D672" s="31"/>
      <c r="E672" s="31"/>
      <c r="F672" s="31"/>
      <c r="G672" s="96"/>
      <c r="H672" s="97"/>
      <c r="I672" s="31"/>
      <c r="J672" s="103" t="s">
        <v>644</v>
      </c>
      <c r="K672" s="104"/>
      <c r="L672" s="104"/>
      <c r="M672" s="104"/>
      <c r="N672" s="104"/>
      <c r="O672" s="104"/>
      <c r="P672" s="104"/>
      <c r="Q672" s="127"/>
      <c r="R672" s="103" t="s">
        <v>645</v>
      </c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27"/>
      <c r="AK672" s="98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99"/>
    </row>
    <row r="673" spans="2:61" ht="20.100000000000001" customHeight="1" x14ac:dyDescent="0.45">
      <c r="B673" s="123"/>
      <c r="C673" s="31"/>
      <c r="D673" s="31"/>
      <c r="E673" s="31"/>
      <c r="F673" s="31"/>
      <c r="G673" s="96"/>
      <c r="H673" s="97"/>
      <c r="I673" s="31"/>
      <c r="J673" s="103" t="s">
        <v>646</v>
      </c>
      <c r="K673" s="104"/>
      <c r="L673" s="104"/>
      <c r="M673" s="104"/>
      <c r="N673" s="104"/>
      <c r="O673" s="104"/>
      <c r="P673" s="104"/>
      <c r="Q673" s="127"/>
      <c r="R673" s="103" t="s">
        <v>647</v>
      </c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27"/>
      <c r="AK673" s="98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99"/>
    </row>
    <row r="674" spans="2:61" ht="20.100000000000001" customHeight="1" x14ac:dyDescent="0.45">
      <c r="B674" s="123"/>
      <c r="C674" s="31"/>
      <c r="D674" s="31"/>
      <c r="E674" s="31"/>
      <c r="F674" s="31"/>
      <c r="G674" s="96"/>
      <c r="H674" s="97"/>
      <c r="I674" s="31"/>
      <c r="J674" s="103" t="s">
        <v>648</v>
      </c>
      <c r="K674" s="104"/>
      <c r="L674" s="104"/>
      <c r="M674" s="104"/>
      <c r="N674" s="104"/>
      <c r="O674" s="104"/>
      <c r="P674" s="104"/>
      <c r="Q674" s="127"/>
      <c r="R674" s="103" t="s">
        <v>649</v>
      </c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27"/>
      <c r="AK674" s="98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99"/>
    </row>
    <row r="675" spans="2:61" ht="20.100000000000001" customHeight="1" x14ac:dyDescent="0.45">
      <c r="B675" s="123"/>
      <c r="C675" s="31"/>
      <c r="D675" s="31"/>
      <c r="E675" s="31"/>
      <c r="F675" s="31"/>
      <c r="G675" s="96"/>
      <c r="H675" s="97"/>
      <c r="I675" s="31"/>
      <c r="J675" s="103" t="s">
        <v>650</v>
      </c>
      <c r="K675" s="104"/>
      <c r="L675" s="104"/>
      <c r="M675" s="104"/>
      <c r="N675" s="104"/>
      <c r="O675" s="104"/>
      <c r="P675" s="104"/>
      <c r="Q675" s="127"/>
      <c r="R675" s="103" t="s">
        <v>651</v>
      </c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27"/>
      <c r="AK675" s="98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99"/>
    </row>
    <row r="676" spans="2:61" ht="20.100000000000001" customHeight="1" x14ac:dyDescent="0.45">
      <c r="B676" s="123"/>
      <c r="C676" s="31"/>
      <c r="D676" s="31"/>
      <c r="E676" s="31"/>
      <c r="F676" s="31"/>
      <c r="G676" s="96"/>
      <c r="H676" s="97"/>
      <c r="I676" s="31"/>
      <c r="J676" s="103" t="s">
        <v>652</v>
      </c>
      <c r="K676" s="104"/>
      <c r="L676" s="104"/>
      <c r="M676" s="104"/>
      <c r="N676" s="104"/>
      <c r="O676" s="104"/>
      <c r="P676" s="104"/>
      <c r="Q676" s="127"/>
      <c r="R676" s="103" t="s">
        <v>653</v>
      </c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27"/>
      <c r="AK676" s="98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99"/>
    </row>
    <row r="677" spans="2:61" ht="20.100000000000001" customHeight="1" x14ac:dyDescent="0.45">
      <c r="B677" s="123"/>
      <c r="C677" s="31"/>
      <c r="D677" s="31"/>
      <c r="E677" s="31"/>
      <c r="F677" s="31"/>
      <c r="G677" s="96"/>
      <c r="H677" s="97"/>
      <c r="I677" s="31"/>
      <c r="J677" s="103" t="s">
        <v>654</v>
      </c>
      <c r="K677" s="104"/>
      <c r="L677" s="104"/>
      <c r="M677" s="104"/>
      <c r="N677" s="104"/>
      <c r="O677" s="104"/>
      <c r="P677" s="104"/>
      <c r="Q677" s="127"/>
      <c r="R677" s="103" t="s">
        <v>655</v>
      </c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27"/>
      <c r="AK677" s="98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99"/>
    </row>
    <row r="678" spans="2:61" ht="20.100000000000001" customHeight="1" x14ac:dyDescent="0.45">
      <c r="B678" s="123"/>
      <c r="C678" s="31"/>
      <c r="D678" s="31"/>
      <c r="E678" s="31"/>
      <c r="F678" s="31"/>
      <c r="G678" s="96"/>
      <c r="H678" s="97"/>
      <c r="I678" s="31"/>
      <c r="J678" s="103" t="s">
        <v>656</v>
      </c>
      <c r="K678" s="104"/>
      <c r="L678" s="104"/>
      <c r="M678" s="104"/>
      <c r="N678" s="104"/>
      <c r="O678" s="104"/>
      <c r="P678" s="104"/>
      <c r="Q678" s="127"/>
      <c r="R678" s="103" t="s">
        <v>657</v>
      </c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27"/>
      <c r="AK678" s="98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99"/>
    </row>
    <row r="679" spans="2:61" ht="20.100000000000001" customHeight="1" x14ac:dyDescent="0.45">
      <c r="B679" s="123"/>
      <c r="C679" s="31"/>
      <c r="D679" s="31"/>
      <c r="E679" s="31"/>
      <c r="F679" s="31"/>
      <c r="G679" s="96"/>
      <c r="H679" s="97"/>
      <c r="I679" s="31"/>
      <c r="J679" s="103" t="s">
        <v>658</v>
      </c>
      <c r="K679" s="104"/>
      <c r="L679" s="104"/>
      <c r="M679" s="104"/>
      <c r="N679" s="104"/>
      <c r="O679" s="104"/>
      <c r="P679" s="104"/>
      <c r="Q679" s="127"/>
      <c r="R679" s="103" t="s">
        <v>659</v>
      </c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27"/>
      <c r="AK679" s="98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99"/>
    </row>
    <row r="680" spans="2:61" ht="20.100000000000001" customHeight="1" x14ac:dyDescent="0.45">
      <c r="B680" s="123"/>
      <c r="C680" s="31"/>
      <c r="D680" s="31"/>
      <c r="E680" s="31"/>
      <c r="F680" s="31"/>
      <c r="G680" s="96"/>
      <c r="H680" s="97"/>
      <c r="I680" s="31"/>
      <c r="J680" s="103" t="s">
        <v>660</v>
      </c>
      <c r="K680" s="104"/>
      <c r="L680" s="104"/>
      <c r="M680" s="104"/>
      <c r="N680" s="104"/>
      <c r="O680" s="104"/>
      <c r="P680" s="104"/>
      <c r="Q680" s="127"/>
      <c r="R680" s="103" t="s">
        <v>661</v>
      </c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27"/>
      <c r="AK680" s="98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99"/>
    </row>
    <row r="681" spans="2:61" ht="20.100000000000001" customHeight="1" x14ac:dyDescent="0.45">
      <c r="B681" s="123"/>
      <c r="C681" s="31"/>
      <c r="D681" s="31"/>
      <c r="E681" s="31"/>
      <c r="F681" s="31"/>
      <c r="G681" s="96"/>
      <c r="H681" s="97"/>
      <c r="I681" s="31"/>
      <c r="J681" s="103" t="s">
        <v>200</v>
      </c>
      <c r="K681" s="104"/>
      <c r="L681" s="104"/>
      <c r="M681" s="104"/>
      <c r="N681" s="104"/>
      <c r="O681" s="104"/>
      <c r="P681" s="104"/>
      <c r="Q681" s="127"/>
      <c r="R681" s="103" t="s">
        <v>201</v>
      </c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27"/>
      <c r="AK681" s="98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99"/>
    </row>
    <row r="682" spans="2:61" ht="20.100000000000001" customHeight="1" x14ac:dyDescent="0.45">
      <c r="B682" s="123"/>
      <c r="C682" s="31"/>
      <c r="D682" s="31"/>
      <c r="E682" s="31"/>
      <c r="F682" s="31"/>
      <c r="G682" s="96"/>
      <c r="H682" s="97"/>
      <c r="I682" s="31"/>
      <c r="J682" s="103" t="s">
        <v>662</v>
      </c>
      <c r="K682" s="104"/>
      <c r="L682" s="104"/>
      <c r="M682" s="104"/>
      <c r="N682" s="104"/>
      <c r="O682" s="104"/>
      <c r="P682" s="104"/>
      <c r="Q682" s="127"/>
      <c r="R682" s="103" t="s">
        <v>663</v>
      </c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27"/>
      <c r="AK682" s="98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99"/>
    </row>
    <row r="683" spans="2:61" ht="20.100000000000001" customHeight="1" x14ac:dyDescent="0.45">
      <c r="B683" s="123"/>
      <c r="C683" s="31"/>
      <c r="D683" s="31"/>
      <c r="E683" s="31"/>
      <c r="F683" s="31"/>
      <c r="G683" s="96"/>
      <c r="H683" s="97"/>
      <c r="I683" s="31"/>
      <c r="J683" s="103" t="s">
        <v>664</v>
      </c>
      <c r="K683" s="104"/>
      <c r="L683" s="104"/>
      <c r="M683" s="104"/>
      <c r="N683" s="104"/>
      <c r="O683" s="104"/>
      <c r="P683" s="104"/>
      <c r="Q683" s="127"/>
      <c r="R683" s="103" t="s">
        <v>665</v>
      </c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27"/>
      <c r="AK683" s="98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99"/>
    </row>
    <row r="684" spans="2:61" ht="20.100000000000001" customHeight="1" x14ac:dyDescent="0.45">
      <c r="B684" s="123"/>
      <c r="C684" s="31"/>
      <c r="D684" s="31"/>
      <c r="E684" s="31"/>
      <c r="F684" s="31"/>
      <c r="G684" s="96"/>
      <c r="H684" s="97"/>
      <c r="I684" s="31"/>
      <c r="J684" s="103" t="s">
        <v>666</v>
      </c>
      <c r="K684" s="104"/>
      <c r="L684" s="104"/>
      <c r="M684" s="104"/>
      <c r="N684" s="104"/>
      <c r="O684" s="104"/>
      <c r="P684" s="104"/>
      <c r="Q684" s="127"/>
      <c r="R684" s="103" t="s">
        <v>667</v>
      </c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27"/>
      <c r="AK684" s="98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99"/>
    </row>
    <row r="685" spans="2:61" ht="20.100000000000001" customHeight="1" x14ac:dyDescent="0.45">
      <c r="B685" s="123"/>
      <c r="C685" s="31"/>
      <c r="D685" s="31"/>
      <c r="E685" s="31"/>
      <c r="F685" s="31"/>
      <c r="G685" s="96"/>
      <c r="H685" s="97"/>
      <c r="I685" s="31"/>
      <c r="J685" s="103" t="s">
        <v>668</v>
      </c>
      <c r="K685" s="104"/>
      <c r="L685" s="104"/>
      <c r="M685" s="104"/>
      <c r="N685" s="104"/>
      <c r="O685" s="104"/>
      <c r="P685" s="104"/>
      <c r="Q685" s="127"/>
      <c r="R685" s="103" t="s">
        <v>669</v>
      </c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27"/>
      <c r="AK685" s="98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99"/>
    </row>
    <row r="686" spans="2:61" ht="20.100000000000001" customHeight="1" x14ac:dyDescent="0.45">
      <c r="B686" s="123"/>
      <c r="C686" s="31"/>
      <c r="D686" s="31"/>
      <c r="E686" s="31"/>
      <c r="F686" s="31"/>
      <c r="G686" s="96"/>
      <c r="H686" s="97"/>
      <c r="I686" s="31"/>
      <c r="J686" s="103" t="s">
        <v>670</v>
      </c>
      <c r="K686" s="104"/>
      <c r="L686" s="104"/>
      <c r="M686" s="104"/>
      <c r="N686" s="104"/>
      <c r="O686" s="104"/>
      <c r="P686" s="104"/>
      <c r="Q686" s="127"/>
      <c r="R686" s="103" t="s">
        <v>671</v>
      </c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27"/>
      <c r="AK686" s="98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99"/>
    </row>
    <row r="687" spans="2:61" ht="20.100000000000001" customHeight="1" x14ac:dyDescent="0.45">
      <c r="B687" s="123"/>
      <c r="C687" s="31"/>
      <c r="D687" s="31"/>
      <c r="E687" s="31"/>
      <c r="F687" s="31"/>
      <c r="G687" s="96"/>
      <c r="H687" s="97"/>
      <c r="I687" s="31"/>
      <c r="J687" s="103" t="s">
        <v>672</v>
      </c>
      <c r="K687" s="104"/>
      <c r="L687" s="104"/>
      <c r="M687" s="104"/>
      <c r="N687" s="104"/>
      <c r="O687" s="104"/>
      <c r="P687" s="104"/>
      <c r="Q687" s="127"/>
      <c r="R687" s="103" t="s">
        <v>673</v>
      </c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27"/>
      <c r="AK687" s="98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99"/>
    </row>
    <row r="688" spans="2:61" ht="20.100000000000001" customHeight="1" x14ac:dyDescent="0.45">
      <c r="B688" s="123"/>
      <c r="C688" s="31"/>
      <c r="D688" s="31"/>
      <c r="E688" s="31"/>
      <c r="F688" s="31"/>
      <c r="G688" s="96"/>
      <c r="H688" s="97"/>
      <c r="I688" s="31"/>
      <c r="J688" s="103" t="s">
        <v>674</v>
      </c>
      <c r="K688" s="104"/>
      <c r="L688" s="104"/>
      <c r="M688" s="104"/>
      <c r="N688" s="104"/>
      <c r="O688" s="104"/>
      <c r="P688" s="104"/>
      <c r="Q688" s="127"/>
      <c r="R688" s="103" t="s">
        <v>675</v>
      </c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27"/>
      <c r="AK688" s="98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99"/>
    </row>
    <row r="689" spans="2:61" ht="20.100000000000001" customHeight="1" x14ac:dyDescent="0.45">
      <c r="B689" s="123"/>
      <c r="C689" s="31"/>
      <c r="D689" s="31"/>
      <c r="E689" s="31"/>
      <c r="F689" s="31"/>
      <c r="G689" s="96"/>
      <c r="H689" s="97"/>
      <c r="I689" s="31"/>
      <c r="J689" s="103" t="s">
        <v>676</v>
      </c>
      <c r="K689" s="104"/>
      <c r="L689" s="104"/>
      <c r="M689" s="104"/>
      <c r="N689" s="104"/>
      <c r="O689" s="104"/>
      <c r="P689" s="104"/>
      <c r="Q689" s="127"/>
      <c r="R689" s="103" t="s">
        <v>677</v>
      </c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27"/>
      <c r="AK689" s="98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99"/>
    </row>
    <row r="690" spans="2:61" ht="20.100000000000001" customHeight="1" x14ac:dyDescent="0.45">
      <c r="B690" s="123"/>
      <c r="C690" s="31"/>
      <c r="D690" s="31"/>
      <c r="E690" s="31"/>
      <c r="F690" s="31"/>
      <c r="G690" s="96"/>
      <c r="H690" s="97"/>
      <c r="I690" s="31"/>
      <c r="J690" s="103" t="s">
        <v>678</v>
      </c>
      <c r="K690" s="104"/>
      <c r="L690" s="104"/>
      <c r="M690" s="104"/>
      <c r="N690" s="104"/>
      <c r="O690" s="104"/>
      <c r="P690" s="104"/>
      <c r="Q690" s="127"/>
      <c r="R690" s="103" t="s">
        <v>679</v>
      </c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27"/>
      <c r="AK690" s="98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99"/>
    </row>
    <row r="691" spans="2:61" ht="20.100000000000001" customHeight="1" x14ac:dyDescent="0.45">
      <c r="B691" s="123"/>
      <c r="C691" s="31"/>
      <c r="D691" s="31"/>
      <c r="E691" s="31"/>
      <c r="F691" s="31"/>
      <c r="G691" s="96"/>
      <c r="H691" s="97"/>
      <c r="I691" s="31"/>
      <c r="J691" s="103" t="s">
        <v>680</v>
      </c>
      <c r="K691" s="104"/>
      <c r="L691" s="104"/>
      <c r="M691" s="104"/>
      <c r="N691" s="104"/>
      <c r="O691" s="104"/>
      <c r="P691" s="104"/>
      <c r="Q691" s="127"/>
      <c r="R691" s="103" t="s">
        <v>681</v>
      </c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27"/>
      <c r="AK691" s="98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99"/>
    </row>
    <row r="692" spans="2:61" ht="20.100000000000001" customHeight="1" x14ac:dyDescent="0.45">
      <c r="B692" s="123"/>
      <c r="C692" s="31"/>
      <c r="D692" s="31"/>
      <c r="E692" s="31"/>
      <c r="F692" s="31"/>
      <c r="G692" s="96"/>
      <c r="H692" s="97"/>
      <c r="I692" s="31"/>
      <c r="J692" s="103" t="s">
        <v>682</v>
      </c>
      <c r="K692" s="104"/>
      <c r="L692" s="104"/>
      <c r="M692" s="104"/>
      <c r="N692" s="104"/>
      <c r="O692" s="104"/>
      <c r="P692" s="104"/>
      <c r="Q692" s="127"/>
      <c r="R692" s="103" t="s">
        <v>683</v>
      </c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27"/>
      <c r="AK692" s="98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99"/>
    </row>
    <row r="693" spans="2:61" ht="20.100000000000001" customHeight="1" x14ac:dyDescent="0.45">
      <c r="B693" s="123"/>
      <c r="C693" s="31"/>
      <c r="D693" s="31"/>
      <c r="E693" s="31"/>
      <c r="F693" s="31"/>
      <c r="G693" s="96"/>
      <c r="H693" s="97"/>
      <c r="I693" s="31"/>
      <c r="J693" s="103" t="s">
        <v>533</v>
      </c>
      <c r="K693" s="104"/>
      <c r="L693" s="104"/>
      <c r="M693" s="104"/>
      <c r="N693" s="104"/>
      <c r="O693" s="104"/>
      <c r="P693" s="104"/>
      <c r="Q693" s="127"/>
      <c r="R693" s="103" t="s">
        <v>684</v>
      </c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27"/>
      <c r="AK693" s="98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99"/>
    </row>
    <row r="694" spans="2:61" ht="20.100000000000001" customHeight="1" x14ac:dyDescent="0.45">
      <c r="B694" s="123"/>
      <c r="C694" s="31"/>
      <c r="D694" s="31"/>
      <c r="E694" s="31"/>
      <c r="F694" s="31"/>
      <c r="G694" s="96"/>
      <c r="H694" s="97"/>
      <c r="I694" s="31"/>
      <c r="J694" s="103" t="s">
        <v>685</v>
      </c>
      <c r="K694" s="104"/>
      <c r="L694" s="104"/>
      <c r="M694" s="104"/>
      <c r="N694" s="104"/>
      <c r="O694" s="104"/>
      <c r="P694" s="104"/>
      <c r="Q694" s="127"/>
      <c r="R694" s="103" t="s">
        <v>686</v>
      </c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27"/>
      <c r="AK694" s="98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99"/>
    </row>
    <row r="695" spans="2:61" ht="20.100000000000001" customHeight="1" x14ac:dyDescent="0.45">
      <c r="B695" s="123"/>
      <c r="C695" s="31"/>
      <c r="D695" s="31"/>
      <c r="E695" s="31"/>
      <c r="F695" s="31"/>
      <c r="G695" s="96"/>
      <c r="H695" s="97"/>
      <c r="I695" s="31"/>
      <c r="J695" s="103" t="s">
        <v>687</v>
      </c>
      <c r="K695" s="104"/>
      <c r="L695" s="104"/>
      <c r="M695" s="104"/>
      <c r="N695" s="104"/>
      <c r="O695" s="104"/>
      <c r="P695" s="104"/>
      <c r="Q695" s="127"/>
      <c r="R695" s="103" t="s">
        <v>688</v>
      </c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27"/>
      <c r="AK695" s="98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99"/>
    </row>
    <row r="696" spans="2:61" ht="20.100000000000001" customHeight="1" x14ac:dyDescent="0.45">
      <c r="B696" s="123"/>
      <c r="C696" s="31"/>
      <c r="D696" s="31"/>
      <c r="E696" s="31"/>
      <c r="F696" s="31"/>
      <c r="G696" s="96"/>
      <c r="H696" s="97"/>
      <c r="I696" s="31"/>
      <c r="J696" s="103" t="s">
        <v>689</v>
      </c>
      <c r="K696" s="104"/>
      <c r="L696" s="104"/>
      <c r="M696" s="104"/>
      <c r="N696" s="104"/>
      <c r="O696" s="104"/>
      <c r="P696" s="104"/>
      <c r="Q696" s="127"/>
      <c r="R696" s="103" t="s">
        <v>690</v>
      </c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27"/>
      <c r="AK696" s="98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99"/>
    </row>
    <row r="697" spans="2:61" ht="20.100000000000001" customHeight="1" x14ac:dyDescent="0.45">
      <c r="B697" s="123"/>
      <c r="C697" s="31"/>
      <c r="D697" s="31"/>
      <c r="E697" s="31"/>
      <c r="F697" s="31"/>
      <c r="G697" s="96"/>
      <c r="H697" s="97"/>
      <c r="I697" s="31"/>
      <c r="J697" s="103" t="s">
        <v>691</v>
      </c>
      <c r="K697" s="104"/>
      <c r="L697" s="104"/>
      <c r="M697" s="104"/>
      <c r="N697" s="104"/>
      <c r="O697" s="104"/>
      <c r="P697" s="104"/>
      <c r="Q697" s="127"/>
      <c r="R697" s="103" t="s">
        <v>692</v>
      </c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27"/>
      <c r="AK697" s="98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99"/>
    </row>
    <row r="698" spans="2:61" ht="20.100000000000001" customHeight="1" x14ac:dyDescent="0.45">
      <c r="B698" s="123"/>
      <c r="C698" s="31"/>
      <c r="D698" s="31"/>
      <c r="E698" s="31"/>
      <c r="F698" s="31"/>
      <c r="G698" s="96"/>
      <c r="H698" s="97"/>
      <c r="I698" s="31"/>
      <c r="J698" s="103" t="s">
        <v>693</v>
      </c>
      <c r="K698" s="104"/>
      <c r="L698" s="104"/>
      <c r="M698" s="104"/>
      <c r="N698" s="104"/>
      <c r="O698" s="104"/>
      <c r="P698" s="104"/>
      <c r="Q698" s="127"/>
      <c r="R698" s="103" t="s">
        <v>694</v>
      </c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27"/>
      <c r="AK698" s="98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99"/>
    </row>
    <row r="699" spans="2:61" ht="20.100000000000001" customHeight="1" x14ac:dyDescent="0.45">
      <c r="B699" s="123"/>
      <c r="C699" s="31"/>
      <c r="D699" s="31"/>
      <c r="E699" s="31"/>
      <c r="F699" s="31"/>
      <c r="G699" s="96"/>
      <c r="H699" s="97"/>
      <c r="I699" s="31"/>
      <c r="J699" s="103" t="s">
        <v>695</v>
      </c>
      <c r="K699" s="104"/>
      <c r="L699" s="104"/>
      <c r="M699" s="104"/>
      <c r="N699" s="104"/>
      <c r="O699" s="104"/>
      <c r="P699" s="104"/>
      <c r="Q699" s="127"/>
      <c r="R699" s="103" t="s">
        <v>696</v>
      </c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27"/>
      <c r="AK699" s="98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99"/>
    </row>
    <row r="700" spans="2:61" ht="20.100000000000001" customHeight="1" x14ac:dyDescent="0.45">
      <c r="B700" s="123"/>
      <c r="C700" s="31"/>
      <c r="D700" s="31"/>
      <c r="E700" s="31"/>
      <c r="F700" s="31"/>
      <c r="G700" s="96"/>
      <c r="H700" s="97"/>
      <c r="I700" s="31"/>
      <c r="J700" s="103" t="s">
        <v>697</v>
      </c>
      <c r="K700" s="104"/>
      <c r="L700" s="104"/>
      <c r="M700" s="104"/>
      <c r="N700" s="104"/>
      <c r="O700" s="104"/>
      <c r="P700" s="104"/>
      <c r="Q700" s="127"/>
      <c r="R700" s="103" t="s">
        <v>698</v>
      </c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27"/>
      <c r="AK700" s="98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99"/>
    </row>
    <row r="701" spans="2:61" ht="20.100000000000001" customHeight="1" x14ac:dyDescent="0.45">
      <c r="B701" s="123"/>
      <c r="C701" s="31"/>
      <c r="D701" s="31"/>
      <c r="E701" s="31"/>
      <c r="F701" s="31"/>
      <c r="G701" s="96"/>
      <c r="H701" s="97"/>
      <c r="I701" s="31"/>
      <c r="J701" s="103" t="s">
        <v>699</v>
      </c>
      <c r="K701" s="104"/>
      <c r="L701" s="104"/>
      <c r="M701" s="104"/>
      <c r="N701" s="104"/>
      <c r="O701" s="104"/>
      <c r="P701" s="104"/>
      <c r="Q701" s="127"/>
      <c r="R701" s="103" t="s">
        <v>700</v>
      </c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27"/>
      <c r="AK701" s="98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99"/>
    </row>
    <row r="702" spans="2:61" ht="20.100000000000001" customHeight="1" x14ac:dyDescent="0.45">
      <c r="B702" s="123"/>
      <c r="C702" s="31"/>
      <c r="D702" s="31"/>
      <c r="E702" s="31"/>
      <c r="F702" s="31"/>
      <c r="G702" s="96"/>
      <c r="H702" s="97"/>
      <c r="I702" s="31"/>
      <c r="J702" s="103" t="s">
        <v>701</v>
      </c>
      <c r="K702" s="104"/>
      <c r="L702" s="104"/>
      <c r="M702" s="104"/>
      <c r="N702" s="104"/>
      <c r="O702" s="104"/>
      <c r="P702" s="104"/>
      <c r="Q702" s="127"/>
      <c r="R702" s="103" t="s">
        <v>702</v>
      </c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27"/>
      <c r="AK702" s="98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99"/>
    </row>
    <row r="703" spans="2:61" ht="20.100000000000001" customHeight="1" x14ac:dyDescent="0.45">
      <c r="B703" s="123"/>
      <c r="C703" s="31"/>
      <c r="D703" s="31"/>
      <c r="E703" s="31"/>
      <c r="F703" s="31"/>
      <c r="G703" s="96"/>
      <c r="H703" s="97"/>
      <c r="I703" s="31"/>
      <c r="J703" s="103" t="s">
        <v>703</v>
      </c>
      <c r="K703" s="104"/>
      <c r="L703" s="104"/>
      <c r="M703" s="104"/>
      <c r="N703" s="104"/>
      <c r="O703" s="104"/>
      <c r="P703" s="104"/>
      <c r="Q703" s="127"/>
      <c r="R703" s="103" t="s">
        <v>704</v>
      </c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27"/>
      <c r="AK703" s="98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99"/>
    </row>
    <row r="704" spans="2:61" ht="20.100000000000001" customHeight="1" x14ac:dyDescent="0.45">
      <c r="B704" s="123"/>
      <c r="C704" s="31"/>
      <c r="D704" s="31"/>
      <c r="E704" s="31"/>
      <c r="F704" s="31"/>
      <c r="G704" s="96"/>
      <c r="H704" s="97"/>
      <c r="I704" s="31"/>
      <c r="J704" s="103" t="s">
        <v>705</v>
      </c>
      <c r="K704" s="104"/>
      <c r="L704" s="104"/>
      <c r="M704" s="104"/>
      <c r="N704" s="104"/>
      <c r="O704" s="104"/>
      <c r="P704" s="104"/>
      <c r="Q704" s="127"/>
      <c r="R704" s="103" t="s">
        <v>706</v>
      </c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27"/>
      <c r="AK704" s="98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99"/>
    </row>
    <row r="705" spans="2:61" ht="20.100000000000001" customHeight="1" x14ac:dyDescent="0.45">
      <c r="B705" s="123"/>
      <c r="C705" s="31"/>
      <c r="D705" s="31"/>
      <c r="E705" s="31"/>
      <c r="F705" s="31"/>
      <c r="G705" s="96"/>
      <c r="H705" s="97"/>
      <c r="I705" s="31"/>
      <c r="J705" s="103" t="s">
        <v>707</v>
      </c>
      <c r="K705" s="104"/>
      <c r="L705" s="104"/>
      <c r="M705" s="104"/>
      <c r="N705" s="104"/>
      <c r="O705" s="104"/>
      <c r="P705" s="104"/>
      <c r="Q705" s="127"/>
      <c r="R705" s="103" t="s">
        <v>708</v>
      </c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27"/>
      <c r="AK705" s="98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99"/>
    </row>
    <row r="706" spans="2:61" ht="20.100000000000001" customHeight="1" x14ac:dyDescent="0.45">
      <c r="B706" s="123"/>
      <c r="C706" s="31"/>
      <c r="D706" s="31"/>
      <c r="E706" s="31"/>
      <c r="F706" s="31"/>
      <c r="G706" s="96"/>
      <c r="H706" s="97"/>
      <c r="I706" s="31"/>
      <c r="J706" s="103" t="s">
        <v>709</v>
      </c>
      <c r="K706" s="104"/>
      <c r="L706" s="104"/>
      <c r="M706" s="104"/>
      <c r="N706" s="104"/>
      <c r="O706" s="104"/>
      <c r="P706" s="104"/>
      <c r="Q706" s="127"/>
      <c r="R706" s="103" t="s">
        <v>710</v>
      </c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27"/>
      <c r="AK706" s="98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99"/>
    </row>
    <row r="707" spans="2:61" ht="20.100000000000001" customHeight="1" x14ac:dyDescent="0.45">
      <c r="B707" s="123"/>
      <c r="C707" s="31"/>
      <c r="D707" s="31"/>
      <c r="E707" s="31"/>
      <c r="F707" s="31"/>
      <c r="G707" s="96"/>
      <c r="H707" s="97"/>
      <c r="I707" s="31"/>
      <c r="J707" s="103" t="s">
        <v>711</v>
      </c>
      <c r="K707" s="104"/>
      <c r="L707" s="104"/>
      <c r="M707" s="104"/>
      <c r="N707" s="104"/>
      <c r="O707" s="104"/>
      <c r="P707" s="104"/>
      <c r="Q707" s="127"/>
      <c r="R707" s="103" t="s">
        <v>712</v>
      </c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27"/>
      <c r="AK707" s="98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99"/>
    </row>
    <row r="708" spans="2:61" ht="20.100000000000001" customHeight="1" x14ac:dyDescent="0.45">
      <c r="B708" s="123"/>
      <c r="C708" s="31"/>
      <c r="D708" s="31"/>
      <c r="E708" s="31"/>
      <c r="F708" s="31"/>
      <c r="G708" s="96"/>
      <c r="H708" s="97"/>
      <c r="I708" s="31"/>
      <c r="J708" s="103" t="s">
        <v>713</v>
      </c>
      <c r="K708" s="104"/>
      <c r="L708" s="104"/>
      <c r="M708" s="104"/>
      <c r="N708" s="104"/>
      <c r="O708" s="104"/>
      <c r="P708" s="104"/>
      <c r="Q708" s="127"/>
      <c r="R708" s="103" t="s">
        <v>714</v>
      </c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27"/>
      <c r="AK708" s="98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99"/>
    </row>
    <row r="709" spans="2:61" ht="20.100000000000001" customHeight="1" x14ac:dyDescent="0.45">
      <c r="B709" s="123"/>
      <c r="C709" s="31"/>
      <c r="D709" s="31"/>
      <c r="E709" s="31"/>
      <c r="F709" s="31"/>
      <c r="G709" s="96"/>
      <c r="H709" s="97"/>
      <c r="I709" s="31"/>
      <c r="J709" s="103" t="s">
        <v>715</v>
      </c>
      <c r="K709" s="104"/>
      <c r="L709" s="104"/>
      <c r="M709" s="104"/>
      <c r="N709" s="104"/>
      <c r="O709" s="104"/>
      <c r="P709" s="104"/>
      <c r="Q709" s="127"/>
      <c r="R709" s="103" t="s">
        <v>716</v>
      </c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27"/>
      <c r="AK709" s="98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99"/>
    </row>
    <row r="710" spans="2:61" ht="20.100000000000001" customHeight="1" x14ac:dyDescent="0.45">
      <c r="B710" s="123"/>
      <c r="C710" s="31"/>
      <c r="D710" s="31"/>
      <c r="E710" s="31"/>
      <c r="F710" s="31"/>
      <c r="G710" s="96"/>
      <c r="H710" s="97"/>
      <c r="I710" s="31"/>
      <c r="J710" s="103" t="s">
        <v>717</v>
      </c>
      <c r="K710" s="104"/>
      <c r="L710" s="104"/>
      <c r="M710" s="104"/>
      <c r="N710" s="104"/>
      <c r="O710" s="104"/>
      <c r="P710" s="104"/>
      <c r="Q710" s="127"/>
      <c r="R710" s="103" t="s">
        <v>718</v>
      </c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27"/>
      <c r="AK710" s="98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99"/>
    </row>
    <row r="711" spans="2:61" ht="20.100000000000001" customHeight="1" x14ac:dyDescent="0.45">
      <c r="B711" s="123"/>
      <c r="C711" s="31"/>
      <c r="D711" s="31"/>
      <c r="E711" s="31"/>
      <c r="F711" s="31"/>
      <c r="G711" s="96"/>
      <c r="H711" s="97"/>
      <c r="I711" s="31"/>
      <c r="J711" s="103" t="s">
        <v>719</v>
      </c>
      <c r="K711" s="104"/>
      <c r="L711" s="104"/>
      <c r="M711" s="104"/>
      <c r="N711" s="104"/>
      <c r="O711" s="104"/>
      <c r="P711" s="104"/>
      <c r="Q711" s="127"/>
      <c r="R711" s="103" t="s">
        <v>720</v>
      </c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27"/>
      <c r="AK711" s="98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99"/>
    </row>
    <row r="712" spans="2:61" ht="20.100000000000001" customHeight="1" x14ac:dyDescent="0.45">
      <c r="B712" s="123"/>
      <c r="C712" s="31"/>
      <c r="D712" s="31"/>
      <c r="E712" s="31"/>
      <c r="F712" s="31"/>
      <c r="G712" s="96"/>
      <c r="H712" s="97"/>
      <c r="I712" s="31"/>
      <c r="J712" s="103" t="s">
        <v>721</v>
      </c>
      <c r="K712" s="104"/>
      <c r="L712" s="104"/>
      <c r="M712" s="104"/>
      <c r="N712" s="104"/>
      <c r="O712" s="104"/>
      <c r="P712" s="104"/>
      <c r="Q712" s="127"/>
      <c r="R712" s="103" t="s">
        <v>722</v>
      </c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27"/>
      <c r="AK712" s="98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99"/>
    </row>
    <row r="713" spans="2:61" ht="20.100000000000001" customHeight="1" x14ac:dyDescent="0.45">
      <c r="B713" s="123"/>
      <c r="C713" s="31"/>
      <c r="D713" s="31"/>
      <c r="E713" s="31"/>
      <c r="F713" s="31"/>
      <c r="G713" s="96"/>
      <c r="H713" s="97"/>
      <c r="I713" s="31"/>
      <c r="J713" s="103" t="s">
        <v>723</v>
      </c>
      <c r="K713" s="104"/>
      <c r="L713" s="104"/>
      <c r="M713" s="104"/>
      <c r="N713" s="104"/>
      <c r="O713" s="104"/>
      <c r="P713" s="104"/>
      <c r="Q713" s="127"/>
      <c r="R713" s="103" t="s">
        <v>724</v>
      </c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27"/>
      <c r="AK713" s="98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99"/>
    </row>
    <row r="714" spans="2:61" ht="20.100000000000001" customHeight="1" x14ac:dyDescent="0.45">
      <c r="B714" s="123"/>
      <c r="C714" s="31"/>
      <c r="D714" s="31"/>
      <c r="E714" s="31"/>
      <c r="F714" s="31"/>
      <c r="G714" s="96"/>
      <c r="H714" s="97"/>
      <c r="I714" s="31"/>
      <c r="J714" s="103" t="s">
        <v>725</v>
      </c>
      <c r="K714" s="104"/>
      <c r="L714" s="104"/>
      <c r="M714" s="104"/>
      <c r="N714" s="104"/>
      <c r="O714" s="104"/>
      <c r="P714" s="104"/>
      <c r="Q714" s="127"/>
      <c r="R714" s="103" t="s">
        <v>726</v>
      </c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27"/>
      <c r="AK714" s="98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99"/>
    </row>
    <row r="715" spans="2:61" ht="20.100000000000001" customHeight="1" x14ac:dyDescent="0.45">
      <c r="B715" s="123"/>
      <c r="C715" s="31"/>
      <c r="D715" s="31"/>
      <c r="E715" s="31"/>
      <c r="F715" s="31"/>
      <c r="G715" s="96"/>
      <c r="H715" s="97"/>
      <c r="I715" s="31"/>
      <c r="J715" s="103" t="s">
        <v>727</v>
      </c>
      <c r="K715" s="104"/>
      <c r="L715" s="104"/>
      <c r="M715" s="104"/>
      <c r="N715" s="104"/>
      <c r="O715" s="104"/>
      <c r="P715" s="104"/>
      <c r="Q715" s="127"/>
      <c r="R715" s="103" t="s">
        <v>728</v>
      </c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27"/>
      <c r="AK715" s="98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99"/>
    </row>
    <row r="716" spans="2:61" ht="20.100000000000001" customHeight="1" x14ac:dyDescent="0.45">
      <c r="B716" s="123"/>
      <c r="C716" s="31"/>
      <c r="D716" s="31"/>
      <c r="E716" s="31"/>
      <c r="F716" s="31"/>
      <c r="G716" s="96"/>
      <c r="H716" s="97"/>
      <c r="I716" s="31"/>
      <c r="J716" s="103" t="s">
        <v>729</v>
      </c>
      <c r="K716" s="104"/>
      <c r="L716" s="104"/>
      <c r="M716" s="104"/>
      <c r="N716" s="104"/>
      <c r="O716" s="104"/>
      <c r="P716" s="104"/>
      <c r="Q716" s="127"/>
      <c r="R716" s="103" t="s">
        <v>730</v>
      </c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27"/>
      <c r="AK716" s="98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99"/>
    </row>
    <row r="717" spans="2:61" ht="20.100000000000001" customHeight="1" x14ac:dyDescent="0.45">
      <c r="B717" s="123"/>
      <c r="C717" s="31"/>
      <c r="D717" s="31"/>
      <c r="E717" s="31"/>
      <c r="F717" s="31"/>
      <c r="G717" s="96"/>
      <c r="H717" s="97"/>
      <c r="I717" s="31"/>
      <c r="J717" s="103" t="s">
        <v>731</v>
      </c>
      <c r="K717" s="104"/>
      <c r="L717" s="104"/>
      <c r="M717" s="104"/>
      <c r="N717" s="104"/>
      <c r="O717" s="104"/>
      <c r="P717" s="104"/>
      <c r="Q717" s="127"/>
      <c r="R717" s="103" t="s">
        <v>732</v>
      </c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27"/>
      <c r="AK717" s="98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99"/>
    </row>
    <row r="718" spans="2:61" ht="20.100000000000001" customHeight="1" x14ac:dyDescent="0.45">
      <c r="B718" s="123"/>
      <c r="C718" s="31"/>
      <c r="D718" s="31"/>
      <c r="E718" s="31"/>
      <c r="F718" s="31"/>
      <c r="G718" s="96"/>
      <c r="H718" s="97"/>
      <c r="I718" s="31"/>
      <c r="J718" s="103" t="s">
        <v>733</v>
      </c>
      <c r="K718" s="104"/>
      <c r="L718" s="104"/>
      <c r="M718" s="104"/>
      <c r="N718" s="104"/>
      <c r="O718" s="104"/>
      <c r="P718" s="104"/>
      <c r="Q718" s="127"/>
      <c r="R718" s="103" t="s">
        <v>734</v>
      </c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27"/>
      <c r="AK718" s="98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99"/>
    </row>
    <row r="719" spans="2:61" ht="20.100000000000001" customHeight="1" x14ac:dyDescent="0.45">
      <c r="B719" s="123"/>
      <c r="C719" s="31"/>
      <c r="D719" s="31"/>
      <c r="E719" s="31"/>
      <c r="F719" s="31"/>
      <c r="G719" s="96"/>
      <c r="H719" s="97"/>
      <c r="I719" s="31"/>
      <c r="J719" s="103" t="s">
        <v>735</v>
      </c>
      <c r="K719" s="104"/>
      <c r="L719" s="104"/>
      <c r="M719" s="104"/>
      <c r="N719" s="104"/>
      <c r="O719" s="104"/>
      <c r="P719" s="104"/>
      <c r="Q719" s="127"/>
      <c r="R719" s="103" t="s">
        <v>736</v>
      </c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27"/>
      <c r="AK719" s="98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99"/>
    </row>
    <row r="720" spans="2:61" ht="20.100000000000001" customHeight="1" x14ac:dyDescent="0.45">
      <c r="B720" s="123"/>
      <c r="C720" s="31"/>
      <c r="D720" s="31"/>
      <c r="E720" s="31"/>
      <c r="F720" s="31"/>
      <c r="G720" s="96"/>
      <c r="H720" s="97"/>
      <c r="I720" s="31"/>
      <c r="J720" s="103" t="s">
        <v>737</v>
      </c>
      <c r="K720" s="104"/>
      <c r="L720" s="104"/>
      <c r="M720" s="104"/>
      <c r="N720" s="104"/>
      <c r="O720" s="104"/>
      <c r="P720" s="104"/>
      <c r="Q720" s="127"/>
      <c r="R720" s="103" t="s">
        <v>738</v>
      </c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27"/>
      <c r="AK720" s="98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99"/>
    </row>
    <row r="721" spans="2:61" ht="20.100000000000001" customHeight="1" x14ac:dyDescent="0.45">
      <c r="B721" s="123"/>
      <c r="C721" s="31"/>
      <c r="D721" s="31"/>
      <c r="E721" s="31"/>
      <c r="F721" s="31"/>
      <c r="G721" s="96"/>
      <c r="H721" s="97"/>
      <c r="I721" s="31"/>
      <c r="J721" s="103" t="s">
        <v>739</v>
      </c>
      <c r="K721" s="104"/>
      <c r="L721" s="104"/>
      <c r="M721" s="104"/>
      <c r="N721" s="104"/>
      <c r="O721" s="104"/>
      <c r="P721" s="104"/>
      <c r="Q721" s="127"/>
      <c r="R721" s="103" t="s">
        <v>740</v>
      </c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27"/>
      <c r="AK721" s="98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99"/>
    </row>
    <row r="722" spans="2:61" ht="20.100000000000001" customHeight="1" x14ac:dyDescent="0.45">
      <c r="B722" s="123"/>
      <c r="C722" s="31"/>
      <c r="D722" s="31"/>
      <c r="E722" s="31"/>
      <c r="F722" s="31"/>
      <c r="G722" s="96"/>
      <c r="H722" s="97"/>
      <c r="I722" s="31"/>
      <c r="J722" s="103" t="s">
        <v>741</v>
      </c>
      <c r="K722" s="104"/>
      <c r="L722" s="104"/>
      <c r="M722" s="104"/>
      <c r="N722" s="104"/>
      <c r="O722" s="104"/>
      <c r="P722" s="104"/>
      <c r="Q722" s="127"/>
      <c r="R722" s="103" t="s">
        <v>742</v>
      </c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27"/>
      <c r="AK722" s="98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99"/>
    </row>
    <row r="723" spans="2:61" ht="20.100000000000001" customHeight="1" x14ac:dyDescent="0.45">
      <c r="B723" s="123"/>
      <c r="C723" s="31"/>
      <c r="D723" s="31"/>
      <c r="E723" s="31"/>
      <c r="F723" s="31"/>
      <c r="G723" s="96"/>
      <c r="H723" s="97"/>
      <c r="I723" s="31"/>
      <c r="J723" s="103" t="s">
        <v>743</v>
      </c>
      <c r="K723" s="104"/>
      <c r="L723" s="104"/>
      <c r="M723" s="104"/>
      <c r="N723" s="104"/>
      <c r="O723" s="104"/>
      <c r="P723" s="104"/>
      <c r="Q723" s="127"/>
      <c r="R723" s="103" t="s">
        <v>744</v>
      </c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27"/>
      <c r="AK723" s="98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99"/>
    </row>
    <row r="724" spans="2:61" ht="20.100000000000001" customHeight="1" x14ac:dyDescent="0.45">
      <c r="B724" s="123"/>
      <c r="C724" s="31"/>
      <c r="D724" s="31"/>
      <c r="E724" s="31"/>
      <c r="F724" s="31"/>
      <c r="G724" s="96"/>
      <c r="H724" s="97"/>
      <c r="I724" s="31"/>
      <c r="J724" s="103" t="s">
        <v>745</v>
      </c>
      <c r="K724" s="104"/>
      <c r="L724" s="104"/>
      <c r="M724" s="104"/>
      <c r="N724" s="104"/>
      <c r="O724" s="104"/>
      <c r="P724" s="104"/>
      <c r="Q724" s="127"/>
      <c r="R724" s="103" t="s">
        <v>746</v>
      </c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27"/>
      <c r="AK724" s="98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99"/>
    </row>
    <row r="725" spans="2:61" ht="20.100000000000001" customHeight="1" x14ac:dyDescent="0.45">
      <c r="B725" s="123"/>
      <c r="C725" s="31"/>
      <c r="D725" s="31"/>
      <c r="E725" s="31"/>
      <c r="F725" s="31"/>
      <c r="G725" s="96"/>
      <c r="H725" s="97"/>
      <c r="I725" s="31"/>
      <c r="J725" s="103" t="s">
        <v>747</v>
      </c>
      <c r="K725" s="104"/>
      <c r="L725" s="104"/>
      <c r="M725" s="104"/>
      <c r="N725" s="104"/>
      <c r="O725" s="104"/>
      <c r="P725" s="104"/>
      <c r="Q725" s="127"/>
      <c r="R725" s="103" t="s">
        <v>748</v>
      </c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27"/>
      <c r="AK725" s="98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99"/>
    </row>
    <row r="726" spans="2:61" ht="20.100000000000001" customHeight="1" x14ac:dyDescent="0.45">
      <c r="B726" s="123"/>
      <c r="C726" s="31"/>
      <c r="D726" s="31"/>
      <c r="E726" s="31"/>
      <c r="F726" s="31"/>
      <c r="G726" s="96"/>
      <c r="H726" s="97"/>
      <c r="I726" s="31"/>
      <c r="J726" s="103" t="s">
        <v>749</v>
      </c>
      <c r="K726" s="104"/>
      <c r="L726" s="104"/>
      <c r="M726" s="104"/>
      <c r="N726" s="104"/>
      <c r="O726" s="104"/>
      <c r="P726" s="104"/>
      <c r="Q726" s="127"/>
      <c r="R726" s="103" t="s">
        <v>750</v>
      </c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27"/>
      <c r="AK726" s="98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99"/>
    </row>
    <row r="727" spans="2:61" ht="20.100000000000001" customHeight="1" x14ac:dyDescent="0.45">
      <c r="B727" s="123"/>
      <c r="C727" s="31"/>
      <c r="D727" s="31"/>
      <c r="E727" s="31"/>
      <c r="F727" s="31"/>
      <c r="G727" s="96"/>
      <c r="H727" s="97"/>
      <c r="I727" s="31"/>
      <c r="J727" s="103" t="s">
        <v>751</v>
      </c>
      <c r="K727" s="104"/>
      <c r="L727" s="104"/>
      <c r="M727" s="104"/>
      <c r="N727" s="104"/>
      <c r="O727" s="104"/>
      <c r="P727" s="104"/>
      <c r="Q727" s="127"/>
      <c r="R727" s="103" t="s">
        <v>752</v>
      </c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27"/>
      <c r="AK727" s="98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99"/>
    </row>
    <row r="728" spans="2:61" ht="20.100000000000001" customHeight="1" x14ac:dyDescent="0.45">
      <c r="B728" s="123"/>
      <c r="C728" s="31"/>
      <c r="D728" s="31"/>
      <c r="E728" s="31"/>
      <c r="F728" s="31"/>
      <c r="G728" s="96"/>
      <c r="H728" s="97"/>
      <c r="I728" s="31"/>
      <c r="J728" s="103" t="s">
        <v>753</v>
      </c>
      <c r="K728" s="104"/>
      <c r="L728" s="104"/>
      <c r="M728" s="104"/>
      <c r="N728" s="104"/>
      <c r="O728" s="104"/>
      <c r="P728" s="104"/>
      <c r="Q728" s="127"/>
      <c r="R728" s="103" t="s">
        <v>754</v>
      </c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27"/>
      <c r="AK728" s="98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99"/>
    </row>
    <row r="729" spans="2:61" ht="20.100000000000001" customHeight="1" x14ac:dyDescent="0.45">
      <c r="B729" s="123"/>
      <c r="C729" s="31"/>
      <c r="D729" s="31"/>
      <c r="E729" s="31"/>
      <c r="F729" s="31"/>
      <c r="G729" s="96"/>
      <c r="H729" s="100" t="s">
        <v>52</v>
      </c>
      <c r="I729" s="55"/>
      <c r="J729" s="100" t="s">
        <v>354</v>
      </c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101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102"/>
    </row>
    <row r="730" spans="2:61" ht="20.100000000000001" customHeight="1" x14ac:dyDescent="0.45">
      <c r="B730" s="95"/>
      <c r="C730" s="31"/>
      <c r="D730" s="31"/>
      <c r="E730" s="31"/>
      <c r="F730" s="31"/>
      <c r="G730" s="96"/>
      <c r="H730" s="100" t="s">
        <v>53</v>
      </c>
      <c r="I730" s="55"/>
      <c r="J730" s="161" t="s">
        <v>755</v>
      </c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101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102"/>
    </row>
    <row r="731" spans="2:61" ht="20.100000000000001" customHeight="1" thickBot="1" x14ac:dyDescent="0.5">
      <c r="B731" s="95"/>
      <c r="C731" s="31"/>
      <c r="D731" s="31"/>
      <c r="E731" s="31"/>
      <c r="F731" s="31"/>
      <c r="G731" s="96"/>
      <c r="H731" s="100" t="s">
        <v>220</v>
      </c>
      <c r="I731" s="55"/>
      <c r="J731" s="161" t="s">
        <v>756</v>
      </c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101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102"/>
    </row>
    <row r="732" spans="2:61" ht="20.100000000000001" customHeight="1" x14ac:dyDescent="0.45">
      <c r="B732" s="89" t="s">
        <v>757</v>
      </c>
      <c r="C732" s="90"/>
      <c r="D732" s="90"/>
      <c r="E732" s="90"/>
      <c r="F732" s="90"/>
      <c r="G732" s="91"/>
      <c r="H732" s="92" t="s">
        <v>83</v>
      </c>
      <c r="I732" s="90"/>
      <c r="J732" s="120" t="s">
        <v>186</v>
      </c>
      <c r="K732" s="121"/>
      <c r="L732" s="121"/>
      <c r="M732" s="121"/>
      <c r="N732" s="121"/>
      <c r="O732" s="121"/>
      <c r="P732" s="121"/>
      <c r="Q732" s="122"/>
      <c r="R732" s="121" t="s">
        <v>241</v>
      </c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2"/>
      <c r="AK732" s="93" t="s">
        <v>584</v>
      </c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4"/>
    </row>
    <row r="733" spans="2:61" ht="20.100000000000001" customHeight="1" x14ac:dyDescent="0.45">
      <c r="B733" s="123"/>
      <c r="C733" s="31"/>
      <c r="D733" s="31"/>
      <c r="E733" s="31"/>
      <c r="F733" s="31"/>
      <c r="G733" s="96"/>
      <c r="H733" s="97"/>
      <c r="I733" s="31"/>
      <c r="J733" s="103" t="s">
        <v>243</v>
      </c>
      <c r="K733" s="104"/>
      <c r="L733" s="104"/>
      <c r="M733" s="104"/>
      <c r="N733" s="104"/>
      <c r="O733" s="104"/>
      <c r="P733" s="104"/>
      <c r="Q733" s="127"/>
      <c r="R733" s="160" t="s">
        <v>244</v>
      </c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27"/>
      <c r="AK733" s="98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99"/>
    </row>
    <row r="734" spans="2:61" ht="20.100000000000001" customHeight="1" x14ac:dyDescent="0.45">
      <c r="B734" s="123"/>
      <c r="C734" s="31"/>
      <c r="D734" s="31"/>
      <c r="E734" s="31"/>
      <c r="F734" s="31"/>
      <c r="G734" s="96"/>
      <c r="H734" s="97"/>
      <c r="I734" s="31"/>
      <c r="J734" s="103" t="s">
        <v>246</v>
      </c>
      <c r="K734" s="104"/>
      <c r="L734" s="104"/>
      <c r="M734" s="104"/>
      <c r="N734" s="104"/>
      <c r="O734" s="104"/>
      <c r="P734" s="104"/>
      <c r="Q734" s="127"/>
      <c r="R734" s="160" t="s">
        <v>758</v>
      </c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27"/>
      <c r="AK734" s="98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99"/>
    </row>
    <row r="735" spans="2:61" ht="20.100000000000001" customHeight="1" x14ac:dyDescent="0.45">
      <c r="B735" s="123"/>
      <c r="C735" s="31"/>
      <c r="D735" s="31"/>
      <c r="E735" s="31"/>
      <c r="F735" s="31"/>
      <c r="G735" s="96"/>
      <c r="H735" s="97"/>
      <c r="I735" s="31"/>
      <c r="J735" s="103" t="s">
        <v>281</v>
      </c>
      <c r="K735" s="104"/>
      <c r="L735" s="104"/>
      <c r="M735" s="104"/>
      <c r="N735" s="104"/>
      <c r="O735" s="104"/>
      <c r="P735" s="104"/>
      <c r="Q735" s="127"/>
      <c r="R735" s="104" t="s">
        <v>538</v>
      </c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27"/>
      <c r="AK735" s="98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99"/>
    </row>
    <row r="736" spans="2:61" ht="20.100000000000001" customHeight="1" x14ac:dyDescent="0.45">
      <c r="B736" s="123"/>
      <c r="C736" s="31"/>
      <c r="D736" s="31"/>
      <c r="E736" s="31"/>
      <c r="F736" s="31"/>
      <c r="G736" s="96"/>
      <c r="H736" s="97"/>
      <c r="I736" s="31"/>
      <c r="J736" s="103" t="s">
        <v>289</v>
      </c>
      <c r="K736" s="104"/>
      <c r="L736" s="104"/>
      <c r="M736" s="104"/>
      <c r="N736" s="104"/>
      <c r="O736" s="104"/>
      <c r="P736" s="104"/>
      <c r="Q736" s="127"/>
      <c r="R736" s="104" t="s">
        <v>536</v>
      </c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27"/>
      <c r="AK736" s="98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99"/>
    </row>
    <row r="737" spans="2:61" ht="20.100000000000001" customHeight="1" x14ac:dyDescent="0.45">
      <c r="B737" s="123"/>
      <c r="C737" s="31"/>
      <c r="D737" s="31"/>
      <c r="E737" s="31"/>
      <c r="F737" s="31"/>
      <c r="G737" s="96"/>
      <c r="H737" s="97"/>
      <c r="I737" s="31"/>
      <c r="J737" s="103" t="s">
        <v>200</v>
      </c>
      <c r="K737" s="104"/>
      <c r="L737" s="104"/>
      <c r="M737" s="104"/>
      <c r="N737" s="104"/>
      <c r="O737" s="104"/>
      <c r="P737" s="104"/>
      <c r="Q737" s="127"/>
      <c r="R737" s="160" t="s">
        <v>344</v>
      </c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27"/>
      <c r="AK737" s="98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99"/>
    </row>
    <row r="738" spans="2:61" ht="20.100000000000001" customHeight="1" x14ac:dyDescent="0.45">
      <c r="B738" s="123"/>
      <c r="C738" s="31"/>
      <c r="D738" s="31"/>
      <c r="E738" s="31"/>
      <c r="F738" s="31"/>
      <c r="G738" s="96"/>
      <c r="H738" s="97"/>
      <c r="I738" s="31"/>
      <c r="J738" s="103" t="s">
        <v>292</v>
      </c>
      <c r="K738" s="104"/>
      <c r="L738" s="104"/>
      <c r="M738" s="104"/>
      <c r="N738" s="104"/>
      <c r="O738" s="104"/>
      <c r="P738" s="104"/>
      <c r="Q738" s="127"/>
      <c r="R738" s="160" t="s">
        <v>345</v>
      </c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27"/>
      <c r="AK738" s="98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99"/>
    </row>
    <row r="739" spans="2:61" ht="20.100000000000001" customHeight="1" x14ac:dyDescent="0.45">
      <c r="B739" s="123"/>
      <c r="C739" s="31"/>
      <c r="D739" s="31"/>
      <c r="E739" s="31"/>
      <c r="F739" s="31"/>
      <c r="G739" s="96"/>
      <c r="H739" s="100" t="s">
        <v>52</v>
      </c>
      <c r="I739" s="55"/>
      <c r="J739" s="100" t="s">
        <v>759</v>
      </c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101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102"/>
    </row>
    <row r="740" spans="2:61" ht="20.100000000000001" customHeight="1" x14ac:dyDescent="0.45">
      <c r="B740" s="95"/>
      <c r="C740" s="31"/>
      <c r="D740" s="31"/>
      <c r="E740" s="31"/>
      <c r="F740" s="31"/>
      <c r="G740" s="96"/>
      <c r="H740" s="100" t="s">
        <v>541</v>
      </c>
      <c r="I740" s="55"/>
      <c r="J740" s="161" t="s">
        <v>760</v>
      </c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101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102"/>
    </row>
    <row r="741" spans="2:61" ht="20.100000000000001" customHeight="1" thickBot="1" x14ac:dyDescent="0.5">
      <c r="B741" s="95"/>
      <c r="C741" s="31"/>
      <c r="D741" s="31"/>
      <c r="E741" s="31"/>
      <c r="F741" s="31"/>
      <c r="G741" s="96"/>
      <c r="H741" s="100" t="s">
        <v>233</v>
      </c>
      <c r="I741" s="55"/>
      <c r="J741" s="161" t="s">
        <v>761</v>
      </c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101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102"/>
    </row>
    <row r="742" spans="2:61" ht="20.100000000000001" customHeight="1" x14ac:dyDescent="0.45">
      <c r="B742" s="89" t="s">
        <v>762</v>
      </c>
      <c r="C742" s="90"/>
      <c r="D742" s="90"/>
      <c r="E742" s="90"/>
      <c r="F742" s="90"/>
      <c r="G742" s="91"/>
      <c r="H742" s="92" t="s">
        <v>83</v>
      </c>
      <c r="I742" s="90"/>
      <c r="J742" s="120" t="s">
        <v>186</v>
      </c>
      <c r="K742" s="121"/>
      <c r="L742" s="121"/>
      <c r="M742" s="121"/>
      <c r="N742" s="121"/>
      <c r="O742" s="121"/>
      <c r="P742" s="121"/>
      <c r="Q742" s="122"/>
      <c r="R742" s="120" t="s">
        <v>241</v>
      </c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2"/>
      <c r="AK742" s="93" t="s">
        <v>763</v>
      </c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4"/>
    </row>
    <row r="743" spans="2:61" ht="20.100000000000001" customHeight="1" x14ac:dyDescent="0.45">
      <c r="B743" s="123"/>
      <c r="C743" s="31"/>
      <c r="D743" s="31"/>
      <c r="E743" s="31"/>
      <c r="F743" s="31"/>
      <c r="G743" s="96"/>
      <c r="H743" s="97"/>
      <c r="I743" s="31"/>
      <c r="J743" s="103" t="s">
        <v>243</v>
      </c>
      <c r="K743" s="104"/>
      <c r="L743" s="104"/>
      <c r="M743" s="104"/>
      <c r="N743" s="104"/>
      <c r="O743" s="104"/>
      <c r="P743" s="104"/>
      <c r="Q743" s="127"/>
      <c r="R743" s="103" t="s">
        <v>244</v>
      </c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27"/>
      <c r="AK743" s="98" t="s">
        <v>764</v>
      </c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99"/>
    </row>
    <row r="744" spans="2:61" ht="20.100000000000001" customHeight="1" x14ac:dyDescent="0.45">
      <c r="B744" s="123"/>
      <c r="C744" s="31"/>
      <c r="D744" s="31"/>
      <c r="E744" s="31"/>
      <c r="F744" s="31"/>
      <c r="G744" s="96"/>
      <c r="H744" s="97"/>
      <c r="I744" s="31"/>
      <c r="J744" s="103" t="s">
        <v>246</v>
      </c>
      <c r="K744" s="104"/>
      <c r="L744" s="104"/>
      <c r="M744" s="104"/>
      <c r="N744" s="104"/>
      <c r="O744" s="104"/>
      <c r="P744" s="104"/>
      <c r="Q744" s="127"/>
      <c r="R744" s="103" t="s">
        <v>247</v>
      </c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27"/>
      <c r="AK744" s="98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99"/>
    </row>
    <row r="745" spans="2:61" ht="20.100000000000001" customHeight="1" x14ac:dyDescent="0.45">
      <c r="B745" s="123"/>
      <c r="C745" s="31"/>
      <c r="D745" s="31"/>
      <c r="E745" s="31"/>
      <c r="F745" s="31"/>
      <c r="G745" s="96"/>
      <c r="H745" s="97"/>
      <c r="I745" s="31"/>
      <c r="J745" s="103" t="s">
        <v>249</v>
      </c>
      <c r="K745" s="104"/>
      <c r="L745" s="104"/>
      <c r="M745" s="104"/>
      <c r="N745" s="104"/>
      <c r="O745" s="104"/>
      <c r="P745" s="104"/>
      <c r="Q745" s="127"/>
      <c r="R745" s="103" t="s">
        <v>250</v>
      </c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27"/>
      <c r="AK745" s="98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99"/>
    </row>
    <row r="746" spans="2:61" ht="20.100000000000001" customHeight="1" x14ac:dyDescent="0.45">
      <c r="B746" s="123"/>
      <c r="C746" s="31"/>
      <c r="D746" s="31"/>
      <c r="E746" s="31"/>
      <c r="F746" s="31"/>
      <c r="G746" s="96"/>
      <c r="H746" s="97"/>
      <c r="I746" s="31"/>
      <c r="J746" s="103" t="s">
        <v>251</v>
      </c>
      <c r="K746" s="104"/>
      <c r="L746" s="104"/>
      <c r="M746" s="104"/>
      <c r="N746" s="104"/>
      <c r="O746" s="104"/>
      <c r="P746" s="104"/>
      <c r="Q746" s="127"/>
      <c r="R746" s="103" t="s">
        <v>252</v>
      </c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27"/>
      <c r="AK746" s="98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99"/>
    </row>
    <row r="747" spans="2:61" ht="20.100000000000001" customHeight="1" x14ac:dyDescent="0.45">
      <c r="B747" s="123"/>
      <c r="C747" s="31"/>
      <c r="D747" s="31"/>
      <c r="E747" s="31"/>
      <c r="F747" s="31"/>
      <c r="G747" s="96"/>
      <c r="H747" s="97"/>
      <c r="I747" s="31"/>
      <c r="J747" s="103" t="s">
        <v>253</v>
      </c>
      <c r="K747" s="104"/>
      <c r="L747" s="104"/>
      <c r="M747" s="104"/>
      <c r="N747" s="104"/>
      <c r="O747" s="104"/>
      <c r="P747" s="104"/>
      <c r="Q747" s="127"/>
      <c r="R747" s="103" t="s">
        <v>254</v>
      </c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27"/>
      <c r="AK747" s="98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99"/>
    </row>
    <row r="748" spans="2:61" ht="20.100000000000001" customHeight="1" x14ac:dyDescent="0.45">
      <c r="B748" s="123"/>
      <c r="C748" s="31"/>
      <c r="D748" s="31"/>
      <c r="E748" s="31"/>
      <c r="F748" s="31"/>
      <c r="G748" s="96"/>
      <c r="H748" s="97"/>
      <c r="I748" s="31"/>
      <c r="J748" s="103" t="s">
        <v>255</v>
      </c>
      <c r="K748" s="104"/>
      <c r="L748" s="104"/>
      <c r="M748" s="104"/>
      <c r="N748" s="104"/>
      <c r="O748" s="104"/>
      <c r="P748" s="104"/>
      <c r="Q748" s="127"/>
      <c r="R748" s="103" t="s">
        <v>256</v>
      </c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27"/>
      <c r="AK748" s="98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99"/>
    </row>
    <row r="749" spans="2:61" ht="20.100000000000001" customHeight="1" x14ac:dyDescent="0.45">
      <c r="B749" s="123"/>
      <c r="C749" s="31"/>
      <c r="D749" s="31"/>
      <c r="E749" s="31"/>
      <c r="F749" s="31"/>
      <c r="G749" s="96"/>
      <c r="H749" s="97"/>
      <c r="I749" s="31"/>
      <c r="J749" s="103" t="s">
        <v>257</v>
      </c>
      <c r="K749" s="104"/>
      <c r="L749" s="104"/>
      <c r="M749" s="104"/>
      <c r="N749" s="104"/>
      <c r="O749" s="104"/>
      <c r="P749" s="104"/>
      <c r="Q749" s="127"/>
      <c r="R749" s="103" t="s">
        <v>258</v>
      </c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27"/>
      <c r="AK749" s="98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99"/>
    </row>
    <row r="750" spans="2:61" ht="20.100000000000001" customHeight="1" x14ac:dyDescent="0.45">
      <c r="B750" s="123"/>
      <c r="C750" s="31"/>
      <c r="D750" s="31"/>
      <c r="E750" s="31"/>
      <c r="F750" s="31"/>
      <c r="G750" s="96"/>
      <c r="H750" s="97"/>
      <c r="I750" s="31"/>
      <c r="J750" s="103" t="s">
        <v>259</v>
      </c>
      <c r="K750" s="104"/>
      <c r="L750" s="104"/>
      <c r="M750" s="104"/>
      <c r="N750" s="104"/>
      <c r="O750" s="104"/>
      <c r="P750" s="104"/>
      <c r="Q750" s="127"/>
      <c r="R750" s="103" t="s">
        <v>260</v>
      </c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27"/>
      <c r="AK750" s="98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99"/>
    </row>
    <row r="751" spans="2:61" ht="20.100000000000001" customHeight="1" x14ac:dyDescent="0.45">
      <c r="B751" s="123"/>
      <c r="C751" s="31"/>
      <c r="D751" s="31"/>
      <c r="E751" s="31"/>
      <c r="F751" s="31"/>
      <c r="G751" s="96"/>
      <c r="H751" s="97"/>
      <c r="I751" s="31"/>
      <c r="J751" s="103" t="s">
        <v>261</v>
      </c>
      <c r="K751" s="104"/>
      <c r="L751" s="104"/>
      <c r="M751" s="104"/>
      <c r="N751" s="104"/>
      <c r="O751" s="104"/>
      <c r="P751" s="104"/>
      <c r="Q751" s="127"/>
      <c r="R751" s="103" t="s">
        <v>262</v>
      </c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27"/>
      <c r="AK751" s="98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99"/>
    </row>
    <row r="752" spans="2:61" ht="20.100000000000001" customHeight="1" x14ac:dyDescent="0.45">
      <c r="B752" s="123"/>
      <c r="C752" s="31"/>
      <c r="D752" s="31"/>
      <c r="E752" s="31"/>
      <c r="F752" s="31"/>
      <c r="G752" s="96"/>
      <c r="H752" s="97"/>
      <c r="I752" s="31"/>
      <c r="J752" s="103" t="s">
        <v>263</v>
      </c>
      <c r="K752" s="104"/>
      <c r="L752" s="104"/>
      <c r="M752" s="104"/>
      <c r="N752" s="104"/>
      <c r="O752" s="104"/>
      <c r="P752" s="104"/>
      <c r="Q752" s="127"/>
      <c r="R752" s="103" t="s">
        <v>264</v>
      </c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27"/>
      <c r="AK752" s="98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99"/>
    </row>
    <row r="753" spans="2:61" ht="20.100000000000001" customHeight="1" x14ac:dyDescent="0.45">
      <c r="B753" s="123"/>
      <c r="C753" s="31"/>
      <c r="D753" s="31"/>
      <c r="E753" s="31"/>
      <c r="F753" s="31"/>
      <c r="G753" s="96"/>
      <c r="H753" s="97"/>
      <c r="I753" s="31"/>
      <c r="J753" s="103" t="s">
        <v>265</v>
      </c>
      <c r="K753" s="104"/>
      <c r="L753" s="104"/>
      <c r="M753" s="104"/>
      <c r="N753" s="104"/>
      <c r="O753" s="104"/>
      <c r="P753" s="104"/>
      <c r="Q753" s="127"/>
      <c r="R753" s="103" t="s">
        <v>266</v>
      </c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27"/>
      <c r="AK753" s="98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99"/>
    </row>
    <row r="754" spans="2:61" ht="20.100000000000001" customHeight="1" x14ac:dyDescent="0.45">
      <c r="B754" s="123"/>
      <c r="C754" s="31"/>
      <c r="D754" s="31"/>
      <c r="E754" s="31"/>
      <c r="F754" s="31"/>
      <c r="G754" s="96"/>
      <c r="H754" s="97"/>
      <c r="I754" s="31"/>
      <c r="J754" s="103" t="s">
        <v>267</v>
      </c>
      <c r="K754" s="104"/>
      <c r="L754" s="104"/>
      <c r="M754" s="104"/>
      <c r="N754" s="104"/>
      <c r="O754" s="104"/>
      <c r="P754" s="104"/>
      <c r="Q754" s="127"/>
      <c r="R754" s="103" t="s">
        <v>268</v>
      </c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27"/>
      <c r="AK754" s="98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99"/>
    </row>
    <row r="755" spans="2:61" ht="20.100000000000001" customHeight="1" x14ac:dyDescent="0.45">
      <c r="B755" s="123"/>
      <c r="C755" s="31"/>
      <c r="D755" s="31"/>
      <c r="E755" s="31"/>
      <c r="F755" s="31"/>
      <c r="G755" s="96"/>
      <c r="H755" s="97"/>
      <c r="I755" s="31"/>
      <c r="J755" s="103" t="s">
        <v>269</v>
      </c>
      <c r="K755" s="104"/>
      <c r="L755" s="104"/>
      <c r="M755" s="104"/>
      <c r="N755" s="104"/>
      <c r="O755" s="104"/>
      <c r="P755" s="104"/>
      <c r="Q755" s="127"/>
      <c r="R755" s="103" t="s">
        <v>270</v>
      </c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27"/>
      <c r="AK755" s="98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99"/>
    </row>
    <row r="756" spans="2:61" ht="20.100000000000001" customHeight="1" x14ac:dyDescent="0.45">
      <c r="B756" s="123"/>
      <c r="C756" s="31"/>
      <c r="D756" s="31"/>
      <c r="E756" s="31"/>
      <c r="F756" s="31"/>
      <c r="G756" s="96"/>
      <c r="H756" s="97"/>
      <c r="I756" s="31"/>
      <c r="J756" s="103" t="s">
        <v>271</v>
      </c>
      <c r="K756" s="104"/>
      <c r="L756" s="104"/>
      <c r="M756" s="104"/>
      <c r="N756" s="104"/>
      <c r="O756" s="104"/>
      <c r="P756" s="104"/>
      <c r="Q756" s="127"/>
      <c r="R756" s="103" t="s">
        <v>272</v>
      </c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27"/>
      <c r="AK756" s="98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99"/>
    </row>
    <row r="757" spans="2:61" ht="20.100000000000001" customHeight="1" x14ac:dyDescent="0.45">
      <c r="B757" s="123"/>
      <c r="C757" s="31"/>
      <c r="D757" s="31"/>
      <c r="E757" s="31"/>
      <c r="F757" s="31"/>
      <c r="G757" s="96"/>
      <c r="H757" s="97"/>
      <c r="I757" s="31"/>
      <c r="J757" s="103" t="s">
        <v>273</v>
      </c>
      <c r="K757" s="104"/>
      <c r="L757" s="104"/>
      <c r="M757" s="104"/>
      <c r="N757" s="104"/>
      <c r="O757" s="104"/>
      <c r="P757" s="104"/>
      <c r="Q757" s="127"/>
      <c r="R757" s="103" t="s">
        <v>274</v>
      </c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27"/>
      <c r="AK757" s="98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99"/>
    </row>
    <row r="758" spans="2:61" ht="20.100000000000001" customHeight="1" x14ac:dyDescent="0.45">
      <c r="B758" s="123"/>
      <c r="C758" s="31"/>
      <c r="D758" s="31"/>
      <c r="E758" s="31"/>
      <c r="F758" s="31"/>
      <c r="G758" s="96"/>
      <c r="H758" s="97"/>
      <c r="I758" s="31"/>
      <c r="J758" s="103" t="s">
        <v>275</v>
      </c>
      <c r="K758" s="104"/>
      <c r="L758" s="104"/>
      <c r="M758" s="104"/>
      <c r="N758" s="104"/>
      <c r="O758" s="104"/>
      <c r="P758" s="104"/>
      <c r="Q758" s="127"/>
      <c r="R758" s="103" t="s">
        <v>276</v>
      </c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27"/>
      <c r="AK758" s="98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99"/>
    </row>
    <row r="759" spans="2:61" ht="20.100000000000001" customHeight="1" x14ac:dyDescent="0.45">
      <c r="B759" s="123"/>
      <c r="C759" s="31"/>
      <c r="D759" s="31"/>
      <c r="E759" s="31"/>
      <c r="F759" s="31"/>
      <c r="G759" s="96"/>
      <c r="H759" s="97"/>
      <c r="I759" s="31"/>
      <c r="J759" s="103" t="s">
        <v>277</v>
      </c>
      <c r="K759" s="104"/>
      <c r="L759" s="104"/>
      <c r="M759" s="104"/>
      <c r="N759" s="104"/>
      <c r="O759" s="104"/>
      <c r="P759" s="104"/>
      <c r="Q759" s="127"/>
      <c r="R759" s="103" t="s">
        <v>278</v>
      </c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27"/>
      <c r="AK759" s="98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99"/>
    </row>
    <row r="760" spans="2:61" ht="20.100000000000001" customHeight="1" x14ac:dyDescent="0.45">
      <c r="B760" s="123"/>
      <c r="C760" s="31"/>
      <c r="D760" s="31"/>
      <c r="E760" s="31"/>
      <c r="F760" s="31"/>
      <c r="G760" s="96"/>
      <c r="H760" s="97"/>
      <c r="I760" s="31"/>
      <c r="J760" s="103" t="s">
        <v>279</v>
      </c>
      <c r="K760" s="104"/>
      <c r="L760" s="104"/>
      <c r="M760" s="104"/>
      <c r="N760" s="104"/>
      <c r="O760" s="104"/>
      <c r="P760" s="104"/>
      <c r="Q760" s="127"/>
      <c r="R760" s="103" t="s">
        <v>280</v>
      </c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27"/>
      <c r="AK760" s="98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99"/>
    </row>
    <row r="761" spans="2:61" ht="20.100000000000001" customHeight="1" x14ac:dyDescent="0.45">
      <c r="B761" s="123"/>
      <c r="C761" s="31"/>
      <c r="D761" s="31"/>
      <c r="E761" s="31"/>
      <c r="F761" s="31"/>
      <c r="G761" s="96"/>
      <c r="H761" s="97"/>
      <c r="I761" s="31"/>
      <c r="J761" s="103" t="s">
        <v>281</v>
      </c>
      <c r="K761" s="104"/>
      <c r="L761" s="104"/>
      <c r="M761" s="104"/>
      <c r="N761" s="104"/>
      <c r="O761" s="104"/>
      <c r="P761" s="104"/>
      <c r="Q761" s="127"/>
      <c r="R761" s="103" t="s">
        <v>282</v>
      </c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27"/>
      <c r="AK761" s="98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99"/>
    </row>
    <row r="762" spans="2:61" ht="20.100000000000001" customHeight="1" x14ac:dyDescent="0.45">
      <c r="B762" s="123"/>
      <c r="C762" s="31"/>
      <c r="D762" s="31"/>
      <c r="E762" s="31"/>
      <c r="F762" s="31"/>
      <c r="G762" s="96"/>
      <c r="H762" s="97"/>
      <c r="I762" s="31"/>
      <c r="J762" s="103" t="s">
        <v>283</v>
      </c>
      <c r="K762" s="104"/>
      <c r="L762" s="104"/>
      <c r="M762" s="104"/>
      <c r="N762" s="104"/>
      <c r="O762" s="104"/>
      <c r="P762" s="104"/>
      <c r="Q762" s="127"/>
      <c r="R762" s="103" t="s">
        <v>284</v>
      </c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27"/>
      <c r="AK762" s="98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99"/>
    </row>
    <row r="763" spans="2:61" ht="20.100000000000001" customHeight="1" x14ac:dyDescent="0.45">
      <c r="B763" s="123"/>
      <c r="C763" s="31"/>
      <c r="D763" s="31"/>
      <c r="E763" s="31"/>
      <c r="F763" s="31"/>
      <c r="G763" s="96"/>
      <c r="H763" s="97"/>
      <c r="I763" s="31"/>
      <c r="J763" s="103" t="s">
        <v>285</v>
      </c>
      <c r="K763" s="104"/>
      <c r="L763" s="104"/>
      <c r="M763" s="104"/>
      <c r="N763" s="104"/>
      <c r="O763" s="104"/>
      <c r="P763" s="104"/>
      <c r="Q763" s="127"/>
      <c r="R763" s="103" t="s">
        <v>286</v>
      </c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27"/>
      <c r="AK763" s="98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99"/>
    </row>
    <row r="764" spans="2:61" ht="20.100000000000001" customHeight="1" x14ac:dyDescent="0.45">
      <c r="B764" s="123"/>
      <c r="C764" s="31"/>
      <c r="D764" s="31"/>
      <c r="E764" s="31"/>
      <c r="F764" s="31"/>
      <c r="G764" s="96"/>
      <c r="H764" s="97"/>
      <c r="I764" s="31"/>
      <c r="J764" s="103" t="s">
        <v>287</v>
      </c>
      <c r="K764" s="104"/>
      <c r="L764" s="104"/>
      <c r="M764" s="104"/>
      <c r="N764" s="104"/>
      <c r="O764" s="104"/>
      <c r="P764" s="104"/>
      <c r="Q764" s="127"/>
      <c r="R764" s="103" t="s">
        <v>288</v>
      </c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27"/>
      <c r="AK764" s="98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99"/>
    </row>
    <row r="765" spans="2:61" ht="20.100000000000001" customHeight="1" x14ac:dyDescent="0.45">
      <c r="B765" s="123"/>
      <c r="C765" s="31"/>
      <c r="D765" s="31"/>
      <c r="E765" s="31"/>
      <c r="F765" s="31"/>
      <c r="G765" s="96"/>
      <c r="H765" s="97"/>
      <c r="I765" s="31"/>
      <c r="J765" s="103" t="s">
        <v>289</v>
      </c>
      <c r="K765" s="104"/>
      <c r="L765" s="104"/>
      <c r="M765" s="104"/>
      <c r="N765" s="104"/>
      <c r="O765" s="104"/>
      <c r="P765" s="104"/>
      <c r="Q765" s="127"/>
      <c r="R765" s="103" t="s">
        <v>290</v>
      </c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27"/>
      <c r="AK765" s="98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99"/>
    </row>
    <row r="766" spans="2:61" ht="20.100000000000001" customHeight="1" x14ac:dyDescent="0.45">
      <c r="B766" s="123"/>
      <c r="C766" s="31"/>
      <c r="D766" s="31"/>
      <c r="E766" s="31"/>
      <c r="F766" s="31"/>
      <c r="G766" s="96"/>
      <c r="H766" s="97"/>
      <c r="I766" s="31"/>
      <c r="J766" s="103" t="s">
        <v>200</v>
      </c>
      <c r="K766" s="104"/>
      <c r="L766" s="104"/>
      <c r="M766" s="104"/>
      <c r="N766" s="104"/>
      <c r="O766" s="104"/>
      <c r="P766" s="104"/>
      <c r="Q766" s="127"/>
      <c r="R766" s="103" t="s">
        <v>291</v>
      </c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27"/>
      <c r="AK766" s="98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99"/>
    </row>
    <row r="767" spans="2:61" ht="20.100000000000001" customHeight="1" x14ac:dyDescent="0.45">
      <c r="B767" s="123"/>
      <c r="C767" s="31"/>
      <c r="D767" s="31"/>
      <c r="E767" s="31"/>
      <c r="F767" s="31"/>
      <c r="G767" s="96"/>
      <c r="H767" s="97"/>
      <c r="I767" s="31"/>
      <c r="J767" s="103" t="s">
        <v>292</v>
      </c>
      <c r="K767" s="104"/>
      <c r="L767" s="104"/>
      <c r="M767" s="104"/>
      <c r="N767" s="104"/>
      <c r="O767" s="104"/>
      <c r="P767" s="104"/>
      <c r="Q767" s="127"/>
      <c r="R767" s="103" t="s">
        <v>293</v>
      </c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27"/>
      <c r="AK767" s="98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99"/>
    </row>
    <row r="768" spans="2:61" ht="20.100000000000001" customHeight="1" x14ac:dyDescent="0.45">
      <c r="B768" s="123"/>
      <c r="C768" s="31"/>
      <c r="D768" s="31"/>
      <c r="E768" s="31"/>
      <c r="F768" s="31"/>
      <c r="G768" s="96"/>
      <c r="H768" s="97"/>
      <c r="I768" s="31"/>
      <c r="J768" s="103" t="s">
        <v>294</v>
      </c>
      <c r="K768" s="104"/>
      <c r="L768" s="104"/>
      <c r="M768" s="104"/>
      <c r="N768" s="104"/>
      <c r="O768" s="104"/>
      <c r="P768" s="104"/>
      <c r="Q768" s="127"/>
      <c r="R768" s="103" t="s">
        <v>295</v>
      </c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27"/>
      <c r="AK768" s="98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99"/>
    </row>
    <row r="769" spans="2:61" ht="20.100000000000001" customHeight="1" x14ac:dyDescent="0.45">
      <c r="B769" s="123"/>
      <c r="C769" s="31"/>
      <c r="D769" s="31"/>
      <c r="E769" s="31"/>
      <c r="F769" s="31"/>
      <c r="G769" s="96"/>
      <c r="H769" s="97"/>
      <c r="I769" s="31"/>
      <c r="J769" s="103" t="s">
        <v>296</v>
      </c>
      <c r="K769" s="104"/>
      <c r="L769" s="104"/>
      <c r="M769" s="104"/>
      <c r="N769" s="104"/>
      <c r="O769" s="104"/>
      <c r="P769" s="104"/>
      <c r="Q769" s="127"/>
      <c r="R769" s="103" t="s">
        <v>297</v>
      </c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27"/>
      <c r="AK769" s="98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99"/>
    </row>
    <row r="770" spans="2:61" ht="20.100000000000001" customHeight="1" x14ac:dyDescent="0.45">
      <c r="B770" s="123"/>
      <c r="C770" s="31"/>
      <c r="D770" s="31"/>
      <c r="E770" s="31"/>
      <c r="F770" s="31"/>
      <c r="G770" s="96"/>
      <c r="H770" s="97"/>
      <c r="I770" s="31"/>
      <c r="J770" s="103" t="s">
        <v>298</v>
      </c>
      <c r="K770" s="104"/>
      <c r="L770" s="104"/>
      <c r="M770" s="104"/>
      <c r="N770" s="104"/>
      <c r="O770" s="104"/>
      <c r="P770" s="104"/>
      <c r="Q770" s="127"/>
      <c r="R770" s="103" t="s">
        <v>299</v>
      </c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27"/>
      <c r="AK770" s="98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99"/>
    </row>
    <row r="771" spans="2:61" ht="20.100000000000001" customHeight="1" x14ac:dyDescent="0.45">
      <c r="B771" s="123"/>
      <c r="C771" s="31"/>
      <c r="D771" s="31"/>
      <c r="E771" s="31"/>
      <c r="F771" s="31"/>
      <c r="G771" s="96"/>
      <c r="H771" s="97"/>
      <c r="I771" s="31"/>
      <c r="J771" s="103" t="s">
        <v>300</v>
      </c>
      <c r="K771" s="104"/>
      <c r="L771" s="104"/>
      <c r="M771" s="104"/>
      <c r="N771" s="104"/>
      <c r="O771" s="104"/>
      <c r="P771" s="104"/>
      <c r="Q771" s="127"/>
      <c r="R771" s="103" t="s">
        <v>301</v>
      </c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27"/>
      <c r="AK771" s="98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99"/>
    </row>
    <row r="772" spans="2:61" ht="20.100000000000001" customHeight="1" x14ac:dyDescent="0.45">
      <c r="B772" s="123"/>
      <c r="C772" s="31"/>
      <c r="D772" s="31"/>
      <c r="E772" s="31"/>
      <c r="F772" s="31"/>
      <c r="G772" s="96"/>
      <c r="H772" s="97"/>
      <c r="I772" s="31"/>
      <c r="J772" s="103" t="s">
        <v>302</v>
      </c>
      <c r="K772" s="104"/>
      <c r="L772" s="104"/>
      <c r="M772" s="104"/>
      <c r="N772" s="104"/>
      <c r="O772" s="104"/>
      <c r="P772" s="104"/>
      <c r="Q772" s="127"/>
      <c r="R772" s="103" t="s">
        <v>303</v>
      </c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27"/>
      <c r="AK772" s="98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99"/>
    </row>
    <row r="773" spans="2:61" ht="20.100000000000001" customHeight="1" x14ac:dyDescent="0.45">
      <c r="B773" s="123"/>
      <c r="C773" s="31"/>
      <c r="D773" s="31"/>
      <c r="E773" s="31"/>
      <c r="F773" s="31"/>
      <c r="G773" s="96"/>
      <c r="H773" s="97"/>
      <c r="I773" s="31"/>
      <c r="J773" s="103" t="s">
        <v>304</v>
      </c>
      <c r="K773" s="104"/>
      <c r="L773" s="104"/>
      <c r="M773" s="104"/>
      <c r="N773" s="104"/>
      <c r="O773" s="104"/>
      <c r="P773" s="104"/>
      <c r="Q773" s="127"/>
      <c r="R773" s="103" t="s">
        <v>305</v>
      </c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27"/>
      <c r="AK773" s="98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99"/>
    </row>
    <row r="774" spans="2:61" ht="20.100000000000001" customHeight="1" x14ac:dyDescent="0.45">
      <c r="B774" s="123"/>
      <c r="C774" s="31"/>
      <c r="D774" s="31"/>
      <c r="E774" s="31"/>
      <c r="F774" s="31"/>
      <c r="G774" s="96"/>
      <c r="H774" s="97"/>
      <c r="I774" s="31"/>
      <c r="J774" s="103" t="s">
        <v>306</v>
      </c>
      <c r="K774" s="104"/>
      <c r="L774" s="104"/>
      <c r="M774" s="104"/>
      <c r="N774" s="104"/>
      <c r="O774" s="104"/>
      <c r="P774" s="104"/>
      <c r="Q774" s="127"/>
      <c r="R774" s="103" t="s">
        <v>307</v>
      </c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27"/>
      <c r="AK774" s="98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99"/>
    </row>
    <row r="775" spans="2:61" ht="20.100000000000001" customHeight="1" x14ac:dyDescent="0.45">
      <c r="B775" s="123"/>
      <c r="C775" s="31"/>
      <c r="D775" s="31"/>
      <c r="E775" s="31"/>
      <c r="F775" s="31"/>
      <c r="G775" s="96"/>
      <c r="H775" s="97"/>
      <c r="I775" s="31"/>
      <c r="J775" s="103" t="s">
        <v>308</v>
      </c>
      <c r="K775" s="104"/>
      <c r="L775" s="104"/>
      <c r="M775" s="104"/>
      <c r="N775" s="104"/>
      <c r="O775" s="104"/>
      <c r="P775" s="104"/>
      <c r="Q775" s="127"/>
      <c r="R775" s="103" t="s">
        <v>309</v>
      </c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27"/>
      <c r="AK775" s="98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99"/>
    </row>
    <row r="776" spans="2:61" ht="20.100000000000001" customHeight="1" x14ac:dyDescent="0.45">
      <c r="B776" s="123"/>
      <c r="C776" s="31"/>
      <c r="D776" s="31"/>
      <c r="E776" s="31"/>
      <c r="F776" s="31"/>
      <c r="G776" s="96"/>
      <c r="H776" s="97"/>
      <c r="I776" s="31"/>
      <c r="J776" s="97" t="s">
        <v>765</v>
      </c>
      <c r="K776" s="31"/>
      <c r="L776" s="31"/>
      <c r="M776" s="31"/>
      <c r="N776" s="31"/>
      <c r="O776" s="31"/>
      <c r="P776" s="31"/>
      <c r="Q776" s="31"/>
      <c r="R776" s="124" t="s">
        <v>766</v>
      </c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98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99"/>
    </row>
    <row r="777" spans="2:61" ht="20.100000000000001" customHeight="1" x14ac:dyDescent="0.45">
      <c r="B777" s="123"/>
      <c r="C777" s="31"/>
      <c r="D777" s="31"/>
      <c r="E777" s="31"/>
      <c r="F777" s="31"/>
      <c r="G777" s="96"/>
      <c r="H777" s="100" t="s">
        <v>52</v>
      </c>
      <c r="I777" s="55"/>
      <c r="J777" s="100" t="s">
        <v>767</v>
      </c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101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102"/>
    </row>
    <row r="778" spans="2:61" ht="20.100000000000001" customHeight="1" x14ac:dyDescent="0.45">
      <c r="B778" s="123"/>
      <c r="C778" s="31"/>
      <c r="D778" s="31"/>
      <c r="E778" s="31"/>
      <c r="F778" s="31"/>
      <c r="G778" s="96"/>
      <c r="H778" s="100" t="s">
        <v>53</v>
      </c>
      <c r="I778" s="55"/>
      <c r="J778" s="100" t="s">
        <v>768</v>
      </c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101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102"/>
    </row>
    <row r="779" spans="2:61" ht="20.100000000000001" customHeight="1" x14ac:dyDescent="0.45">
      <c r="B779" s="123"/>
      <c r="C779" s="31"/>
      <c r="D779" s="31"/>
      <c r="E779" s="31"/>
      <c r="F779" s="31"/>
      <c r="G779" s="96"/>
      <c r="H779" s="97"/>
      <c r="I779" s="31"/>
      <c r="J779" s="97"/>
      <c r="K779" s="31" t="s">
        <v>769</v>
      </c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98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99"/>
    </row>
    <row r="780" spans="2:61" ht="20.100000000000001" customHeight="1" x14ac:dyDescent="0.45">
      <c r="B780" s="123"/>
      <c r="C780" s="31"/>
      <c r="D780" s="31"/>
      <c r="E780" s="31"/>
      <c r="F780" s="31"/>
      <c r="G780" s="96"/>
      <c r="H780" s="97"/>
      <c r="I780" s="31"/>
      <c r="J780" s="97"/>
      <c r="K780" s="31" t="s">
        <v>770</v>
      </c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98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99"/>
    </row>
    <row r="781" spans="2:61" ht="20.100000000000001" customHeight="1" x14ac:dyDescent="0.45">
      <c r="B781" s="123"/>
      <c r="C781" s="31"/>
      <c r="D781" s="31"/>
      <c r="E781" s="31"/>
      <c r="F781" s="31"/>
      <c r="G781" s="96"/>
      <c r="H781" s="97"/>
      <c r="I781" s="31"/>
      <c r="J781" s="97"/>
      <c r="K781" s="31" t="s">
        <v>771</v>
      </c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98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99"/>
    </row>
    <row r="782" spans="2:61" ht="20.100000000000001" customHeight="1" x14ac:dyDescent="0.45">
      <c r="B782" s="123"/>
      <c r="C782" s="31"/>
      <c r="D782" s="31"/>
      <c r="E782" s="31"/>
      <c r="F782" s="31"/>
      <c r="G782" s="96"/>
      <c r="H782" s="97"/>
      <c r="I782" s="31"/>
      <c r="J782" s="97"/>
      <c r="K782" s="31" t="s">
        <v>772</v>
      </c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98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99"/>
    </row>
    <row r="783" spans="2:61" ht="20.100000000000001" customHeight="1" thickBot="1" x14ac:dyDescent="0.5">
      <c r="B783" s="95"/>
      <c r="C783" s="31"/>
      <c r="D783" s="31"/>
      <c r="E783" s="31"/>
      <c r="F783" s="31"/>
      <c r="G783" s="96"/>
      <c r="H783" s="100" t="s">
        <v>233</v>
      </c>
      <c r="I783" s="55"/>
      <c r="J783" s="161" t="s">
        <v>773</v>
      </c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101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102"/>
    </row>
    <row r="784" spans="2:61" ht="20.100000000000001" customHeight="1" x14ac:dyDescent="0.45">
      <c r="B784" s="89" t="s">
        <v>770</v>
      </c>
      <c r="C784" s="90"/>
      <c r="D784" s="90"/>
      <c r="E784" s="90"/>
      <c r="F784" s="90"/>
      <c r="G784" s="91"/>
      <c r="H784" s="92" t="s">
        <v>83</v>
      </c>
      <c r="I784" s="90"/>
      <c r="J784" s="120" t="s">
        <v>186</v>
      </c>
      <c r="K784" s="121"/>
      <c r="L784" s="121"/>
      <c r="M784" s="121"/>
      <c r="N784" s="121"/>
      <c r="O784" s="121"/>
      <c r="P784" s="121"/>
      <c r="Q784" s="122"/>
      <c r="R784" s="121" t="s">
        <v>241</v>
      </c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2"/>
      <c r="AK784" s="93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4"/>
    </row>
    <row r="785" spans="2:61" ht="20.100000000000001" customHeight="1" x14ac:dyDescent="0.45">
      <c r="B785" s="123"/>
      <c r="C785" s="31"/>
      <c r="D785" s="31"/>
      <c r="E785" s="31"/>
      <c r="F785" s="31"/>
      <c r="G785" s="96"/>
      <c r="H785" s="97"/>
      <c r="I785" s="31"/>
      <c r="J785" s="103" t="s">
        <v>243</v>
      </c>
      <c r="K785" s="104"/>
      <c r="L785" s="104"/>
      <c r="M785" s="104"/>
      <c r="N785" s="104"/>
      <c r="O785" s="104"/>
      <c r="P785" s="104"/>
      <c r="Q785" s="127"/>
      <c r="R785" s="160" t="s">
        <v>244</v>
      </c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27"/>
      <c r="AK785" s="98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99"/>
    </row>
    <row r="786" spans="2:61" ht="20.100000000000001" customHeight="1" x14ac:dyDescent="0.45">
      <c r="B786" s="123"/>
      <c r="C786" s="31"/>
      <c r="D786" s="31"/>
      <c r="E786" s="31"/>
      <c r="F786" s="31"/>
      <c r="G786" s="96"/>
      <c r="H786" s="97"/>
      <c r="I786" s="31"/>
      <c r="J786" s="103" t="s">
        <v>246</v>
      </c>
      <c r="K786" s="104"/>
      <c r="L786" s="104"/>
      <c r="M786" s="104"/>
      <c r="N786" s="104"/>
      <c r="O786" s="104"/>
      <c r="P786" s="104"/>
      <c r="Q786" s="127"/>
      <c r="R786" s="160" t="s">
        <v>758</v>
      </c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27"/>
      <c r="AK786" s="98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99"/>
    </row>
    <row r="787" spans="2:61" ht="20.100000000000001" customHeight="1" x14ac:dyDescent="0.45">
      <c r="B787" s="123"/>
      <c r="C787" s="31"/>
      <c r="D787" s="31"/>
      <c r="E787" s="31"/>
      <c r="F787" s="31"/>
      <c r="G787" s="96"/>
      <c r="H787" s="97"/>
      <c r="I787" s="31"/>
      <c r="J787" s="103" t="s">
        <v>774</v>
      </c>
      <c r="K787" s="104"/>
      <c r="L787" s="104"/>
      <c r="M787" s="104"/>
      <c r="N787" s="104"/>
      <c r="O787" s="104"/>
      <c r="P787" s="104"/>
      <c r="Q787" s="127"/>
      <c r="R787" s="104" t="s">
        <v>775</v>
      </c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27"/>
      <c r="AK787" s="98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99"/>
    </row>
    <row r="788" spans="2:61" ht="20.100000000000001" customHeight="1" x14ac:dyDescent="0.45">
      <c r="B788" s="123"/>
      <c r="C788" s="31"/>
      <c r="D788" s="31"/>
      <c r="E788" s="31"/>
      <c r="F788" s="31"/>
      <c r="G788" s="96"/>
      <c r="H788" s="100" t="s">
        <v>52</v>
      </c>
      <c r="I788" s="55"/>
      <c r="J788" s="100" t="s">
        <v>759</v>
      </c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101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102"/>
    </row>
    <row r="789" spans="2:61" ht="20.100000000000001" customHeight="1" thickBot="1" x14ac:dyDescent="0.5">
      <c r="B789" s="95"/>
      <c r="C789" s="31"/>
      <c r="D789" s="31"/>
      <c r="E789" s="31"/>
      <c r="F789" s="31"/>
      <c r="G789" s="96"/>
      <c r="H789" s="100" t="s">
        <v>541</v>
      </c>
      <c r="I789" s="55"/>
      <c r="J789" s="161" t="s">
        <v>760</v>
      </c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101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102"/>
    </row>
    <row r="790" spans="2:61" ht="20.100000000000001" customHeight="1" x14ac:dyDescent="0.45">
      <c r="B790" s="89" t="s">
        <v>776</v>
      </c>
      <c r="C790" s="90"/>
      <c r="D790" s="90"/>
      <c r="E790" s="90"/>
      <c r="F790" s="90"/>
      <c r="G790" s="91"/>
      <c r="H790" s="92" t="s">
        <v>777</v>
      </c>
      <c r="I790" s="90"/>
      <c r="J790" s="120" t="s">
        <v>59</v>
      </c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2"/>
      <c r="AK790" s="93" t="s">
        <v>778</v>
      </c>
      <c r="AL790" s="90"/>
      <c r="AM790" s="90"/>
      <c r="AN790" s="90"/>
      <c r="AO790" s="90"/>
      <c r="AP790" s="90"/>
      <c r="AQ790" s="163" t="s">
        <v>779</v>
      </c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4"/>
    </row>
    <row r="791" spans="2:61" ht="20.100000000000001" customHeight="1" x14ac:dyDescent="0.45">
      <c r="B791" s="123"/>
      <c r="C791" s="31"/>
      <c r="D791" s="31"/>
      <c r="E791" s="31"/>
      <c r="F791" s="31"/>
      <c r="G791" s="96"/>
      <c r="H791" s="100" t="s">
        <v>780</v>
      </c>
      <c r="I791" s="55"/>
      <c r="J791" s="100" t="s">
        <v>781</v>
      </c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101" t="s">
        <v>782</v>
      </c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102"/>
    </row>
    <row r="792" spans="2:61" ht="20.100000000000001" customHeight="1" thickBot="1" x14ac:dyDescent="0.5">
      <c r="B792" s="95"/>
      <c r="C792" s="31"/>
      <c r="D792" s="31"/>
      <c r="E792" s="31"/>
      <c r="F792" s="31"/>
      <c r="G792" s="96"/>
      <c r="H792" s="100" t="s">
        <v>54</v>
      </c>
      <c r="I792" s="55"/>
      <c r="J792" s="161" t="s">
        <v>783</v>
      </c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101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102"/>
    </row>
    <row r="793" spans="2:61" ht="20.100000000000001" customHeight="1" x14ac:dyDescent="0.45">
      <c r="B793" s="89" t="s">
        <v>784</v>
      </c>
      <c r="C793" s="90"/>
      <c r="D793" s="90"/>
      <c r="E793" s="90"/>
      <c r="F793" s="90"/>
      <c r="G793" s="91"/>
      <c r="H793" s="92" t="s">
        <v>83</v>
      </c>
      <c r="I793" s="90"/>
      <c r="J793" s="120" t="s">
        <v>785</v>
      </c>
      <c r="K793" s="121"/>
      <c r="L793" s="121"/>
      <c r="M793" s="121"/>
      <c r="N793" s="121"/>
      <c r="O793" s="121"/>
      <c r="P793" s="121"/>
      <c r="Q793" s="122"/>
      <c r="R793" s="120" t="s">
        <v>786</v>
      </c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2"/>
      <c r="AK793" s="93" t="s">
        <v>787</v>
      </c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4"/>
    </row>
    <row r="794" spans="2:61" ht="20.100000000000001" customHeight="1" x14ac:dyDescent="0.45">
      <c r="B794" s="123"/>
      <c r="C794" s="31"/>
      <c r="D794" s="31"/>
      <c r="E794" s="31"/>
      <c r="F794" s="31"/>
      <c r="G794" s="96"/>
      <c r="H794" s="97"/>
      <c r="I794" s="31"/>
      <c r="J794" s="103" t="s">
        <v>788</v>
      </c>
      <c r="K794" s="104"/>
      <c r="L794" s="104"/>
      <c r="M794" s="104"/>
      <c r="N794" s="104"/>
      <c r="O794" s="104"/>
      <c r="P794" s="104"/>
      <c r="Q794" s="127"/>
      <c r="R794" s="103" t="s">
        <v>789</v>
      </c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27"/>
      <c r="AK794" s="98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99"/>
    </row>
    <row r="795" spans="2:61" ht="20.100000000000001" customHeight="1" x14ac:dyDescent="0.45">
      <c r="B795" s="123"/>
      <c r="C795" s="31"/>
      <c r="D795" s="31"/>
      <c r="E795" s="31"/>
      <c r="F795" s="31"/>
      <c r="G795" s="96"/>
      <c r="H795" s="97"/>
      <c r="I795" s="31"/>
      <c r="J795" s="103" t="s">
        <v>790</v>
      </c>
      <c r="K795" s="104"/>
      <c r="L795" s="104"/>
      <c r="M795" s="104"/>
      <c r="N795" s="104"/>
      <c r="O795" s="104"/>
      <c r="P795" s="104"/>
      <c r="Q795" s="127"/>
      <c r="R795" s="103" t="s">
        <v>791</v>
      </c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27"/>
      <c r="AK795" s="98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99"/>
    </row>
    <row r="796" spans="2:61" ht="20.100000000000001" customHeight="1" x14ac:dyDescent="0.45">
      <c r="B796" s="123"/>
      <c r="C796" s="31"/>
      <c r="D796" s="31"/>
      <c r="E796" s="31"/>
      <c r="F796" s="31"/>
      <c r="G796" s="96"/>
      <c r="H796" s="97"/>
      <c r="I796" s="31"/>
      <c r="J796" s="103" t="s">
        <v>792</v>
      </c>
      <c r="K796" s="104"/>
      <c r="L796" s="104"/>
      <c r="M796" s="104"/>
      <c r="N796" s="104"/>
      <c r="O796" s="104"/>
      <c r="P796" s="104"/>
      <c r="Q796" s="127"/>
      <c r="R796" s="103" t="s">
        <v>793</v>
      </c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27"/>
      <c r="AK796" s="98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99"/>
    </row>
    <row r="797" spans="2:61" ht="20.100000000000001" customHeight="1" x14ac:dyDescent="0.45">
      <c r="B797" s="123"/>
      <c r="C797" s="31"/>
      <c r="D797" s="31"/>
      <c r="E797" s="31"/>
      <c r="F797" s="31"/>
      <c r="G797" s="96"/>
      <c r="H797" s="97"/>
      <c r="I797" s="31"/>
      <c r="J797" s="103" t="s">
        <v>680</v>
      </c>
      <c r="K797" s="104"/>
      <c r="L797" s="104"/>
      <c r="M797" s="104"/>
      <c r="N797" s="104"/>
      <c r="O797" s="104"/>
      <c r="P797" s="104"/>
      <c r="Q797" s="127"/>
      <c r="R797" s="103" t="s">
        <v>794</v>
      </c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27"/>
      <c r="AK797" s="98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99"/>
    </row>
    <row r="798" spans="2:61" ht="20.100000000000001" customHeight="1" x14ac:dyDescent="0.45">
      <c r="B798" s="123"/>
      <c r="C798" s="31"/>
      <c r="D798" s="31"/>
      <c r="E798" s="31"/>
      <c r="F798" s="31"/>
      <c r="G798" s="96"/>
      <c r="H798" s="97"/>
      <c r="I798" s="31"/>
      <c r="J798" s="103" t="s">
        <v>682</v>
      </c>
      <c r="K798" s="104"/>
      <c r="L798" s="104"/>
      <c r="M798" s="104"/>
      <c r="N798" s="104"/>
      <c r="O798" s="104"/>
      <c r="P798" s="104"/>
      <c r="Q798" s="127"/>
      <c r="R798" s="103" t="s">
        <v>795</v>
      </c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27"/>
      <c r="AK798" s="98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99"/>
    </row>
    <row r="799" spans="2:61" ht="20.100000000000001" customHeight="1" x14ac:dyDescent="0.45">
      <c r="B799" s="123"/>
      <c r="C799" s="31"/>
      <c r="D799" s="31"/>
      <c r="E799" s="31"/>
      <c r="F799" s="31"/>
      <c r="G799" s="96"/>
      <c r="H799" s="100" t="s">
        <v>52</v>
      </c>
      <c r="I799" s="55"/>
      <c r="J799" s="100" t="s">
        <v>796</v>
      </c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101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102"/>
    </row>
    <row r="800" spans="2:61" ht="20.100000000000001" customHeight="1" thickBot="1" x14ac:dyDescent="0.5">
      <c r="B800" s="95"/>
      <c r="C800" s="31"/>
      <c r="D800" s="31"/>
      <c r="E800" s="31"/>
      <c r="F800" s="31"/>
      <c r="G800" s="96"/>
      <c r="H800" s="100" t="s">
        <v>54</v>
      </c>
      <c r="I800" s="55"/>
      <c r="J800" s="161" t="s">
        <v>797</v>
      </c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101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102"/>
    </row>
    <row r="801" spans="2:61" ht="20.100000000000001" customHeight="1" x14ac:dyDescent="0.45">
      <c r="B801" s="89" t="s">
        <v>798</v>
      </c>
      <c r="C801" s="90"/>
      <c r="D801" s="90"/>
      <c r="E801" s="90"/>
      <c r="F801" s="90"/>
      <c r="G801" s="91"/>
      <c r="H801" s="92" t="s">
        <v>83</v>
      </c>
      <c r="I801" s="90"/>
      <c r="J801" s="120" t="s">
        <v>799</v>
      </c>
      <c r="K801" s="121"/>
      <c r="L801" s="121"/>
      <c r="M801" s="121"/>
      <c r="N801" s="121"/>
      <c r="O801" s="121"/>
      <c r="P801" s="121"/>
      <c r="Q801" s="122"/>
      <c r="R801" s="120" t="s">
        <v>800</v>
      </c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2"/>
      <c r="AK801" s="93" t="s">
        <v>787</v>
      </c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4"/>
    </row>
    <row r="802" spans="2:61" ht="20.100000000000001" customHeight="1" x14ac:dyDescent="0.45">
      <c r="B802" s="123"/>
      <c r="C802" s="31"/>
      <c r="D802" s="31"/>
      <c r="E802" s="31"/>
      <c r="F802" s="31"/>
      <c r="G802" s="96"/>
      <c r="H802" s="97"/>
      <c r="I802" s="31"/>
      <c r="J802" s="103" t="s">
        <v>753</v>
      </c>
      <c r="K802" s="104"/>
      <c r="L802" s="104"/>
      <c r="M802" s="104"/>
      <c r="N802" s="104"/>
      <c r="O802" s="104"/>
      <c r="P802" s="104"/>
      <c r="Q802" s="127"/>
      <c r="R802" s="103" t="s">
        <v>801</v>
      </c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27"/>
      <c r="AK802" s="98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99"/>
    </row>
    <row r="803" spans="2:61" ht="20.100000000000001" customHeight="1" x14ac:dyDescent="0.45">
      <c r="B803" s="123"/>
      <c r="C803" s="31"/>
      <c r="D803" s="31"/>
      <c r="E803" s="31"/>
      <c r="F803" s="31"/>
      <c r="G803" s="96"/>
      <c r="H803" s="97"/>
      <c r="I803" s="31"/>
      <c r="J803" s="103" t="s">
        <v>680</v>
      </c>
      <c r="K803" s="104"/>
      <c r="L803" s="104"/>
      <c r="M803" s="104"/>
      <c r="N803" s="104"/>
      <c r="O803" s="104"/>
      <c r="P803" s="104"/>
      <c r="Q803" s="127"/>
      <c r="R803" s="103" t="s">
        <v>802</v>
      </c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27"/>
      <c r="AK803" s="98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99"/>
    </row>
    <row r="804" spans="2:61" ht="20.100000000000001" customHeight="1" x14ac:dyDescent="0.45">
      <c r="B804" s="123"/>
      <c r="C804" s="31"/>
      <c r="D804" s="31"/>
      <c r="E804" s="31"/>
      <c r="F804" s="31"/>
      <c r="G804" s="96"/>
      <c r="H804" s="97"/>
      <c r="I804" s="31"/>
      <c r="J804" s="103" t="s">
        <v>682</v>
      </c>
      <c r="K804" s="104"/>
      <c r="L804" s="104"/>
      <c r="M804" s="104"/>
      <c r="N804" s="104"/>
      <c r="O804" s="104"/>
      <c r="P804" s="104"/>
      <c r="Q804" s="127"/>
      <c r="R804" s="103" t="s">
        <v>803</v>
      </c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27"/>
      <c r="AK804" s="98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99"/>
    </row>
    <row r="805" spans="2:61" ht="20.100000000000001" customHeight="1" x14ac:dyDescent="0.45">
      <c r="B805" s="123"/>
      <c r="C805" s="31"/>
      <c r="D805" s="31"/>
      <c r="E805" s="31"/>
      <c r="F805" s="31"/>
      <c r="G805" s="96"/>
      <c r="H805" s="97"/>
      <c r="I805" s="31"/>
      <c r="J805" s="103" t="s">
        <v>804</v>
      </c>
      <c r="K805" s="104"/>
      <c r="L805" s="104"/>
      <c r="M805" s="104"/>
      <c r="N805" s="104"/>
      <c r="O805" s="104"/>
      <c r="P805" s="104"/>
      <c r="Q805" s="127"/>
      <c r="R805" s="103" t="s">
        <v>805</v>
      </c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27"/>
      <c r="AK805" s="98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99"/>
    </row>
    <row r="806" spans="2:61" ht="20.100000000000001" customHeight="1" x14ac:dyDescent="0.45">
      <c r="B806" s="123"/>
      <c r="C806" s="31"/>
      <c r="D806" s="31"/>
      <c r="E806" s="31"/>
      <c r="F806" s="31"/>
      <c r="G806" s="96"/>
      <c r="H806" s="97"/>
      <c r="I806" s="31"/>
      <c r="J806" s="103" t="s">
        <v>687</v>
      </c>
      <c r="K806" s="104"/>
      <c r="L806" s="104"/>
      <c r="M806" s="104"/>
      <c r="N806" s="104"/>
      <c r="O806" s="104"/>
      <c r="P806" s="104"/>
      <c r="Q806" s="127"/>
      <c r="R806" s="103" t="s">
        <v>806</v>
      </c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27"/>
      <c r="AK806" s="98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99"/>
    </row>
    <row r="807" spans="2:61" ht="20.100000000000001" customHeight="1" x14ac:dyDescent="0.45">
      <c r="B807" s="123"/>
      <c r="C807" s="31"/>
      <c r="D807" s="31"/>
      <c r="E807" s="31"/>
      <c r="F807" s="31"/>
      <c r="G807" s="96"/>
      <c r="H807" s="97"/>
      <c r="I807" s="31"/>
      <c r="J807" s="103" t="s">
        <v>807</v>
      </c>
      <c r="K807" s="104"/>
      <c r="L807" s="104"/>
      <c r="M807" s="104"/>
      <c r="N807" s="104"/>
      <c r="O807" s="104"/>
      <c r="P807" s="104"/>
      <c r="Q807" s="127"/>
      <c r="R807" s="103" t="s">
        <v>808</v>
      </c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27"/>
      <c r="AK807" s="98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99"/>
    </row>
    <row r="808" spans="2:61" ht="20.100000000000001" customHeight="1" x14ac:dyDescent="0.45">
      <c r="B808" s="123"/>
      <c r="C808" s="31"/>
      <c r="D808" s="31"/>
      <c r="E808" s="31"/>
      <c r="F808" s="31"/>
      <c r="G808" s="96"/>
      <c r="H808" s="97"/>
      <c r="I808" s="31"/>
      <c r="J808" s="103" t="s">
        <v>809</v>
      </c>
      <c r="K808" s="104"/>
      <c r="L808" s="104"/>
      <c r="M808" s="104"/>
      <c r="N808" s="104"/>
      <c r="O808" s="104"/>
      <c r="P808" s="104"/>
      <c r="Q808" s="127"/>
      <c r="R808" s="103" t="s">
        <v>810</v>
      </c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27"/>
      <c r="AK808" s="98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99"/>
    </row>
    <row r="809" spans="2:61" ht="20.100000000000001" customHeight="1" x14ac:dyDescent="0.45">
      <c r="B809" s="123"/>
      <c r="C809" s="31"/>
      <c r="D809" s="31"/>
      <c r="E809" s="31"/>
      <c r="F809" s="31"/>
      <c r="G809" s="96"/>
      <c r="H809" s="100" t="s">
        <v>52</v>
      </c>
      <c r="I809" s="55"/>
      <c r="J809" s="100" t="s">
        <v>811</v>
      </c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101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102"/>
    </row>
    <row r="810" spans="2:61" ht="20.100000000000001" customHeight="1" thickBot="1" x14ac:dyDescent="0.5">
      <c r="B810" s="95"/>
      <c r="C810" s="31"/>
      <c r="D810" s="31"/>
      <c r="E810" s="31"/>
      <c r="F810" s="31"/>
      <c r="G810" s="96"/>
      <c r="H810" s="100" t="s">
        <v>54</v>
      </c>
      <c r="I810" s="55"/>
      <c r="J810" s="161" t="s">
        <v>812</v>
      </c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101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102"/>
    </row>
    <row r="811" spans="2:61" ht="5.0999999999999996" customHeight="1" x14ac:dyDescent="0.45"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41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55.5" style="29" bestFit="1" customWidth="1"/>
    <col min="5" max="5" width="32" style="29" bestFit="1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4" t="s">
        <v>21</v>
      </c>
      <c r="E3" s="78" t="s">
        <v>50</v>
      </c>
    </row>
    <row r="4" spans="2:6" x14ac:dyDescent="0.45">
      <c r="B4" s="37">
        <v>1</v>
      </c>
      <c r="C4" s="128"/>
      <c r="D4" s="82"/>
      <c r="E4" s="81"/>
      <c r="F4"/>
    </row>
    <row r="5" spans="2:6" x14ac:dyDescent="0.45">
      <c r="B5" s="37">
        <v>2</v>
      </c>
      <c r="C5" s="128"/>
      <c r="D5" s="80"/>
      <c r="E5" s="81"/>
      <c r="F5"/>
    </row>
    <row r="6" spans="2:6" x14ac:dyDescent="0.45">
      <c r="B6" s="37">
        <v>3</v>
      </c>
      <c r="C6" s="128"/>
      <c r="D6" s="82"/>
      <c r="E6" s="81"/>
      <c r="F6"/>
    </row>
    <row r="7" spans="2:6" x14ac:dyDescent="0.45">
      <c r="B7" s="37">
        <v>4</v>
      </c>
      <c r="C7" s="79"/>
      <c r="D7" s="82"/>
      <c r="E7" s="81"/>
    </row>
    <row r="8" spans="2:6" x14ac:dyDescent="0.45">
      <c r="B8" s="37">
        <v>5</v>
      </c>
      <c r="C8" s="79"/>
      <c r="D8" s="82"/>
      <c r="E8" s="81"/>
    </row>
    <row r="9" spans="2:6" x14ac:dyDescent="0.45">
      <c r="B9" s="37">
        <v>6</v>
      </c>
      <c r="C9" s="79"/>
      <c r="D9" s="82"/>
      <c r="E9" s="81"/>
    </row>
    <row r="10" spans="2:6" x14ac:dyDescent="0.45">
      <c r="B10" s="37">
        <v>7</v>
      </c>
      <c r="C10" s="79"/>
      <c r="D10" s="82"/>
      <c r="E10" s="81"/>
    </row>
    <row r="11" spans="2:6" x14ac:dyDescent="0.45">
      <c r="B11" s="37">
        <v>8</v>
      </c>
      <c r="C11" s="79"/>
      <c r="D11" s="82"/>
      <c r="E11" s="81"/>
    </row>
    <row r="12" spans="2:6" x14ac:dyDescent="0.45">
      <c r="B12" s="37">
        <v>9</v>
      </c>
      <c r="C12" s="79"/>
      <c r="D12" s="82"/>
      <c r="E12" s="81"/>
    </row>
    <row r="13" spans="2:6" x14ac:dyDescent="0.45">
      <c r="B13" s="37">
        <v>10</v>
      </c>
      <c r="C13" s="79"/>
      <c r="D13" s="82"/>
      <c r="E13" s="81"/>
    </row>
    <row r="14" spans="2:6" x14ac:dyDescent="0.45">
      <c r="B14" s="37">
        <v>11</v>
      </c>
      <c r="C14" s="79"/>
      <c r="D14" s="82"/>
      <c r="E14" s="81"/>
    </row>
    <row r="15" spans="2:6" x14ac:dyDescent="0.45">
      <c r="B15" s="37">
        <v>12</v>
      </c>
      <c r="C15" s="79"/>
      <c r="D15" s="82"/>
      <c r="E15" s="81"/>
    </row>
    <row r="16" spans="2:6" x14ac:dyDescent="0.45">
      <c r="B16" s="37">
        <v>13</v>
      </c>
      <c r="C16" s="79"/>
      <c r="D16" s="82"/>
      <c r="E16" s="81"/>
    </row>
    <row r="17" spans="2:5" x14ac:dyDescent="0.45">
      <c r="B17" s="37">
        <v>14</v>
      </c>
      <c r="C17" s="79"/>
      <c r="D17" s="82"/>
      <c r="E17" s="81"/>
    </row>
    <row r="18" spans="2:5" x14ac:dyDescent="0.45">
      <c r="B18" s="37">
        <v>15</v>
      </c>
      <c r="C18" s="79"/>
      <c r="D18" s="82"/>
      <c r="E18" s="81"/>
    </row>
    <row r="19" spans="2:5" x14ac:dyDescent="0.45">
      <c r="B19" s="37">
        <v>16</v>
      </c>
      <c r="C19" s="79"/>
      <c r="D19" s="82"/>
      <c r="E19" s="81"/>
    </row>
    <row r="20" spans="2:5" x14ac:dyDescent="0.45">
      <c r="B20" s="37">
        <v>17</v>
      </c>
      <c r="C20" s="79"/>
      <c r="D20" s="82"/>
      <c r="E20" s="81"/>
    </row>
    <row r="21" spans="2:5" x14ac:dyDescent="0.45">
      <c r="B21" s="37">
        <v>18</v>
      </c>
      <c r="C21" s="79"/>
      <c r="D21" s="82"/>
      <c r="E21" s="81"/>
    </row>
    <row r="22" spans="2:5" x14ac:dyDescent="0.45">
      <c r="B22" s="37">
        <v>19</v>
      </c>
      <c r="C22" s="79"/>
      <c r="D22" s="82"/>
      <c r="E22" s="81"/>
    </row>
    <row r="23" spans="2:5" x14ac:dyDescent="0.45">
      <c r="B23" s="37">
        <v>20</v>
      </c>
      <c r="C23" s="79"/>
      <c r="D23" s="82"/>
      <c r="E23" s="81"/>
    </row>
    <row r="24" spans="2:5" x14ac:dyDescent="0.45">
      <c r="B24" s="37">
        <v>21</v>
      </c>
      <c r="C24" s="79"/>
      <c r="D24" s="82"/>
      <c r="E24" s="81"/>
    </row>
    <row r="25" spans="2:5" x14ac:dyDescent="0.45">
      <c r="B25" s="37">
        <v>22</v>
      </c>
      <c r="C25" s="79"/>
      <c r="D25" s="82"/>
      <c r="E25" s="81"/>
    </row>
    <row r="26" spans="2:5" x14ac:dyDescent="0.45">
      <c r="B26" s="37">
        <v>23</v>
      </c>
      <c r="C26" s="79"/>
      <c r="D26" s="82"/>
      <c r="E26" s="81"/>
    </row>
    <row r="27" spans="2:5" x14ac:dyDescent="0.45">
      <c r="B27" s="37">
        <v>24</v>
      </c>
      <c r="C27" s="79"/>
      <c r="D27" s="82"/>
      <c r="E27" s="81"/>
    </row>
    <row r="28" spans="2:5" x14ac:dyDescent="0.45">
      <c r="B28" s="37">
        <v>25</v>
      </c>
      <c r="C28" s="79"/>
      <c r="D28" s="82"/>
      <c r="E28" s="81"/>
    </row>
    <row r="29" spans="2:5" x14ac:dyDescent="0.45">
      <c r="B29" s="37">
        <v>26</v>
      </c>
      <c r="C29" s="79"/>
      <c r="D29" s="82"/>
      <c r="E29" s="81"/>
    </row>
    <row r="30" spans="2:5" x14ac:dyDescent="0.45">
      <c r="B30" s="37">
        <v>27</v>
      </c>
      <c r="C30" s="79"/>
      <c r="D30" s="82"/>
      <c r="E30" s="81"/>
    </row>
    <row r="31" spans="2:5" x14ac:dyDescent="0.45">
      <c r="B31" s="37">
        <v>28</v>
      </c>
      <c r="C31" s="79"/>
      <c r="D31" s="82"/>
      <c r="E31" s="81"/>
    </row>
    <row r="32" spans="2:5" x14ac:dyDescent="0.45">
      <c r="B32" s="37">
        <v>29</v>
      </c>
      <c r="C32" s="79"/>
      <c r="D32" s="82"/>
      <c r="E32" s="81"/>
    </row>
    <row r="33" spans="2:5" x14ac:dyDescent="0.45">
      <c r="B33" s="37">
        <v>30</v>
      </c>
      <c r="C33" s="79"/>
      <c r="D33" s="82"/>
      <c r="E33" s="81"/>
    </row>
    <row r="34" spans="2:5" x14ac:dyDescent="0.45">
      <c r="B34" s="37">
        <v>31</v>
      </c>
      <c r="C34" s="79"/>
      <c r="D34" s="82"/>
      <c r="E34" s="81"/>
    </row>
    <row r="35" spans="2:5" x14ac:dyDescent="0.45">
      <c r="B35" s="37">
        <v>32</v>
      </c>
      <c r="C35" s="79"/>
      <c r="D35" s="82"/>
      <c r="E35" s="81"/>
    </row>
    <row r="36" spans="2:5" x14ac:dyDescent="0.45">
      <c r="B36" s="37">
        <v>33</v>
      </c>
      <c r="C36" s="79"/>
      <c r="D36" s="82"/>
      <c r="E36" s="81"/>
    </row>
    <row r="37" spans="2:5" x14ac:dyDescent="0.45">
      <c r="B37" s="37">
        <v>34</v>
      </c>
      <c r="C37" s="79"/>
      <c r="D37" s="82"/>
      <c r="E37" s="81"/>
    </row>
    <row r="38" spans="2:5" x14ac:dyDescent="0.45">
      <c r="B38" s="37">
        <v>35</v>
      </c>
      <c r="C38" s="79"/>
      <c r="D38" s="82"/>
      <c r="E38" s="81"/>
    </row>
    <row r="39" spans="2:5" x14ac:dyDescent="0.45">
      <c r="B39" s="37">
        <v>36</v>
      </c>
      <c r="C39" s="79"/>
      <c r="D39" s="82"/>
      <c r="E39" s="81"/>
    </row>
    <row r="40" spans="2:5" x14ac:dyDescent="0.45">
      <c r="B40" s="37">
        <v>37</v>
      </c>
      <c r="C40" s="79"/>
      <c r="D40" s="82"/>
      <c r="E40" s="81"/>
    </row>
    <row r="41" spans="2:5" x14ac:dyDescent="0.45">
      <c r="B41" s="37">
        <v>38</v>
      </c>
      <c r="C41" s="79"/>
      <c r="D41" s="82"/>
      <c r="E41" s="81"/>
    </row>
    <row r="42" spans="2:5" x14ac:dyDescent="0.45">
      <c r="B42" s="37">
        <v>39</v>
      </c>
      <c r="C42" s="79"/>
      <c r="D42" s="82"/>
      <c r="E42" s="81"/>
    </row>
    <row r="43" spans="2:5" x14ac:dyDescent="0.45">
      <c r="B43" s="37">
        <v>40</v>
      </c>
      <c r="C43" s="79"/>
      <c r="D43" s="82"/>
      <c r="E43" s="81"/>
    </row>
    <row r="44" spans="2:5" x14ac:dyDescent="0.45">
      <c r="B44" s="37">
        <v>41</v>
      </c>
      <c r="C44" s="79"/>
      <c r="D44" s="82"/>
      <c r="E44" s="81"/>
    </row>
    <row r="45" spans="2:5" x14ac:dyDescent="0.45">
      <c r="B45" s="37">
        <v>42</v>
      </c>
      <c r="C45" s="79"/>
      <c r="D45" s="82"/>
      <c r="E45" s="81"/>
    </row>
    <row r="46" spans="2:5" x14ac:dyDescent="0.45">
      <c r="B46" s="37">
        <v>43</v>
      </c>
      <c r="C46" s="79"/>
      <c r="D46" s="82"/>
      <c r="E46" s="81"/>
    </row>
    <row r="47" spans="2:5" x14ac:dyDescent="0.45">
      <c r="B47" s="37">
        <v>44</v>
      </c>
      <c r="C47" s="79"/>
      <c r="D47" s="82"/>
      <c r="E47" s="81"/>
    </row>
    <row r="48" spans="2:5" x14ac:dyDescent="0.45">
      <c r="B48" s="37">
        <v>45</v>
      </c>
      <c r="C48" s="79"/>
      <c r="D48" s="82"/>
      <c r="E48" s="81"/>
    </row>
    <row r="49" spans="2:5" x14ac:dyDescent="0.45">
      <c r="B49" s="37">
        <v>46</v>
      </c>
      <c r="C49" s="79"/>
      <c r="D49" s="82"/>
      <c r="E49" s="81"/>
    </row>
    <row r="50" spans="2:5" x14ac:dyDescent="0.45">
      <c r="B50" s="37">
        <v>47</v>
      </c>
      <c r="C50" s="79"/>
      <c r="D50" s="82"/>
      <c r="E50" s="81"/>
    </row>
    <row r="51" spans="2:5" x14ac:dyDescent="0.45">
      <c r="B51" s="37">
        <v>48</v>
      </c>
      <c r="C51" s="79"/>
      <c r="D51" s="82"/>
      <c r="E51" s="81"/>
    </row>
    <row r="52" spans="2:5" x14ac:dyDescent="0.45">
      <c r="B52" s="37">
        <v>49</v>
      </c>
      <c r="C52" s="79"/>
      <c r="D52" s="82"/>
      <c r="E52" s="81"/>
    </row>
    <row r="53" spans="2:5" x14ac:dyDescent="0.45">
      <c r="B53" s="37">
        <v>50</v>
      </c>
      <c r="C53" s="79"/>
      <c r="D53" s="82"/>
      <c r="E53" s="81"/>
    </row>
    <row r="54" spans="2:5" ht="18.600000000000001" thickBot="1" x14ac:dyDescent="0.5">
      <c r="B54" s="83">
        <v>51</v>
      </c>
      <c r="C54" s="84"/>
      <c r="D54" s="85"/>
      <c r="E54" s="86"/>
    </row>
    <row r="55" spans="2:5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view="pageBreakPreview" zoomScale="85" zoomScaleNormal="100" zoomScaleSheetLayoutView="85" workbookViewId="0"/>
  </sheetViews>
  <sheetFormatPr defaultRowHeight="18" x14ac:dyDescent="0.45"/>
  <cols>
    <col min="1" max="4" width="8.796875" style="29"/>
    <col min="5" max="7" width="10.69921875" style="29" customWidth="1"/>
    <col min="8" max="8" width="10.69921875" style="29" hidden="1" customWidth="1"/>
    <col min="9" max="10" width="10.69921875" style="29" customWidth="1"/>
    <col min="11" max="11" width="10.69921875" style="29" hidden="1" customWidth="1"/>
    <col min="12" max="13" width="14.69921875" style="29" customWidth="1"/>
    <col min="14" max="16384" width="8.796875" style="29"/>
  </cols>
  <sheetData>
    <row r="1" spans="1:13" ht="21" x14ac:dyDescent="0.25">
      <c r="A1" s="129"/>
      <c r="B1" s="130"/>
      <c r="C1" s="131"/>
      <c r="D1" s="131"/>
      <c r="E1" s="132" t="s">
        <v>89</v>
      </c>
      <c r="F1" s="131"/>
      <c r="G1" s="131"/>
      <c r="H1" s="131"/>
      <c r="I1" s="131"/>
      <c r="J1" s="131"/>
      <c r="K1" s="131"/>
      <c r="L1" s="131"/>
      <c r="M1" s="131"/>
    </row>
    <row r="2" spans="1:13" x14ac:dyDescent="0.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13" x14ac:dyDescent="0.2">
      <c r="A3" s="249"/>
      <c r="B3" s="250"/>
      <c r="C3" s="250"/>
      <c r="D3" s="250"/>
      <c r="E3" s="134"/>
      <c r="F3" s="133"/>
      <c r="G3" s="133"/>
      <c r="H3" s="133"/>
      <c r="I3" s="133"/>
      <c r="J3" s="133"/>
      <c r="K3" s="133"/>
      <c r="L3" s="133"/>
      <c r="M3" s="133"/>
    </row>
    <row r="4" spans="1:13" ht="19.2" x14ac:dyDescent="0.25">
      <c r="A4" s="251" t="s">
        <v>90</v>
      </c>
      <c r="B4" s="252"/>
      <c r="C4" s="252"/>
      <c r="D4" s="252"/>
      <c r="E4" s="135"/>
      <c r="F4" s="136"/>
      <c r="G4" s="133"/>
      <c r="H4" s="133"/>
      <c r="I4" s="133"/>
      <c r="J4" s="133"/>
      <c r="K4" s="133"/>
      <c r="L4" s="133"/>
      <c r="M4" s="133"/>
    </row>
    <row r="5" spans="1:13" x14ac:dyDescent="0.2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</row>
    <row r="6" spans="1:13" x14ac:dyDescent="0.2">
      <c r="A6" s="137" t="s">
        <v>91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1:13" x14ac:dyDescent="0.2">
      <c r="A7" s="137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</row>
    <row r="8" spans="1:13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</row>
    <row r="9" spans="1:13" ht="19.2" x14ac:dyDescent="0.25">
      <c r="A9" s="138" t="s">
        <v>92</v>
      </c>
      <c r="B9" s="139"/>
      <c r="C9" s="140"/>
      <c r="D9" s="253">
        <f>M26+M37</f>
        <v>11310</v>
      </c>
      <c r="E9" s="254"/>
      <c r="F9" s="140"/>
      <c r="G9" s="140"/>
      <c r="H9" s="142"/>
      <c r="I9" s="133"/>
      <c r="J9" s="133"/>
      <c r="K9" s="133"/>
      <c r="L9" s="133"/>
      <c r="M9" s="133"/>
    </row>
    <row r="10" spans="1:13" ht="19.2" x14ac:dyDescent="0.25">
      <c r="A10" s="138" t="s">
        <v>93</v>
      </c>
      <c r="B10" s="139"/>
      <c r="C10" s="140"/>
      <c r="D10" s="253">
        <f>D9/10</f>
        <v>1131</v>
      </c>
      <c r="E10" s="254"/>
      <c r="F10" s="140"/>
      <c r="G10" s="140"/>
      <c r="H10" s="142"/>
      <c r="I10" s="133"/>
      <c r="J10" s="133"/>
      <c r="K10" s="133"/>
      <c r="L10" s="141" t="s">
        <v>94</v>
      </c>
      <c r="M10" s="133"/>
    </row>
    <row r="11" spans="1:13" ht="19.2" x14ac:dyDescent="0.25">
      <c r="A11" s="138" t="s">
        <v>95</v>
      </c>
      <c r="B11" s="139"/>
      <c r="C11" s="140"/>
      <c r="D11" s="253">
        <f>SUM(D9,D10)</f>
        <v>12441</v>
      </c>
      <c r="E11" s="254"/>
      <c r="F11" s="140"/>
      <c r="G11" s="140"/>
      <c r="H11" s="142"/>
      <c r="I11" s="133"/>
      <c r="J11" s="133"/>
      <c r="K11" s="133"/>
      <c r="L11" s="141" t="s">
        <v>96</v>
      </c>
      <c r="M11" s="133"/>
    </row>
    <row r="12" spans="1:13" x14ac:dyDescent="0.2">
      <c r="A12" s="142"/>
      <c r="B12" s="142"/>
      <c r="C12" s="142"/>
      <c r="D12" s="143"/>
      <c r="E12" s="143"/>
      <c r="F12" s="143"/>
      <c r="G12" s="143"/>
      <c r="H12" s="143"/>
      <c r="I12" s="133"/>
      <c r="J12" s="133"/>
      <c r="K12" s="133"/>
      <c r="L12" s="141" t="s">
        <v>97</v>
      </c>
      <c r="M12" s="133"/>
    </row>
    <row r="13" spans="1:13" x14ac:dyDescent="0.2">
      <c r="A13" s="140" t="s">
        <v>98</v>
      </c>
      <c r="B13" s="140"/>
      <c r="C13" s="140"/>
      <c r="D13" s="248"/>
      <c r="E13" s="248"/>
      <c r="F13" s="248"/>
      <c r="G13" s="248"/>
      <c r="H13" s="156"/>
      <c r="I13" s="133"/>
      <c r="J13" s="133"/>
      <c r="K13" s="133"/>
      <c r="L13" s="141" t="s">
        <v>99</v>
      </c>
      <c r="M13" s="133"/>
    </row>
    <row r="14" spans="1:13" x14ac:dyDescent="0.2">
      <c r="I14" s="133"/>
      <c r="J14" s="133"/>
      <c r="K14" s="133"/>
      <c r="L14" s="133"/>
      <c r="M14" s="133"/>
    </row>
    <row r="15" spans="1:13" x14ac:dyDescent="0.2">
      <c r="A15" s="140" t="s">
        <v>100</v>
      </c>
      <c r="B15" s="140"/>
      <c r="C15" s="140"/>
      <c r="D15" s="248"/>
      <c r="E15" s="248"/>
      <c r="F15" s="248"/>
      <c r="G15" s="248"/>
      <c r="H15" s="156"/>
      <c r="I15" s="133"/>
      <c r="J15" s="133"/>
      <c r="K15" s="133"/>
      <c r="L15" s="144" t="s">
        <v>101</v>
      </c>
      <c r="M15" s="133"/>
    </row>
    <row r="16" spans="1:13" x14ac:dyDescent="0.2">
      <c r="A16" s="140" t="s">
        <v>102</v>
      </c>
      <c r="B16" s="145"/>
      <c r="C16" s="145"/>
      <c r="D16" s="258"/>
      <c r="E16" s="258"/>
      <c r="F16" s="258"/>
      <c r="G16" s="146"/>
      <c r="H16" s="143"/>
      <c r="I16" s="133"/>
      <c r="J16" s="133"/>
      <c r="K16" s="133"/>
      <c r="L16" s="141" t="s">
        <v>103</v>
      </c>
      <c r="M16" s="133"/>
    </row>
    <row r="17" spans="1:13" x14ac:dyDescent="0.2">
      <c r="D17" s="147"/>
      <c r="E17" s="147"/>
      <c r="F17" s="147"/>
      <c r="G17" s="147"/>
      <c r="H17" s="41"/>
      <c r="I17" s="133"/>
      <c r="J17" s="133"/>
      <c r="K17" s="133"/>
      <c r="L17" s="141" t="s">
        <v>104</v>
      </c>
      <c r="M17" s="133"/>
    </row>
    <row r="18" spans="1:13" x14ac:dyDescent="0.2">
      <c r="A18" s="140" t="s">
        <v>105</v>
      </c>
      <c r="B18" s="140"/>
      <c r="C18" s="140"/>
      <c r="D18" s="259"/>
      <c r="E18" s="259"/>
      <c r="F18" s="259"/>
      <c r="G18" s="259"/>
      <c r="H18" s="157"/>
    </row>
    <row r="19" spans="1:13" x14ac:dyDescent="0.2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9" t="s">
        <v>106</v>
      </c>
    </row>
    <row r="20" spans="1:13" x14ac:dyDescent="0.45">
      <c r="A20" s="150" t="s">
        <v>107</v>
      </c>
      <c r="B20" s="260" t="s">
        <v>108</v>
      </c>
      <c r="C20" s="261"/>
      <c r="D20" s="262"/>
      <c r="E20" s="150" t="s">
        <v>109</v>
      </c>
      <c r="F20" s="150" t="s">
        <v>110</v>
      </c>
      <c r="G20" s="150" t="s">
        <v>111</v>
      </c>
      <c r="H20" s="150"/>
      <c r="I20" s="150" t="s">
        <v>112</v>
      </c>
      <c r="J20" s="150" t="s">
        <v>113</v>
      </c>
      <c r="K20" s="150"/>
      <c r="L20" s="150" t="s">
        <v>114</v>
      </c>
      <c r="M20" s="150" t="s">
        <v>115</v>
      </c>
    </row>
    <row r="21" spans="1:13" x14ac:dyDescent="0.15">
      <c r="A21" s="151"/>
      <c r="B21" s="255" t="s">
        <v>116</v>
      </c>
      <c r="C21" s="256"/>
      <c r="D21" s="257"/>
      <c r="E21" s="152"/>
      <c r="F21" s="152"/>
      <c r="G21" s="152"/>
      <c r="H21" s="152"/>
      <c r="I21" s="152"/>
      <c r="J21" s="153"/>
      <c r="K21" s="153"/>
      <c r="L21" s="154"/>
      <c r="M21" s="155"/>
    </row>
    <row r="22" spans="1:13" x14ac:dyDescent="0.15">
      <c r="A22" s="151">
        <v>1</v>
      </c>
      <c r="B22" s="255" t="s">
        <v>117</v>
      </c>
      <c r="C22" s="256"/>
      <c r="D22" s="257"/>
      <c r="E22" s="152">
        <v>900</v>
      </c>
      <c r="F22" s="152">
        <v>0</v>
      </c>
      <c r="G22" s="152">
        <v>0</v>
      </c>
      <c r="H22" s="152"/>
      <c r="I22" s="152">
        <v>5</v>
      </c>
      <c r="J22" s="153" t="s">
        <v>118</v>
      </c>
      <c r="K22" s="153"/>
      <c r="L22" s="154">
        <v>1720</v>
      </c>
      <c r="M22" s="155">
        <f>I22*L22</f>
        <v>8600</v>
      </c>
    </row>
    <row r="23" spans="1:13" x14ac:dyDescent="0.15">
      <c r="A23" s="151">
        <v>2</v>
      </c>
      <c r="B23" s="255" t="s">
        <v>119</v>
      </c>
      <c r="C23" s="256"/>
      <c r="D23" s="257"/>
      <c r="E23" s="152">
        <v>0</v>
      </c>
      <c r="F23" s="152">
        <v>0</v>
      </c>
      <c r="G23" s="152">
        <v>0</v>
      </c>
      <c r="H23" s="152"/>
      <c r="I23" s="152">
        <v>10</v>
      </c>
      <c r="J23" s="153" t="s">
        <v>118</v>
      </c>
      <c r="K23" s="153"/>
      <c r="L23" s="154">
        <v>100</v>
      </c>
      <c r="M23" s="155">
        <f>I23*L23</f>
        <v>1000</v>
      </c>
    </row>
    <row r="24" spans="1:13" x14ac:dyDescent="0.15">
      <c r="A24" s="151">
        <v>3</v>
      </c>
      <c r="B24" s="255" t="s">
        <v>120</v>
      </c>
      <c r="C24" s="256"/>
      <c r="D24" s="257"/>
      <c r="E24" s="152">
        <v>900</v>
      </c>
      <c r="F24" s="152">
        <v>450</v>
      </c>
      <c r="G24" s="152">
        <v>0</v>
      </c>
      <c r="H24" s="152"/>
      <c r="I24" s="152">
        <v>1</v>
      </c>
      <c r="J24" s="153" t="s">
        <v>121</v>
      </c>
      <c r="K24" s="153"/>
      <c r="L24" s="154">
        <v>940</v>
      </c>
      <c r="M24" s="155">
        <f>I24*L24</f>
        <v>940</v>
      </c>
    </row>
    <row r="25" spans="1:13" x14ac:dyDescent="0.15">
      <c r="A25" s="151"/>
      <c r="B25" s="245"/>
      <c r="C25" s="246"/>
      <c r="D25" s="247"/>
      <c r="E25" s="152"/>
      <c r="F25" s="152"/>
      <c r="G25" s="152"/>
      <c r="H25" s="152"/>
      <c r="I25" s="152"/>
      <c r="J25" s="153"/>
      <c r="K25" s="153"/>
      <c r="L25" s="154"/>
      <c r="M25" s="155"/>
    </row>
    <row r="26" spans="1:13" x14ac:dyDescent="0.15">
      <c r="A26" s="151"/>
      <c r="B26" s="245" t="s">
        <v>122</v>
      </c>
      <c r="C26" s="246"/>
      <c r="D26" s="247"/>
      <c r="E26" s="152"/>
      <c r="F26" s="152"/>
      <c r="G26" s="152"/>
      <c r="H26" s="152"/>
      <c r="I26" s="152"/>
      <c r="J26" s="153"/>
      <c r="K26" s="153"/>
      <c r="L26" s="155"/>
      <c r="M26" s="155">
        <f>SUM(M22:M24)</f>
        <v>10540</v>
      </c>
    </row>
    <row r="27" spans="1:13" x14ac:dyDescent="0.15">
      <c r="A27" s="151"/>
      <c r="B27" s="245"/>
      <c r="C27" s="246"/>
      <c r="D27" s="247"/>
      <c r="E27" s="152"/>
      <c r="F27" s="152"/>
      <c r="G27" s="152"/>
      <c r="H27" s="152"/>
      <c r="I27" s="152"/>
      <c r="J27" s="153"/>
      <c r="K27" s="153"/>
      <c r="L27" s="154"/>
      <c r="M27" s="155"/>
    </row>
    <row r="28" spans="1:13" x14ac:dyDescent="0.15">
      <c r="A28" s="151"/>
      <c r="B28" s="255" t="s">
        <v>123</v>
      </c>
      <c r="C28" s="256"/>
      <c r="D28" s="257"/>
      <c r="E28" s="152"/>
      <c r="F28" s="152"/>
      <c r="G28" s="152"/>
      <c r="H28" s="152"/>
      <c r="I28" s="152"/>
      <c r="J28" s="153"/>
      <c r="K28" s="153"/>
      <c r="L28" s="154"/>
      <c r="M28" s="155"/>
    </row>
    <row r="29" spans="1:13" x14ac:dyDescent="0.45">
      <c r="A29"/>
      <c r="B29"/>
      <c r="C29"/>
      <c r="D29"/>
      <c r="E29"/>
      <c r="F29"/>
      <c r="G29"/>
      <c r="H29"/>
      <c r="I29"/>
      <c r="J29"/>
      <c r="K29"/>
      <c r="L29"/>
      <c r="M29"/>
    </row>
    <row r="31" spans="1:13" x14ac:dyDescent="0.45">
      <c r="A31" s="150" t="s">
        <v>107</v>
      </c>
      <c r="B31" s="260" t="s">
        <v>108</v>
      </c>
      <c r="C31" s="261"/>
      <c r="D31" s="262"/>
      <c r="E31" s="150" t="s">
        <v>109</v>
      </c>
      <c r="F31" s="150" t="s">
        <v>110</v>
      </c>
      <c r="G31" s="150" t="s">
        <v>111</v>
      </c>
      <c r="H31" s="150"/>
      <c r="I31" s="150" t="s">
        <v>112</v>
      </c>
      <c r="J31" s="150" t="s">
        <v>113</v>
      </c>
      <c r="K31" s="150"/>
      <c r="L31" s="150" t="s">
        <v>114</v>
      </c>
      <c r="M31" s="150" t="s">
        <v>115</v>
      </c>
    </row>
    <row r="32" spans="1:13" x14ac:dyDescent="0.15">
      <c r="A32" s="151">
        <v>1</v>
      </c>
      <c r="B32" s="255" t="s">
        <v>124</v>
      </c>
      <c r="C32" s="256"/>
      <c r="D32" s="257"/>
      <c r="E32" s="152">
        <v>900</v>
      </c>
      <c r="F32" s="152">
        <v>0</v>
      </c>
      <c r="G32" s="152">
        <v>0</v>
      </c>
      <c r="H32" s="152"/>
      <c r="I32" s="152">
        <v>5</v>
      </c>
      <c r="J32" s="153" t="s">
        <v>118</v>
      </c>
      <c r="K32" s="153"/>
      <c r="L32" s="154">
        <v>8800</v>
      </c>
      <c r="M32" s="155">
        <f>I32*L32</f>
        <v>44000</v>
      </c>
    </row>
    <row r="33" spans="1:13" x14ac:dyDescent="0.15">
      <c r="A33" s="151">
        <v>2</v>
      </c>
      <c r="B33" s="255" t="s">
        <v>125</v>
      </c>
      <c r="C33" s="256"/>
      <c r="D33" s="257"/>
      <c r="E33" s="152">
        <v>0</v>
      </c>
      <c r="F33" s="152">
        <v>0</v>
      </c>
      <c r="G33" s="152">
        <v>0</v>
      </c>
      <c r="H33" s="152"/>
      <c r="I33" s="152">
        <v>10</v>
      </c>
      <c r="J33" s="153" t="s">
        <v>118</v>
      </c>
      <c r="K33" s="153"/>
      <c r="L33" s="154">
        <v>500</v>
      </c>
      <c r="M33" s="155">
        <f t="shared" ref="M33:M39" si="0">I33*L33</f>
        <v>5000</v>
      </c>
    </row>
    <row r="34" spans="1:13" x14ac:dyDescent="0.15">
      <c r="A34" s="151">
        <v>3</v>
      </c>
      <c r="B34" s="255" t="s">
        <v>126</v>
      </c>
      <c r="C34" s="256"/>
      <c r="D34" s="257"/>
      <c r="E34" s="152">
        <v>900</v>
      </c>
      <c r="F34" s="152">
        <v>450</v>
      </c>
      <c r="G34" s="152">
        <v>0</v>
      </c>
      <c r="H34" s="152"/>
      <c r="I34" s="152">
        <v>1</v>
      </c>
      <c r="J34" s="153" t="s">
        <v>121</v>
      </c>
      <c r="K34" s="153"/>
      <c r="L34" s="154">
        <v>2000</v>
      </c>
      <c r="M34" s="155">
        <f t="shared" si="0"/>
        <v>2000</v>
      </c>
    </row>
    <row r="35" spans="1:13" x14ac:dyDescent="0.15">
      <c r="A35" s="151">
        <v>4</v>
      </c>
      <c r="B35" s="255" t="s">
        <v>127</v>
      </c>
      <c r="C35" s="256"/>
      <c r="D35" s="257"/>
      <c r="E35" s="152">
        <v>0</v>
      </c>
      <c r="F35" s="152">
        <v>0</v>
      </c>
      <c r="G35" s="152">
        <v>0</v>
      </c>
      <c r="H35" s="152"/>
      <c r="I35" s="152">
        <v>3</v>
      </c>
      <c r="J35" s="153" t="s">
        <v>118</v>
      </c>
      <c r="K35" s="153"/>
      <c r="L35" s="154">
        <v>600</v>
      </c>
      <c r="M35" s="155">
        <f t="shared" si="0"/>
        <v>1800</v>
      </c>
    </row>
    <row r="36" spans="1:13" x14ac:dyDescent="0.15">
      <c r="A36" s="151">
        <v>5</v>
      </c>
      <c r="B36" s="255" t="s">
        <v>128</v>
      </c>
      <c r="C36" s="256"/>
      <c r="D36" s="257"/>
      <c r="E36" s="152">
        <v>0</v>
      </c>
      <c r="F36" s="152">
        <v>0</v>
      </c>
      <c r="G36" s="152">
        <v>0</v>
      </c>
      <c r="H36" s="152"/>
      <c r="I36" s="152">
        <v>5</v>
      </c>
      <c r="J36" s="153" t="s">
        <v>118</v>
      </c>
      <c r="K36" s="153"/>
      <c r="L36" s="155">
        <v>800</v>
      </c>
      <c r="M36" s="155">
        <f t="shared" si="0"/>
        <v>4000</v>
      </c>
    </row>
    <row r="37" spans="1:13" x14ac:dyDescent="0.15">
      <c r="A37" s="151">
        <v>6</v>
      </c>
      <c r="B37" s="255" t="s">
        <v>129</v>
      </c>
      <c r="C37" s="256"/>
      <c r="D37" s="257"/>
      <c r="E37" s="152">
        <v>0</v>
      </c>
      <c r="F37" s="152">
        <v>0</v>
      </c>
      <c r="G37" s="152">
        <v>0</v>
      </c>
      <c r="H37" s="152"/>
      <c r="I37" s="152">
        <v>7</v>
      </c>
      <c r="J37" s="153" t="s">
        <v>118</v>
      </c>
      <c r="K37" s="153"/>
      <c r="L37" s="154">
        <v>110</v>
      </c>
      <c r="M37" s="155">
        <f t="shared" si="0"/>
        <v>770</v>
      </c>
    </row>
    <row r="38" spans="1:13" x14ac:dyDescent="0.15">
      <c r="A38" s="151">
        <v>7</v>
      </c>
      <c r="B38" s="255" t="s">
        <v>130</v>
      </c>
      <c r="C38" s="256"/>
      <c r="D38" s="257"/>
      <c r="E38" s="152">
        <v>0</v>
      </c>
      <c r="F38" s="152">
        <v>0</v>
      </c>
      <c r="G38" s="152">
        <v>0</v>
      </c>
      <c r="H38" s="152"/>
      <c r="I38" s="152">
        <v>9</v>
      </c>
      <c r="J38" s="153" t="s">
        <v>118</v>
      </c>
      <c r="K38" s="153"/>
      <c r="L38" s="154">
        <v>1200</v>
      </c>
      <c r="M38" s="155">
        <f t="shared" si="0"/>
        <v>10800</v>
      </c>
    </row>
    <row r="39" spans="1:13" x14ac:dyDescent="0.15">
      <c r="A39" s="151">
        <v>8</v>
      </c>
      <c r="B39" s="255" t="s">
        <v>131</v>
      </c>
      <c r="C39" s="256"/>
      <c r="D39" s="257"/>
      <c r="E39" s="152">
        <v>0</v>
      </c>
      <c r="F39" s="152">
        <v>0</v>
      </c>
      <c r="G39" s="152">
        <v>0</v>
      </c>
      <c r="H39" s="152"/>
      <c r="I39" s="152">
        <v>10</v>
      </c>
      <c r="J39" s="153" t="s">
        <v>118</v>
      </c>
      <c r="K39" s="153"/>
      <c r="L39" s="154">
        <v>170</v>
      </c>
      <c r="M39" s="155">
        <f t="shared" si="0"/>
        <v>1700</v>
      </c>
    </row>
    <row r="40" spans="1:13" x14ac:dyDescent="0.15">
      <c r="A40" s="151"/>
      <c r="B40" s="245"/>
      <c r="C40" s="246"/>
      <c r="D40" s="247"/>
      <c r="E40" s="152"/>
      <c r="F40" s="152"/>
      <c r="G40" s="152"/>
      <c r="H40" s="152"/>
      <c r="I40" s="152"/>
      <c r="J40" s="153"/>
      <c r="K40" s="153"/>
      <c r="L40" s="154"/>
      <c r="M40" s="155"/>
    </row>
    <row r="41" spans="1:13" x14ac:dyDescent="0.15">
      <c r="A41" s="151"/>
      <c r="B41" s="245" t="s">
        <v>122</v>
      </c>
      <c r="C41" s="246"/>
      <c r="D41" s="247"/>
      <c r="E41" s="152"/>
      <c r="F41" s="152"/>
      <c r="G41" s="152"/>
      <c r="H41" s="152"/>
      <c r="I41" s="152"/>
      <c r="J41" s="153"/>
      <c r="K41" s="153"/>
      <c r="L41" s="155"/>
      <c r="M41" s="155">
        <f>SUM(M32:M39)</f>
        <v>70070</v>
      </c>
    </row>
    <row r="42" spans="1:13" x14ac:dyDescent="0.15">
      <c r="A42" s="151"/>
      <c r="B42" s="245"/>
      <c r="C42" s="246"/>
      <c r="D42" s="247"/>
      <c r="E42" s="152"/>
      <c r="F42" s="152"/>
      <c r="G42" s="152"/>
      <c r="H42" s="152"/>
      <c r="I42" s="152"/>
      <c r="J42" s="153"/>
      <c r="K42" s="153"/>
      <c r="L42" s="154"/>
      <c r="M42" s="155"/>
    </row>
    <row r="43" spans="1:13" x14ac:dyDescent="0.15">
      <c r="A43" s="151"/>
      <c r="B43" s="255" t="s">
        <v>132</v>
      </c>
      <c r="C43" s="256"/>
      <c r="D43" s="257"/>
      <c r="E43" s="152"/>
      <c r="F43" s="152"/>
      <c r="G43" s="152"/>
      <c r="H43" s="152"/>
      <c r="I43" s="152"/>
      <c r="J43" s="153"/>
      <c r="K43" s="153"/>
      <c r="L43" s="154"/>
      <c r="M43" s="155"/>
    </row>
    <row r="44" spans="1:13" x14ac:dyDescent="0.15">
      <c r="A44" s="151">
        <v>1</v>
      </c>
      <c r="B44" s="255" t="s">
        <v>124</v>
      </c>
      <c r="C44" s="256"/>
      <c r="D44" s="257"/>
      <c r="E44" s="152">
        <v>900</v>
      </c>
      <c r="F44" s="152">
        <v>0</v>
      </c>
      <c r="G44" s="152">
        <v>0</v>
      </c>
      <c r="H44" s="152"/>
      <c r="I44" s="152">
        <v>5</v>
      </c>
      <c r="J44" s="153" t="s">
        <v>118</v>
      </c>
      <c r="K44" s="153"/>
      <c r="L44" s="154">
        <v>8800</v>
      </c>
      <c r="M44" s="155">
        <f>I44*L44</f>
        <v>44000</v>
      </c>
    </row>
    <row r="45" spans="1:13" x14ac:dyDescent="0.15">
      <c r="A45" s="151">
        <v>2</v>
      </c>
      <c r="B45" s="255" t="s">
        <v>125</v>
      </c>
      <c r="C45" s="256"/>
      <c r="D45" s="257"/>
      <c r="E45" s="152">
        <v>0</v>
      </c>
      <c r="F45" s="152">
        <v>0</v>
      </c>
      <c r="G45" s="152">
        <v>0</v>
      </c>
      <c r="H45" s="152"/>
      <c r="I45" s="152">
        <v>10</v>
      </c>
      <c r="J45" s="153" t="s">
        <v>118</v>
      </c>
      <c r="K45" s="153"/>
      <c r="L45" s="154">
        <v>500</v>
      </c>
      <c r="M45" s="155">
        <f>I45*L45</f>
        <v>5000</v>
      </c>
    </row>
    <row r="46" spans="1:13" x14ac:dyDescent="0.15">
      <c r="A46" s="151">
        <v>3</v>
      </c>
      <c r="B46" s="255" t="s">
        <v>126</v>
      </c>
      <c r="C46" s="256"/>
      <c r="D46" s="257"/>
      <c r="E46" s="152">
        <v>900</v>
      </c>
      <c r="F46" s="152">
        <v>450</v>
      </c>
      <c r="G46" s="152">
        <v>0</v>
      </c>
      <c r="H46" s="152"/>
      <c r="I46" s="152">
        <v>1</v>
      </c>
      <c r="J46" s="153" t="s">
        <v>121</v>
      </c>
      <c r="K46" s="153"/>
      <c r="L46" s="154">
        <v>2000</v>
      </c>
      <c r="M46" s="155">
        <f>I46*L46</f>
        <v>2000</v>
      </c>
    </row>
    <row r="47" spans="1:13" x14ac:dyDescent="0.15">
      <c r="A47" s="151"/>
      <c r="B47" s="245"/>
      <c r="C47" s="246"/>
      <c r="D47" s="247"/>
      <c r="E47" s="152"/>
      <c r="F47" s="152"/>
      <c r="G47" s="152"/>
      <c r="H47" s="152"/>
      <c r="I47" s="152"/>
      <c r="J47" s="153"/>
      <c r="K47" s="153"/>
      <c r="L47" s="154"/>
      <c r="M47" s="155"/>
    </row>
    <row r="48" spans="1:13" x14ac:dyDescent="0.15">
      <c r="A48" s="151"/>
      <c r="B48" s="245" t="s">
        <v>122</v>
      </c>
      <c r="C48" s="246"/>
      <c r="D48" s="247"/>
      <c r="E48" s="152"/>
      <c r="F48" s="152"/>
      <c r="G48" s="152"/>
      <c r="H48" s="152"/>
      <c r="I48" s="152"/>
      <c r="J48" s="153"/>
      <c r="K48" s="153"/>
      <c r="L48" s="155"/>
      <c r="M48" s="155">
        <f>SUM(M44:M46)</f>
        <v>51000</v>
      </c>
    </row>
    <row r="49" spans="1:13" x14ac:dyDescent="0.15">
      <c r="A49" s="151"/>
      <c r="B49" s="245"/>
      <c r="C49" s="246"/>
      <c r="D49" s="247"/>
      <c r="E49" s="152"/>
      <c r="F49" s="152"/>
      <c r="G49" s="152"/>
      <c r="H49" s="152"/>
      <c r="I49" s="152"/>
      <c r="J49" s="153"/>
      <c r="K49" s="153"/>
      <c r="L49" s="154"/>
      <c r="M49" s="155"/>
    </row>
    <row r="50" spans="1:13" x14ac:dyDescent="0.15">
      <c r="A50" s="151"/>
      <c r="B50" s="245"/>
      <c r="C50" s="246"/>
      <c r="D50" s="247"/>
      <c r="E50" s="152"/>
      <c r="F50" s="152"/>
      <c r="G50" s="152"/>
      <c r="H50" s="152"/>
      <c r="I50" s="152"/>
      <c r="J50" s="153"/>
      <c r="K50" s="153"/>
      <c r="L50" s="154"/>
      <c r="M50" s="155"/>
    </row>
    <row r="51" spans="1:13" x14ac:dyDescent="0.15">
      <c r="A51" s="151"/>
      <c r="B51" s="245"/>
      <c r="C51" s="246"/>
      <c r="D51" s="247"/>
      <c r="E51" s="152"/>
      <c r="F51" s="152"/>
      <c r="G51" s="152"/>
      <c r="H51" s="152"/>
      <c r="I51" s="152"/>
      <c r="J51" s="153"/>
      <c r="K51" s="153"/>
      <c r="L51" s="154"/>
      <c r="M51" s="155"/>
    </row>
    <row r="52" spans="1:13" x14ac:dyDescent="0.15">
      <c r="A52" s="151"/>
      <c r="B52" s="245"/>
      <c r="C52" s="246"/>
      <c r="D52" s="247"/>
      <c r="E52" s="152"/>
      <c r="F52" s="152"/>
      <c r="G52" s="152"/>
      <c r="H52" s="152"/>
      <c r="I52" s="152"/>
      <c r="J52" s="153"/>
      <c r="K52" s="153"/>
      <c r="L52" s="154"/>
      <c r="M52" s="155"/>
    </row>
    <row r="53" spans="1:13" x14ac:dyDescent="0.15">
      <c r="A53" s="151"/>
      <c r="B53" s="245"/>
      <c r="C53" s="246"/>
      <c r="D53" s="247"/>
      <c r="E53" s="152"/>
      <c r="F53" s="152"/>
      <c r="G53" s="152"/>
      <c r="H53" s="152"/>
      <c r="I53" s="152"/>
      <c r="J53" s="153"/>
      <c r="K53" s="153"/>
      <c r="L53" s="154"/>
      <c r="M53" s="155"/>
    </row>
    <row r="54" spans="1:13" x14ac:dyDescent="0.15">
      <c r="A54" s="151"/>
      <c r="B54" s="245"/>
      <c r="C54" s="246"/>
      <c r="D54" s="247"/>
      <c r="E54" s="152"/>
      <c r="F54" s="152"/>
      <c r="G54" s="152"/>
      <c r="H54" s="152"/>
      <c r="I54" s="152"/>
      <c r="J54" s="153"/>
      <c r="K54" s="153"/>
      <c r="L54" s="154"/>
      <c r="M54" s="155"/>
    </row>
    <row r="55" spans="1:13" x14ac:dyDescent="0.15">
      <c r="A55" s="151"/>
      <c r="B55" s="245"/>
      <c r="C55" s="246"/>
      <c r="D55" s="247"/>
      <c r="E55" s="152"/>
      <c r="F55" s="152"/>
      <c r="G55" s="152"/>
      <c r="H55" s="152"/>
      <c r="I55" s="152"/>
      <c r="J55" s="153"/>
      <c r="K55" s="153"/>
      <c r="L55" s="154"/>
      <c r="M55" s="155"/>
    </row>
    <row r="56" spans="1:13" x14ac:dyDescent="0.15">
      <c r="A56" s="151"/>
      <c r="B56" s="245"/>
      <c r="C56" s="246"/>
      <c r="D56" s="247"/>
      <c r="E56" s="152"/>
      <c r="F56" s="152"/>
      <c r="G56" s="152"/>
      <c r="H56" s="152"/>
      <c r="I56" s="152"/>
      <c r="J56" s="153"/>
      <c r="K56" s="153"/>
      <c r="L56" s="154"/>
      <c r="M56" s="155"/>
    </row>
    <row r="57" spans="1:13" x14ac:dyDescent="0.15">
      <c r="A57" s="151"/>
      <c r="B57" s="245"/>
      <c r="C57" s="246"/>
      <c r="D57" s="247"/>
      <c r="E57" s="152"/>
      <c r="F57" s="152"/>
      <c r="G57" s="152"/>
      <c r="H57" s="152"/>
      <c r="I57" s="152"/>
      <c r="J57" s="153"/>
      <c r="K57" s="153"/>
      <c r="L57" s="154"/>
      <c r="M57" s="155"/>
    </row>
  </sheetData>
  <mergeCells count="45">
    <mergeCell ref="B44:D44"/>
    <mergeCell ref="B45:D45"/>
    <mergeCell ref="B46:D46"/>
    <mergeCell ref="B47:D47"/>
    <mergeCell ref="B48:D48"/>
    <mergeCell ref="B32:D32"/>
    <mergeCell ref="B31:D31"/>
    <mergeCell ref="B43:D43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28:D28"/>
    <mergeCell ref="D15:G15"/>
    <mergeCell ref="D16:F16"/>
    <mergeCell ref="D18:G18"/>
    <mergeCell ref="B20:D20"/>
    <mergeCell ref="B21:D21"/>
    <mergeCell ref="B22:D22"/>
    <mergeCell ref="B23:D23"/>
    <mergeCell ref="B24:D24"/>
    <mergeCell ref="B25:D25"/>
    <mergeCell ref="B26:D26"/>
    <mergeCell ref="B27:D27"/>
    <mergeCell ref="D13:G13"/>
    <mergeCell ref="A3:D3"/>
    <mergeCell ref="A4:D4"/>
    <mergeCell ref="D9:E9"/>
    <mergeCell ref="D10:E10"/>
    <mergeCell ref="D11:E11"/>
    <mergeCell ref="B54:D54"/>
    <mergeCell ref="B55:D55"/>
    <mergeCell ref="B56:D56"/>
    <mergeCell ref="B57:D57"/>
    <mergeCell ref="B49:D49"/>
    <mergeCell ref="B50:D50"/>
    <mergeCell ref="B51:D51"/>
    <mergeCell ref="B52:D52"/>
    <mergeCell ref="B53:D53"/>
  </mergeCells>
  <phoneticPr fontId="2"/>
  <printOptions horizontalCentered="1"/>
  <pageMargins left="0.23622047244094491" right="0.23622047244094491" top="0.23622047244094491" bottom="0.23622047244094491" header="0" footer="0"/>
  <pageSetup paperSize="9" scale="99" orientation="landscape" verticalDpi="300" r:id="rId1"/>
  <headerFooter>
    <oddFooter>&amp;R©2024 SMS DataTech Corporation. All rights reserved.</oddFooter>
  </headerFooter>
  <rowBreaks count="1" manualBreakCount="1">
    <brk id="29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13</vt:i4>
      </vt:variant>
    </vt:vector>
  </HeadingPairs>
  <TitlesOfParts>
    <vt:vector size="23" baseType="lpstr">
      <vt:lpstr>変更履歴</vt:lpstr>
      <vt:lpstr>概要</vt:lpstr>
      <vt:lpstr>帳票レイアウト</vt:lpstr>
      <vt:lpstr>項目一覧</vt:lpstr>
      <vt:lpstr>処理詳細_書き方</vt:lpstr>
      <vt:lpstr>処理詳細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2024-10-16T07:06:53Z</cp:lastPrinted>
  <dcterms:created xsi:type="dcterms:W3CDTF">2021-04-12T04:47:05Z</dcterms:created>
  <dcterms:modified xsi:type="dcterms:W3CDTF">2025-05-24T05:36:15Z</dcterms:modified>
</cp:coreProperties>
</file>