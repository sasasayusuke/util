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テンプレート" sheetId="20" r:id="rId8"/>
    <sheet name="別紙_印刷レイアウト" sheetId="21" r:id="rId9"/>
    <sheet name="参照" sheetId="12" state="hidden" r:id="rId10"/>
  </sheets>
  <definedNames>
    <definedName name="_xlnm.Print_Area" localSheetId="1">概要!$A$1:$BN$31</definedName>
    <definedName name="_xlnm.Print_Area" localSheetId="3">項目一覧!$A$1:$BX$52</definedName>
    <definedName name="_xlnm.Print_Area" localSheetId="4">処理詳細!$A$1:$BR$39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<sst xmlns="http://schemas.openxmlformats.org/spreadsheetml/2006/main" count="283" uniqueCount="189">
  <si>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</si>
  <si>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</si>
  <si>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</si>
  <si>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</si>
  <si>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</si>
  <si>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</si>
  <si>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</si>
  <si>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</si>
  <si>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</si>
  <si>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</si>
  <si>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</si>
  <si>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</si>
  <si>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</si>
  <si>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</si>
  <si>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</si>
  <si>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</si>
  <si>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</si>
  <si>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</si>
  <si>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</si>
  <si>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</si>
  <si>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</si>
  <si>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</si>
  <si>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</si>
  <si>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</si>
  <si>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</si>
  <si>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</si>
  <si>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</si>
  <si>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</si>
  <si>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</si>
  <si>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</si>
  <si>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</si>
  <si>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</si>
  <si>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</si>
  <si>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</si>
  <si>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</si>
  <si>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</si>
  <si>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</si>
  <si>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</si>
  <si>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</si>
  <si>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</si>
  <si>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</si>
  <si>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</si>
  <si>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</si>
  <si>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</si>
  <si>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</si>
  <si>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</si>
  <si>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</si>
  <si>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</si>
  <si>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</si>
  <si>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</si>
  <si>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</si>
  <si>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</si>
  <si>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</si>
  <si>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</si>
  <si>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</si>
  <si>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</si>
  <si>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</si>
  <si>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</si>
  <si>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</si>
  <si>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</si>
  <si>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</si>
  <si>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</si>
  <si>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</si>
  <si>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</si>
  <si>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</si>
  <si>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</si>
  <si>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</si>
  <si>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</si>
  <si>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</si>
  <si>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</si>
  <si>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</si>
  <si>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</si>
  <si>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</si>
  <si>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</si>
  <si>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</si>
  <si>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</si>
  <si>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</si>
  <si>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</si>
  <si>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</si>
  <si>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</si>
  <si>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</si>
  <si>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</si>
  <si>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</si>
  <si>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</si>
  <si>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</si>
  <si>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</si>
  <si>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</si>
  <si>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</si>
  <si>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</si>
  <si>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PDF</t>
    <phoneticPr fontId="2"/>
  </si>
  <si>
    <t>pdf</t>
    <phoneticPr fontId="2"/>
  </si>
  <si>
    <t>-</t>
    <phoneticPr fontId="2"/>
  </si>
  <si>
    <t>-</t>
    <phoneticPr fontId="2"/>
  </si>
  <si>
    <t>作成日</t>
    <rPh sb="0" eb="3">
      <t>サクセイビ</t>
    </rPh>
    <phoneticPr fontId="1"/>
  </si>
  <si>
    <t>日付</t>
    <rPh sb="0" eb="2">
      <t>ヒヅケ</t>
    </rPh>
    <phoneticPr fontId="1"/>
  </si>
  <si>
    <t>科目CD</t>
    <rPh sb="0" eb="2">
      <t>カモク</t>
    </rPh>
    <phoneticPr fontId="1"/>
  </si>
  <si>
    <t>補助CD</t>
    <rPh sb="0" eb="2">
      <t>ホジョ</t>
    </rPh>
    <phoneticPr fontId="1"/>
  </si>
  <si>
    <t>科目名</t>
    <rPh sb="0" eb="3">
      <t>カモクメイ</t>
    </rPh>
    <phoneticPr fontId="1"/>
  </si>
  <si>
    <t>金額</t>
    <rPh sb="0" eb="2">
      <t>キンガク</t>
    </rPh>
    <phoneticPr fontId="1"/>
  </si>
  <si>
    <t>消費税</t>
    <rPh sb="0" eb="3">
      <t>ショウヒゼイ</t>
    </rPh>
    <phoneticPr fontId="1"/>
  </si>
  <si>
    <t>担当者CD</t>
    <rPh sb="0" eb="3">
      <t>タントウシャ</t>
    </rPh>
    <phoneticPr fontId="1"/>
  </si>
  <si>
    <t>担当者名</t>
    <rPh sb="0" eb="4">
      <t>タントウシャメイ</t>
    </rPh>
    <phoneticPr fontId="1"/>
  </si>
  <si>
    <t>摘要</t>
    <rPh sb="0" eb="2">
      <t>テキヨウ</t>
    </rPh>
    <phoneticPr fontId="1"/>
  </si>
  <si>
    <t>現在日付</t>
    <rPh sb="0" eb="4">
      <t>ゲンザイヒヅケ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</si>
  <si>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</si>
  <si>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</si>
  <si>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別紙_テンプレート</t>
    <rPh sb="0" eb="2">
      <t>ベッシ</t>
    </rPh>
    <phoneticPr fontId="2"/>
  </si>
  <si>
    <t>消費税項目の要否について</t>
    <rPh sb="0" eb="3">
      <t>ショウヒゼイ</t>
    </rPh>
    <rPh sb="3" eb="5">
      <t>コウモク</t>
    </rPh>
    <rPh sb="6" eb="8">
      <t>ヨウヒ</t>
    </rPh>
    <phoneticPr fontId="2"/>
  </si>
  <si>
    <t>回答</t>
    <rPh sb="0" eb="2">
      <t>カイトウ</t>
    </rPh>
    <phoneticPr fontId="2"/>
  </si>
  <si>
    <t>不要</t>
    <rPh sb="0" eb="2">
      <t>フヨウ</t>
    </rPh>
    <phoneticPr fontId="2"/>
  </si>
  <si>
    <t>〇</t>
    <phoneticPr fontId="2"/>
  </si>
  <si>
    <t>SQL1</t>
    <phoneticPr fontId="2"/>
  </si>
  <si>
    <t>SQL2</t>
    <phoneticPr fontId="2"/>
  </si>
  <si>
    <t>from TD経費</t>
    <phoneticPr fontId="2"/>
  </si>
  <si>
    <t>where 経費番号 = TM.Countersの経費番号+1</t>
    <phoneticPr fontId="2"/>
  </si>
  <si>
    <t>select *</t>
    <phoneticPr fontId="2"/>
  </si>
  <si>
    <t>経費番号</t>
    <rPh sb="0" eb="4">
      <t>ケイヒバンゴウ</t>
    </rPh>
    <phoneticPr fontId="2"/>
  </si>
  <si>
    <t>経費日付</t>
    <rPh sb="0" eb="4">
      <t>ケイヒヒヅケ</t>
    </rPh>
    <phoneticPr fontId="2"/>
  </si>
  <si>
    <t>初期登録日</t>
    <rPh sb="0" eb="5">
      <t>ショキトウロクビ</t>
    </rPh>
    <phoneticPr fontId="2"/>
  </si>
  <si>
    <t>登録変更日</t>
    <rPh sb="0" eb="5">
      <t>トウロクヘンコウビ</t>
    </rPh>
    <phoneticPr fontId="2"/>
  </si>
  <si>
    <t>TD経費.経費番号</t>
    <rPh sb="5" eb="9">
      <t>ケイヒバンゴウ</t>
    </rPh>
    <phoneticPr fontId="2"/>
  </si>
  <si>
    <t>TD経費.経費日付</t>
    <rPh sb="5" eb="9">
      <t>ケイヒヒヅケ</t>
    </rPh>
    <phoneticPr fontId="2"/>
  </si>
  <si>
    <t>TD経費.初期登録日</t>
    <rPh sb="5" eb="10">
      <t>ショキトウロクビ</t>
    </rPh>
    <phoneticPr fontId="2"/>
  </si>
  <si>
    <t>TD経費.登録変更日</t>
    <rPh sb="5" eb="10">
      <t>トウロクヘンコウビ</t>
    </rPh>
    <phoneticPr fontId="2"/>
  </si>
  <si>
    <t>from TD経費明細</t>
    <phoneticPr fontId="2"/>
  </si>
  <si>
    <t>where 0 &lt;&gt; 0</t>
    <phoneticPr fontId="2"/>
  </si>
  <si>
    <t>枝番</t>
    <rPh sb="0" eb="2">
      <t>エダバン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</si>
  <si>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</si>
  <si>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</si>
  <si>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金額</t>
    <rPh sb="0" eb="2">
      <t>キンガク</t>
    </rPh>
    <phoneticPr fontId="2"/>
  </si>
  <si>
    <t>担当者CD</t>
    <rPh sb="0" eb="3">
      <t>タントウシャ</t>
    </rPh>
    <phoneticPr fontId="2"/>
  </si>
  <si>
    <t>担当者名</t>
    <rPh sb="0" eb="4">
      <t>タントウシャメイ</t>
    </rPh>
    <phoneticPr fontId="2"/>
  </si>
  <si>
    <t>購入者名</t>
    <rPh sb="0" eb="4">
      <t>コウニュウシャメイ</t>
    </rPh>
    <phoneticPr fontId="2"/>
  </si>
  <si>
    <t>科目摘要CD</t>
    <rPh sb="0" eb="2">
      <t>カモク</t>
    </rPh>
    <rPh sb="2" eb="4">
      <t>テキヨウ</t>
    </rPh>
    <phoneticPr fontId="2"/>
  </si>
  <si>
    <t>科目摘要名</t>
    <rPh sb="0" eb="4">
      <t>カモクテキヨウ</t>
    </rPh>
    <rPh sb="4" eb="5">
      <t>メイ</t>
    </rPh>
    <phoneticPr fontId="2"/>
  </si>
  <si>
    <t>消費税額</t>
    <rPh sb="0" eb="4">
      <t>ショウヒゼイガク</t>
    </rPh>
    <phoneticPr fontId="2"/>
  </si>
  <si>
    <t>補助CD</t>
    <rPh sb="0" eb="2">
      <t>ホジョ</t>
    </rPh>
    <phoneticPr fontId="2"/>
  </si>
  <si>
    <t>TD経費明細.経費番号</t>
    <rPh sb="7" eb="11">
      <t>ケイヒバンゴウ</t>
    </rPh>
    <phoneticPr fontId="2"/>
  </si>
  <si>
    <t>TD経費明細.枝番</t>
    <rPh sb="7" eb="9">
      <t>エダバン</t>
    </rPh>
    <phoneticPr fontId="2"/>
  </si>
  <si>
    <t>TD経費明細.科目名</t>
    <rPh sb="7" eb="10">
      <t>カモクメイ</t>
    </rPh>
    <phoneticPr fontId="2"/>
  </si>
  <si>
    <t>TD経費明細.金額</t>
    <rPh sb="7" eb="9">
      <t>キンガク</t>
    </rPh>
    <phoneticPr fontId="2"/>
  </si>
  <si>
    <t>TD経費明細.担当者CD</t>
    <rPh sb="7" eb="10">
      <t>タントウシャ</t>
    </rPh>
    <phoneticPr fontId="2"/>
  </si>
  <si>
    <t>TD経費明細.担当者名</t>
    <rPh sb="7" eb="11">
      <t>タントウシャメイ</t>
    </rPh>
    <phoneticPr fontId="2"/>
  </si>
  <si>
    <t>TD経費明細.購入者名</t>
    <rPh sb="7" eb="11">
      <t>コウニュウシャメイ</t>
    </rPh>
    <phoneticPr fontId="2"/>
  </si>
  <si>
    <t>TD経費明細.科目摘要CD</t>
    <rPh sb="7" eb="9">
      <t>カモク</t>
    </rPh>
    <rPh sb="9" eb="11">
      <t>テキヨウ</t>
    </rPh>
    <phoneticPr fontId="2"/>
  </si>
  <si>
    <t>TD経費明細.科目摘要名</t>
    <rPh sb="7" eb="11">
      <t>カモクテキヨウ</t>
    </rPh>
    <rPh sb="11" eb="12">
      <t>メイ</t>
    </rPh>
    <phoneticPr fontId="2"/>
  </si>
  <si>
    <t>TD経費明細.初期登録日</t>
    <rPh sb="7" eb="12">
      <t>ショキトウロクビ</t>
    </rPh>
    <phoneticPr fontId="2"/>
  </si>
  <si>
    <t>TD経費明細.登録変更日</t>
    <rPh sb="7" eb="12">
      <t>トウロクヘンコウビ</t>
    </rPh>
    <phoneticPr fontId="2"/>
  </si>
  <si>
    <t>TD経費明細.消費税額</t>
    <rPh sb="7" eb="11">
      <t>ショウヒゼイガク</t>
    </rPh>
    <phoneticPr fontId="2"/>
  </si>
  <si>
    <t>TD経費明細.補助CD</t>
    <rPh sb="7" eb="9">
      <t>ホジョ</t>
    </rPh>
    <phoneticPr fontId="2"/>
  </si>
  <si>
    <t>TD経費明細.科目CD</t>
    <rPh sb="7" eb="9">
      <t>カモク</t>
    </rPh>
    <phoneticPr fontId="2"/>
  </si>
  <si>
    <t>必ずFalseになる条件</t>
    <rPh sb="9" eb="11">
      <t>ジョウケン</t>
    </rPh>
    <phoneticPr fontId="2"/>
  </si>
  <si>
    <t>項目のみ取得</t>
    <rPh sb="0" eb="2">
      <t>コウモク</t>
    </rPh>
    <rPh sb="4" eb="6">
      <t>シュトク</t>
    </rPh>
    <phoneticPr fontId="2"/>
  </si>
  <si>
    <t>取込CSV.6列目</t>
    <rPh sb="0" eb="2">
      <t>トリコミ</t>
    </rPh>
    <rPh sb="7" eb="9">
      <t>レツメ</t>
    </rPh>
    <phoneticPr fontId="1"/>
  </si>
  <si>
    <t>取込CSV.11列目</t>
    <phoneticPr fontId="1"/>
  </si>
  <si>
    <t>SQL3</t>
    <phoneticPr fontId="2"/>
  </si>
  <si>
    <t>SELECT *</t>
    <phoneticPr fontId="2"/>
  </si>
  <si>
    <t>FROM TM科目</t>
    <phoneticPr fontId="2"/>
  </si>
  <si>
    <t>WHERE 科目CD = 取込CSV.6列目</t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</si>
  <si>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</si>
  <si>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</si>
  <si>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借方消費税区分</t>
    <rPh sb="0" eb="7">
      <t>カリカタショウヒゼイクブン</t>
    </rPh>
    <phoneticPr fontId="2"/>
  </si>
  <si>
    <t>貸方消費税区分</t>
    <rPh sb="0" eb="2">
      <t>カシカタ</t>
    </rPh>
    <rPh sb="2" eb="5">
      <t>ショウヒゼイ</t>
    </rPh>
    <rPh sb="5" eb="7">
      <t>クブン</t>
    </rPh>
    <phoneticPr fontId="2"/>
  </si>
  <si>
    <t>初期登録日</t>
    <rPh sb="0" eb="5">
      <t>ショキトウロクビ</t>
    </rPh>
    <phoneticPr fontId="2"/>
  </si>
  <si>
    <t>登録変更日</t>
    <rPh sb="0" eb="5">
      <t>トウロクヘンコウビ</t>
    </rPh>
    <phoneticPr fontId="2"/>
  </si>
  <si>
    <t>順序</t>
    <rPh sb="0" eb="2">
      <t>ジュンジョ</t>
    </rPh>
    <phoneticPr fontId="2"/>
  </si>
  <si>
    <t>集計CD</t>
    <rPh sb="0" eb="2">
      <t>シュウケイ</t>
    </rPh>
    <phoneticPr fontId="2"/>
  </si>
  <si>
    <t>按分区分</t>
    <rPh sb="0" eb="4">
      <t>アンブンクブン</t>
    </rPh>
    <phoneticPr fontId="2"/>
  </si>
  <si>
    <t>TM科目.科目CD</t>
    <rPh sb="5" eb="7">
      <t>カモク</t>
    </rPh>
    <phoneticPr fontId="2"/>
  </si>
  <si>
    <t>TM科目.科目名</t>
    <rPh sb="5" eb="8">
      <t>カモクメイ</t>
    </rPh>
    <phoneticPr fontId="2"/>
  </si>
  <si>
    <t>TM科目.借方消費税区分</t>
    <rPh sb="5" eb="12">
      <t>カリカタショウヒゼイクブン</t>
    </rPh>
    <phoneticPr fontId="2"/>
  </si>
  <si>
    <t>TM科目.貸方消費税区分</t>
    <rPh sb="5" eb="7">
      <t>カシカタ</t>
    </rPh>
    <rPh sb="7" eb="10">
      <t>ショウヒゼイ</t>
    </rPh>
    <rPh sb="10" eb="12">
      <t>クブン</t>
    </rPh>
    <phoneticPr fontId="2"/>
  </si>
  <si>
    <t>TM科目.初期登録日</t>
    <rPh sb="5" eb="10">
      <t>ショキトウロクビ</t>
    </rPh>
    <phoneticPr fontId="2"/>
  </si>
  <si>
    <t>TM科目.登録変更日</t>
    <rPh sb="5" eb="10">
      <t>トウロクヘンコウビ</t>
    </rPh>
    <phoneticPr fontId="2"/>
  </si>
  <si>
    <t>TM科目.順序</t>
    <rPh sb="5" eb="7">
      <t>ジュンジョ</t>
    </rPh>
    <phoneticPr fontId="2"/>
  </si>
  <si>
    <t>TM科目.集計CD</t>
    <rPh sb="5" eb="7">
      <t>シュウケイ</t>
    </rPh>
    <phoneticPr fontId="2"/>
  </si>
  <si>
    <t>TM科目.按分区分</t>
    <rPh sb="5" eb="9">
      <t>アンブンクブン</t>
    </rPh>
    <phoneticPr fontId="2"/>
  </si>
  <si>
    <t>SQL3.科目名</t>
    <rPh sb="5" eb="7">
      <t>カモク</t>
    </rPh>
    <rPh sb="7" eb="8">
      <t>メイ</t>
    </rPh>
    <phoneticPr fontId="1"/>
  </si>
  <si>
    <t>取込CSV.5列目</t>
    <phoneticPr fontId="1"/>
  </si>
  <si>
    <t>なし</t>
    <phoneticPr fontId="1"/>
  </si>
  <si>
    <t>取込CSV.25列目</t>
    <phoneticPr fontId="1"/>
  </si>
  <si>
    <t>取込CSV.25列目の左から30文字を抽出</t>
    <rPh sb="11" eb="12">
      <t>ヒダリ</t>
    </rPh>
    <rPh sb="16" eb="18">
      <t>モジ</t>
    </rPh>
    <rPh sb="19" eb="21">
      <t>チュウシュツ</t>
    </rPh>
    <phoneticPr fontId="1"/>
  </si>
  <si>
    <t>TM担当者変換が存在しないため空欄</t>
    <rPh sb="2" eb="5">
      <t>タントウシャ</t>
    </rPh>
    <rPh sb="5" eb="7">
      <t>ヘンカン</t>
    </rPh>
    <rPh sb="8" eb="10">
      <t>ソンザイ</t>
    </rPh>
    <rPh sb="15" eb="17">
      <t>クウラン</t>
    </rPh>
    <phoneticPr fontId="1"/>
  </si>
  <si>
    <t>取込CSV.1,2,3列目</t>
    <rPh sb="0" eb="2">
      <t>トリコミ</t>
    </rPh>
    <rPh sb="11" eb="13">
      <t>レツメ</t>
    </rPh>
    <phoneticPr fontId="1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</si>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</sst>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224117</xdr:colOff>
      <xdr:row>8</xdr:row>
      <xdr:rowOff>152399</xdr:rowOff>
    </xdr:from>
    <xdr:to>
      <xdr:col>57</xdr:col>
      <xdr:colOff>5347</xdr:colOff>
      <xdr:row>38</xdr:row>
      <xdr:rowOff>185952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6423" y="1783975"/>
          <a:ext cx="14232336" cy="7563906"/>
        </a:xfrm>
        <a:prstGeom prst="rect">
          <a:avLst/>
        </a:prstGeom>
      </xdr:spPr>
    </xdr:pic>
    <xdr:clientData/>
  </xdr:twoCellAnchor>
  <xdr:twoCellAnchor>
    <xdr:from>
      <xdr:col>30</xdr:col>
      <xdr:colOff>233083</xdr:colOff>
      <xdr:row>14</xdr:row>
      <xdr:rowOff>134472</xdr:rowOff>
    </xdr:from>
    <xdr:to>
      <xdr:col>32</xdr:col>
      <xdr:colOff>17929</xdr:colOff>
      <xdr:row>15</xdr:row>
      <xdr:rowOff>206190</xdr:rowOff>
    </xdr:to>
    <xdr:sp macro="" textlink="">
      <xdr:nvSpPr>
        <xdr:cNvPr id="3" name="正方形/長方形 2"/>
        <xdr:cNvSpPr/>
      </xdr:nvSpPr>
      <xdr:spPr>
        <a:xfrm>
          <a:off x="8373036" y="32721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107577</xdr:colOff>
      <xdr:row>14</xdr:row>
      <xdr:rowOff>134471</xdr:rowOff>
    </xdr:from>
    <xdr:to>
      <xdr:col>20</xdr:col>
      <xdr:colOff>170329</xdr:colOff>
      <xdr:row>15</xdr:row>
      <xdr:rowOff>206189</xdr:rowOff>
    </xdr:to>
    <xdr:sp macro="" textlink="">
      <xdr:nvSpPr>
        <xdr:cNvPr id="5" name="正方形/長方形 4"/>
        <xdr:cNvSpPr/>
      </xdr:nvSpPr>
      <xdr:spPr>
        <a:xfrm>
          <a:off x="5190565" y="32721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206189</xdr:colOff>
      <xdr:row>14</xdr:row>
      <xdr:rowOff>134471</xdr:rowOff>
    </xdr:from>
    <xdr:to>
      <xdr:col>18</xdr:col>
      <xdr:colOff>268941</xdr:colOff>
      <xdr:row>15</xdr:row>
      <xdr:rowOff>206189</xdr:rowOff>
    </xdr:to>
    <xdr:sp macro="" textlink="">
      <xdr:nvSpPr>
        <xdr:cNvPr id="6" name="正方形/長方形 5"/>
        <xdr:cNvSpPr/>
      </xdr:nvSpPr>
      <xdr:spPr>
        <a:xfrm>
          <a:off x="4733365" y="32721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35859</xdr:colOff>
      <xdr:row>14</xdr:row>
      <xdr:rowOff>134472</xdr:rowOff>
    </xdr:from>
    <xdr:to>
      <xdr:col>15</xdr:col>
      <xdr:colOff>98611</xdr:colOff>
      <xdr:row>15</xdr:row>
      <xdr:rowOff>206190</xdr:rowOff>
    </xdr:to>
    <xdr:sp macro="" textlink="">
      <xdr:nvSpPr>
        <xdr:cNvPr id="7" name="正方形/長方形 6"/>
        <xdr:cNvSpPr/>
      </xdr:nvSpPr>
      <xdr:spPr>
        <a:xfrm>
          <a:off x="3729318" y="32721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89647</xdr:colOff>
      <xdr:row>14</xdr:row>
      <xdr:rowOff>125507</xdr:rowOff>
    </xdr:from>
    <xdr:to>
      <xdr:col>9</xdr:col>
      <xdr:colOff>152400</xdr:colOff>
      <xdr:row>15</xdr:row>
      <xdr:rowOff>197225</xdr:rowOff>
    </xdr:to>
    <xdr:sp macro="" textlink="">
      <xdr:nvSpPr>
        <xdr:cNvPr id="8" name="正方形/長方形 7"/>
        <xdr:cNvSpPr/>
      </xdr:nvSpPr>
      <xdr:spPr>
        <a:xfrm>
          <a:off x="2115671" y="32631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215153</xdr:colOff>
      <xdr:row>10</xdr:row>
      <xdr:rowOff>71718</xdr:rowOff>
    </xdr:from>
    <xdr:to>
      <xdr:col>42</xdr:col>
      <xdr:colOff>-1</xdr:colOff>
      <xdr:row>11</xdr:row>
      <xdr:rowOff>143436</xdr:rowOff>
    </xdr:to>
    <xdr:sp macro="" textlink="">
      <xdr:nvSpPr>
        <xdr:cNvPr id="9" name="正方形/長方形 8"/>
        <xdr:cNvSpPr/>
      </xdr:nvSpPr>
      <xdr:spPr>
        <a:xfrm>
          <a:off x="11134165" y="22053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179294</xdr:colOff>
      <xdr:row>14</xdr:row>
      <xdr:rowOff>134472</xdr:rowOff>
    </xdr:from>
    <xdr:to>
      <xdr:col>40</xdr:col>
      <xdr:colOff>242046</xdr:colOff>
      <xdr:row>15</xdr:row>
      <xdr:rowOff>206190</xdr:rowOff>
    </xdr:to>
    <xdr:sp macro="" textlink="">
      <xdr:nvSpPr>
        <xdr:cNvPr id="10" name="正方形/長方形 9"/>
        <xdr:cNvSpPr/>
      </xdr:nvSpPr>
      <xdr:spPr>
        <a:xfrm>
          <a:off x="10820400" y="32721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233083</xdr:colOff>
      <xdr:row>14</xdr:row>
      <xdr:rowOff>134472</xdr:rowOff>
    </xdr:from>
    <xdr:to>
      <xdr:col>48</xdr:col>
      <xdr:colOff>17929</xdr:colOff>
      <xdr:row>15</xdr:row>
      <xdr:rowOff>206190</xdr:rowOff>
    </xdr:to>
    <xdr:sp macro="" textlink="">
      <xdr:nvSpPr>
        <xdr:cNvPr id="11" name="正方形/長方形 10"/>
        <xdr:cNvSpPr/>
      </xdr:nvSpPr>
      <xdr:spPr>
        <a:xfrm>
          <a:off x="12819530" y="32721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62753</xdr:colOff>
      <xdr:row>14</xdr:row>
      <xdr:rowOff>125507</xdr:rowOff>
    </xdr:from>
    <xdr:to>
      <xdr:col>38</xdr:col>
      <xdr:colOff>125505</xdr:colOff>
      <xdr:row>15</xdr:row>
      <xdr:rowOff>197225</xdr:rowOff>
    </xdr:to>
    <xdr:sp macro="" textlink="">
      <xdr:nvSpPr>
        <xdr:cNvPr id="12" name="正方形/長方形 11"/>
        <xdr:cNvSpPr/>
      </xdr:nvSpPr>
      <xdr:spPr>
        <a:xfrm>
          <a:off x="10148047" y="32631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198119</xdr:colOff>
      <xdr:row>1</xdr:row>
      <xdr:rowOff>0</xdr:rowOff>
    </xdr:from>
    <xdr:to>
      <xdr:col>19</xdr:col>
      <xdr:colOff>523890</xdr:colOff>
      <xdr:row>16</xdr:row>
      <xdr:rowOff>76200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19" y="228600"/>
          <a:ext cx="13066411" cy="3505200"/>
        </a:xfrm>
        <a:prstGeom prst="rect">
          <a:avLst/>
        </a:prstGeom>
      </xdr:spPr>
    </xdr:pic>
    <xdr:clientData/>
  </xdr:twoCellAnchor>
  <xdr:twoCellAnchor>
    <xdr:from>
      <xdr:col>10</xdr:col>
      <xdr:colOff>91440</xdr:colOff>
      <xdr:row>6</xdr:row>
      <xdr:rowOff>7620</xdr:rowOff>
    </xdr:from>
    <xdr:to>
      <xdr:col>12</xdr:col>
      <xdr:colOff>259080</xdr:colOff>
      <xdr:row>11</xdr:row>
      <xdr:rowOff>167640</xdr:rowOff>
    </xdr:to>
    <xdr:sp macro="" textlink="">
      <xdr:nvSpPr>
        <xdr:cNvPr id="3" name="正方形/長方形 2"/>
        <xdr:cNvSpPr/>
      </xdr:nvSpPr>
      <xdr:spPr>
        <a:xfrm>
          <a:off x="6797040" y="1379220"/>
          <a:ext cx="1508760" cy="13030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454439</xdr:colOff>
      <xdr:row>38</xdr:row>
      <xdr:rowOff>58339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215" y="228600"/>
          <a:ext cx="6468378" cy="8516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0" t="s">
        <v>0</v>
      </c>
      <c r="C2" s="131"/>
      <c r="D2" s="131"/>
      <c r="E2" s="131"/>
      <c r="F2" s="131"/>
      <c r="G2" s="131"/>
      <c r="H2" s="131" t="s">
        <v>17</v>
      </c>
      <c r="I2" s="131"/>
      <c r="J2" s="131"/>
      <c r="K2" s="131"/>
      <c r="L2" s="131" t="s">
        <v>187</v>
      </c>
      <c r="M2" s="131"/>
      <c r="N2" s="131"/>
      <c r="O2" s="131"/>
      <c r="P2" s="131"/>
      <c r="Q2" s="131"/>
      <c r="R2" s="131" t="s">
        <v>2</v>
      </c>
      <c r="S2" s="131"/>
      <c r="T2" s="131"/>
      <c r="U2" s="131"/>
      <c r="V2" s="131"/>
      <c r="W2" s="131"/>
      <c r="X2" s="132" t="s">
        <v>3</v>
      </c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32" t="s">
        <v>31</v>
      </c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4"/>
      <c r="AX2" s="131" t="s">
        <v>5</v>
      </c>
      <c r="AY2" s="131"/>
      <c r="AZ2" s="131"/>
      <c r="BA2" s="131"/>
      <c r="BB2" s="131" t="s">
        <v>4</v>
      </c>
      <c r="BC2" s="131"/>
      <c r="BD2" s="131"/>
      <c r="BE2" s="131"/>
      <c r="BF2" s="131" t="s">
        <v>6</v>
      </c>
      <c r="BG2" s="131"/>
      <c r="BH2" s="131"/>
      <c r="BI2" s="131"/>
      <c r="BJ2" s="131" t="s">
        <v>7</v>
      </c>
      <c r="BK2" s="131"/>
      <c r="BL2" s="131"/>
      <c r="BM2" s="145"/>
      <c r="BN2" s="14"/>
    </row>
    <row r="3" spans="1:66" ht="20.100000000000001" customHeight="1" x14ac:dyDescent="0.45">
      <c r="A3" s="8"/>
      <c r="B3" s="135" t="s">
        <v>185</v>
      </c>
      <c r="C3" s="136"/>
      <c r="D3" s="136"/>
      <c r="E3" s="136"/>
      <c r="F3" s="136"/>
      <c r="G3" s="136"/>
      <c r="H3" s="136" t="str">
        <f ca="1">LEFT($X$3,FIND("_",$X$3)-1)</f>
        <v>KH0300</v>
      </c>
      <c r="I3" s="136"/>
      <c r="J3" s="136"/>
      <c r="K3" s="136"/>
      <c r="L3" s="136" t="s">
        <v>186</v>
      </c>
      <c r="M3" s="136"/>
      <c r="N3" s="136"/>
      <c r="O3" s="136"/>
      <c r="P3" s="136"/>
      <c r="Q3" s="136"/>
      <c r="R3" s="139" t="str">
        <f ca="1">MID($X$3,FIND("_",$X$3,FIND("_",$X$3)+1)+1,LEN($X$3)-FIND("_",$X$3,FIND("_",$X$3)+1))</f>
        <v>帳票設計書</v>
      </c>
      <c r="S3" s="136"/>
      <c r="T3" s="136"/>
      <c r="U3" s="136"/>
      <c r="V3" s="136"/>
      <c r="W3" s="136"/>
      <c r="X3" s="140" t="str">
        <f ca="1">REPLACE(LEFT(CELL("filename",$B$2),FIND(".x",CELL("filename",$B$2))-1),1,FIND("[",CELL("filename",$B$2)),)</f>
        <v>KH0300_経費データ取込リスト_帳票設計書</v>
      </c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37"/>
      <c r="AK3" s="140" t="str">
        <f ca="1">MID($X$3,FIND("_",$X$3)+1,FIND("_",$X$3,FIND("_",$X$3)+1)-FIND("_",$X$3)-1)</f>
        <v>経費データ取込リスト</v>
      </c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37"/>
      <c r="AX3" s="147">
        <v>45583</v>
      </c>
      <c r="AY3" s="136"/>
      <c r="AZ3" s="136"/>
      <c r="BA3" s="136"/>
      <c r="BB3" s="136" t="s">
        <v>188</v>
      </c>
      <c r="BC3" s="136"/>
      <c r="BD3" s="136"/>
      <c r="BE3" s="136"/>
      <c r="BF3" s="147">
        <v>45583</v>
      </c>
      <c r="BG3" s="136"/>
      <c r="BH3" s="136"/>
      <c r="BI3" s="136"/>
      <c r="BJ3" s="136" t="s">
        <v>188</v>
      </c>
      <c r="BK3" s="136"/>
      <c r="BL3" s="136"/>
      <c r="BM3" s="148"/>
      <c r="BN3" s="14"/>
    </row>
    <row r="4" spans="1:66" ht="20.100000000000001" customHeight="1" thickBot="1" x14ac:dyDescent="0.5">
      <c r="A4" s="8"/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42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42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4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40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6" t="s">
        <v>8</v>
      </c>
      <c r="D8" s="146"/>
      <c r="E8" s="146"/>
      <c r="F8" s="146"/>
      <c r="G8" s="146" t="s">
        <v>9</v>
      </c>
      <c r="H8" s="146"/>
      <c r="I8" s="146"/>
      <c r="J8" s="146"/>
      <c r="K8" s="146" t="s">
        <v>10</v>
      </c>
      <c r="L8" s="146"/>
      <c r="M8" s="146"/>
      <c r="N8" s="146"/>
      <c r="O8" s="146" t="s">
        <v>11</v>
      </c>
      <c r="P8" s="146"/>
      <c r="Q8" s="146"/>
      <c r="R8" s="146"/>
      <c r="S8" s="146"/>
      <c r="T8" s="146"/>
      <c r="U8" s="146"/>
      <c r="V8" s="146"/>
      <c r="W8" s="146"/>
      <c r="X8" s="146"/>
      <c r="Y8" s="146" t="s">
        <v>12</v>
      </c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7"/>
      <c r="BN8" s="14"/>
    </row>
    <row r="9" spans="1:66" ht="20.100000000000001" customHeight="1" x14ac:dyDescent="0.45">
      <c r="A9" s="8"/>
      <c r="B9" s="7"/>
      <c r="C9" s="149">
        <v>45583</v>
      </c>
      <c r="D9" s="150"/>
      <c r="E9" s="150"/>
      <c r="F9" s="151"/>
      <c r="G9" s="152" t="s">
        <v>16</v>
      </c>
      <c r="H9" s="153"/>
      <c r="I9" s="153"/>
      <c r="J9" s="154"/>
      <c r="K9" s="155" t="s">
        <v>188</v>
      </c>
      <c r="L9" s="150"/>
      <c r="M9" s="150"/>
      <c r="N9" s="15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9"/>
      <c r="D10" s="150"/>
      <c r="E10" s="150"/>
      <c r="F10" s="151"/>
      <c r="G10" s="152"/>
      <c r="H10" s="153"/>
      <c r="I10" s="153"/>
      <c r="J10" s="154"/>
      <c r="K10" s="155"/>
      <c r="L10" s="150"/>
      <c r="M10" s="150"/>
      <c r="N10" s="15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9"/>
      <c r="D11" s="150"/>
      <c r="E11" s="150"/>
      <c r="F11" s="151"/>
      <c r="G11" s="152"/>
      <c r="H11" s="153"/>
      <c r="I11" s="153"/>
      <c r="J11" s="154"/>
      <c r="K11" s="155"/>
      <c r="L11" s="150"/>
      <c r="M11" s="150"/>
      <c r="N11" s="15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9"/>
      <c r="D36" s="150"/>
      <c r="E36" s="150"/>
      <c r="F36" s="151"/>
      <c r="G36" s="152"/>
      <c r="H36" s="153"/>
      <c r="I36" s="153"/>
      <c r="J36" s="154"/>
      <c r="K36" s="155"/>
      <c r="L36" s="150"/>
      <c r="M36" s="150"/>
      <c r="N36" s="15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9"/>
      <c r="D37" s="150"/>
      <c r="E37" s="150"/>
      <c r="F37" s="151"/>
      <c r="G37" s="152"/>
      <c r="H37" s="153"/>
      <c r="I37" s="153"/>
      <c r="J37" s="154"/>
      <c r="K37" s="155"/>
      <c r="L37" s="150"/>
      <c r="M37" s="150"/>
      <c r="N37" s="15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9"/>
      <c r="D38" s="150"/>
      <c r="E38" s="150"/>
      <c r="F38" s="151"/>
      <c r="G38" s="152"/>
      <c r="H38" s="153"/>
      <c r="I38" s="153"/>
      <c r="J38" s="154"/>
      <c r="K38" s="155"/>
      <c r="L38" s="150"/>
      <c r="M38" s="150"/>
      <c r="N38" s="15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9"/>
      <c r="D39" s="150"/>
      <c r="E39" s="150"/>
      <c r="F39" s="151"/>
      <c r="G39" s="152"/>
      <c r="H39" s="153"/>
      <c r="I39" s="153"/>
      <c r="J39" s="154"/>
      <c r="K39" s="155"/>
      <c r="L39" s="150"/>
      <c r="M39" s="150"/>
      <c r="N39" s="15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9"/>
      <c r="D40" s="150"/>
      <c r="E40" s="150"/>
      <c r="F40" s="151"/>
      <c r="G40" s="152"/>
      <c r="H40" s="153"/>
      <c r="I40" s="153"/>
      <c r="J40" s="154"/>
      <c r="K40" s="155"/>
      <c r="L40" s="150"/>
      <c r="M40" s="150"/>
      <c r="N40" s="15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9"/>
      <c r="D41" s="150"/>
      <c r="E41" s="150"/>
      <c r="F41" s="151"/>
      <c r="G41" s="152"/>
      <c r="H41" s="153"/>
      <c r="I41" s="153"/>
      <c r="J41" s="154"/>
      <c r="K41" s="155"/>
      <c r="L41" s="150"/>
      <c r="M41" s="150"/>
      <c r="N41" s="15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9"/>
      <c r="D42" s="150"/>
      <c r="E42" s="150"/>
      <c r="F42" s="151"/>
      <c r="G42" s="152"/>
      <c r="H42" s="153"/>
      <c r="I42" s="153"/>
      <c r="J42" s="154"/>
      <c r="K42" s="155"/>
      <c r="L42" s="150"/>
      <c r="M42" s="150"/>
      <c r="N42" s="15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9"/>
      <c r="D43" s="150"/>
      <c r="E43" s="150"/>
      <c r="F43" s="151"/>
      <c r="G43" s="152"/>
      <c r="H43" s="153"/>
      <c r="I43" s="153"/>
      <c r="J43" s="154"/>
      <c r="K43" s="155"/>
      <c r="L43" s="150"/>
      <c r="M43" s="150"/>
      <c r="N43" s="15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9"/>
      <c r="D44" s="150"/>
      <c r="E44" s="150"/>
      <c r="F44" s="151"/>
      <c r="G44" s="152"/>
      <c r="H44" s="153"/>
      <c r="I44" s="153"/>
      <c r="J44" s="154"/>
      <c r="K44" s="155"/>
      <c r="L44" s="150"/>
      <c r="M44" s="150"/>
      <c r="N44" s="15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9"/>
      <c r="D45" s="150"/>
      <c r="E45" s="150"/>
      <c r="F45" s="151"/>
      <c r="G45" s="152"/>
      <c r="H45" s="153"/>
      <c r="I45" s="153"/>
      <c r="J45" s="154"/>
      <c r="K45" s="155"/>
      <c r="L45" s="150"/>
      <c r="M45" s="150"/>
      <c r="N45" s="15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9"/>
      <c r="D46" s="150"/>
      <c r="E46" s="150"/>
      <c r="F46" s="151"/>
      <c r="G46" s="152"/>
      <c r="H46" s="153"/>
      <c r="I46" s="153"/>
      <c r="J46" s="154"/>
      <c r="K46" s="155"/>
      <c r="L46" s="150"/>
      <c r="M46" s="150"/>
      <c r="N46" s="15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9"/>
      <c r="D47" s="150"/>
      <c r="E47" s="150"/>
      <c r="F47" s="151"/>
      <c r="G47" s="152"/>
      <c r="H47" s="153"/>
      <c r="I47" s="153"/>
      <c r="J47" s="154"/>
      <c r="K47" s="155"/>
      <c r="L47" s="150"/>
      <c r="M47" s="150"/>
      <c r="N47" s="15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0" t="s">
        <v>0</v>
      </c>
      <c r="C2" s="131"/>
      <c r="D2" s="131"/>
      <c r="E2" s="131"/>
      <c r="F2" s="131"/>
      <c r="G2" s="131"/>
      <c r="H2" s="131" t="s">
        <v>17</v>
      </c>
      <c r="I2" s="131"/>
      <c r="J2" s="131"/>
      <c r="K2" s="131"/>
      <c r="L2" s="131" t="s">
        <v>187</v>
      </c>
      <c r="M2" s="131"/>
      <c r="N2" s="131"/>
      <c r="O2" s="131"/>
      <c r="P2" s="131"/>
      <c r="Q2" s="131"/>
      <c r="R2" s="131" t="s">
        <v>2</v>
      </c>
      <c r="S2" s="131"/>
      <c r="T2" s="131"/>
      <c r="U2" s="131"/>
      <c r="V2" s="131"/>
      <c r="W2" s="131"/>
      <c r="X2" s="132" t="s">
        <v>3</v>
      </c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32" t="s">
        <v>32</v>
      </c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4"/>
      <c r="AX2" s="131" t="s">
        <v>5</v>
      </c>
      <c r="AY2" s="131"/>
      <c r="AZ2" s="131"/>
      <c r="BA2" s="131"/>
      <c r="BB2" s="131" t="s">
        <v>4</v>
      </c>
      <c r="BC2" s="131"/>
      <c r="BD2" s="131"/>
      <c r="BE2" s="131"/>
      <c r="BF2" s="131" t="s">
        <v>6</v>
      </c>
      <c r="BG2" s="131"/>
      <c r="BH2" s="131"/>
      <c r="BI2" s="131"/>
      <c r="BJ2" s="131" t="s">
        <v>7</v>
      </c>
      <c r="BK2" s="131"/>
      <c r="BL2" s="131"/>
      <c r="BM2" s="145"/>
      <c r="BN2" s="35"/>
    </row>
    <row r="3" spans="1:66" ht="20.100000000000001" customHeight="1" x14ac:dyDescent="0.45">
      <c r="A3" s="32"/>
      <c r="B3" s="135" t="str">
        <f>変更履歴!B3</f>
        <v>受発注システム</v>
      </c>
      <c r="C3" s="136"/>
      <c r="D3" s="136"/>
      <c r="E3" s="136"/>
      <c r="F3" s="136"/>
      <c r="G3" s="136"/>
      <c r="H3" s="136" t="str">
        <f ca="1">変更履歴!H3</f>
        <v>KH0300</v>
      </c>
      <c r="I3" s="136"/>
      <c r="J3" s="136"/>
      <c r="K3" s="136"/>
      <c r="L3" s="136" t="str">
        <f>変更履歴!L3</f>
        <v>受発注</v>
      </c>
      <c r="M3" s="136"/>
      <c r="N3" s="136"/>
      <c r="O3" s="136"/>
      <c r="P3" s="136"/>
      <c r="Q3" s="136"/>
      <c r="R3" s="136" t="str">
        <f ca="1">変更履歴!R3</f>
        <v>帳票設計書</v>
      </c>
      <c r="S3" s="136"/>
      <c r="T3" s="136"/>
      <c r="U3" s="136"/>
      <c r="V3" s="136"/>
      <c r="W3" s="136"/>
      <c r="X3" s="140" t="str">
        <f ca="1">変更履歴!X3</f>
        <v>KH0300_経費データ取込リスト_帳票設計書</v>
      </c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37"/>
      <c r="AK3" s="140" t="str">
        <f ca="1">変更履歴!AK3</f>
        <v>経費データ取込リスト</v>
      </c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37"/>
      <c r="AX3" s="147">
        <f>変更履歴!AX3</f>
        <v>45583</v>
      </c>
      <c r="AY3" s="147"/>
      <c r="AZ3" s="147"/>
      <c r="BA3" s="147"/>
      <c r="BB3" s="136" t="str">
        <f>変更履歴!BB3</f>
        <v>大谷</v>
      </c>
      <c r="BC3" s="136"/>
      <c r="BD3" s="136"/>
      <c r="BE3" s="136"/>
      <c r="BF3" s="147">
        <f>変更履歴!BF3</f>
        <v>45583</v>
      </c>
      <c r="BG3" s="147"/>
      <c r="BH3" s="147"/>
      <c r="BI3" s="147"/>
      <c r="BJ3" s="136" t="str">
        <f>変更履歴!BJ3</f>
        <v>大谷</v>
      </c>
      <c r="BK3" s="136"/>
      <c r="BL3" s="136"/>
      <c r="BM3" s="148"/>
      <c r="BN3" s="35"/>
    </row>
    <row r="4" spans="1:66" ht="20.100000000000001" customHeight="1" thickBot="1" x14ac:dyDescent="0.5">
      <c r="A4" s="32"/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42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42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4"/>
      <c r="AX4" s="156"/>
      <c r="AY4" s="156"/>
      <c r="AZ4" s="156"/>
      <c r="BA4" s="156"/>
      <c r="BB4" s="138"/>
      <c r="BC4" s="138"/>
      <c r="BD4" s="138"/>
      <c r="BE4" s="138"/>
      <c r="BF4" s="156"/>
      <c r="BG4" s="156"/>
      <c r="BH4" s="156"/>
      <c r="BI4" s="156"/>
      <c r="BJ4" s="138"/>
      <c r="BK4" s="138"/>
      <c r="BL4" s="138"/>
      <c r="BM4" s="140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経費データ取込リスト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4" t="s">
        <v>91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89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90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91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91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92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91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184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topLeftCell="A3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0" t="s">
        <v>0</v>
      </c>
      <c r="C2" s="131"/>
      <c r="D2" s="131"/>
      <c r="E2" s="131"/>
      <c r="F2" s="131"/>
      <c r="G2" s="131"/>
      <c r="H2" s="131" t="s">
        <v>17</v>
      </c>
      <c r="I2" s="131"/>
      <c r="J2" s="131"/>
      <c r="K2" s="131"/>
      <c r="L2" s="131" t="s">
        <v>187</v>
      </c>
      <c r="M2" s="131"/>
      <c r="N2" s="131"/>
      <c r="O2" s="131"/>
      <c r="P2" s="131"/>
      <c r="Q2" s="131"/>
      <c r="R2" s="131" t="s">
        <v>2</v>
      </c>
      <c r="S2" s="131"/>
      <c r="T2" s="131"/>
      <c r="U2" s="131"/>
      <c r="V2" s="131"/>
      <c r="W2" s="131"/>
      <c r="X2" s="132" t="s">
        <v>3</v>
      </c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32" t="s">
        <v>32</v>
      </c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4"/>
      <c r="AX2" s="131" t="s">
        <v>5</v>
      </c>
      <c r="AY2" s="131"/>
      <c r="AZ2" s="131"/>
      <c r="BA2" s="131"/>
      <c r="BB2" s="131" t="s">
        <v>4</v>
      </c>
      <c r="BC2" s="131"/>
      <c r="BD2" s="131"/>
      <c r="BE2" s="131"/>
      <c r="BF2" s="131" t="s">
        <v>6</v>
      </c>
      <c r="BG2" s="131"/>
      <c r="BH2" s="131"/>
      <c r="BI2" s="131"/>
      <c r="BJ2" s="131" t="s">
        <v>7</v>
      </c>
      <c r="BK2" s="131"/>
      <c r="BL2" s="131"/>
      <c r="BM2" s="145"/>
      <c r="BN2" s="15"/>
    </row>
    <row r="3" spans="1:66" ht="20.100000000000001" customHeight="1" x14ac:dyDescent="0.45">
      <c r="A3" s="9"/>
      <c r="B3" s="135" t="str">
        <f>変更履歴!B3</f>
        <v>受発注システム</v>
      </c>
      <c r="C3" s="136"/>
      <c r="D3" s="136"/>
      <c r="E3" s="136"/>
      <c r="F3" s="136"/>
      <c r="G3" s="136"/>
      <c r="H3" s="136" t="str">
        <f ca="1">変更履歴!H3</f>
        <v>KH0300</v>
      </c>
      <c r="I3" s="136"/>
      <c r="J3" s="136"/>
      <c r="K3" s="136"/>
      <c r="L3" s="136" t="str">
        <f>変更履歴!L3</f>
        <v>受発注</v>
      </c>
      <c r="M3" s="136"/>
      <c r="N3" s="136"/>
      <c r="O3" s="136"/>
      <c r="P3" s="136"/>
      <c r="Q3" s="136"/>
      <c r="R3" s="136" t="str">
        <f ca="1">変更履歴!R3</f>
        <v>帳票設計書</v>
      </c>
      <c r="S3" s="136"/>
      <c r="T3" s="136"/>
      <c r="U3" s="136"/>
      <c r="V3" s="136"/>
      <c r="W3" s="136"/>
      <c r="X3" s="140" t="str">
        <f ca="1">変更履歴!X3</f>
        <v>KH0300_経費データ取込リスト_帳票設計書</v>
      </c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37"/>
      <c r="AK3" s="140" t="str">
        <f ca="1">変更履歴!AK3</f>
        <v>経費データ取込リスト</v>
      </c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37"/>
      <c r="AX3" s="147">
        <f>変更履歴!AX3</f>
        <v>45583</v>
      </c>
      <c r="AY3" s="147"/>
      <c r="AZ3" s="147"/>
      <c r="BA3" s="147"/>
      <c r="BB3" s="136" t="str">
        <f>変更履歴!BB3</f>
        <v>大谷</v>
      </c>
      <c r="BC3" s="136"/>
      <c r="BD3" s="136"/>
      <c r="BE3" s="136"/>
      <c r="BF3" s="147">
        <f>変更履歴!BF3</f>
        <v>45583</v>
      </c>
      <c r="BG3" s="147"/>
      <c r="BH3" s="147"/>
      <c r="BI3" s="147"/>
      <c r="BJ3" s="136" t="str">
        <f>変更履歴!BJ3</f>
        <v>大谷</v>
      </c>
      <c r="BK3" s="136"/>
      <c r="BL3" s="136"/>
      <c r="BM3" s="148"/>
      <c r="BN3" s="15"/>
    </row>
    <row r="4" spans="1:66" ht="20.100000000000001" customHeight="1" thickBot="1" x14ac:dyDescent="0.5">
      <c r="A4" s="9"/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42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42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4"/>
      <c r="AX4" s="156"/>
      <c r="AY4" s="156"/>
      <c r="AZ4" s="156"/>
      <c r="BA4" s="156"/>
      <c r="BB4" s="138"/>
      <c r="BC4" s="138"/>
      <c r="BD4" s="138"/>
      <c r="BE4" s="138"/>
      <c r="BF4" s="156"/>
      <c r="BG4" s="156"/>
      <c r="BH4" s="156"/>
      <c r="BI4" s="156"/>
      <c r="BJ4" s="138"/>
      <c r="BK4" s="138"/>
      <c r="BL4" s="138"/>
      <c r="BM4" s="140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30" t="s">
        <v>0</v>
      </c>
      <c r="C2" s="131"/>
      <c r="D2" s="131"/>
      <c r="E2" s="131"/>
      <c r="F2" s="131"/>
      <c r="G2" s="131"/>
      <c r="H2" s="131" t="s">
        <v>17</v>
      </c>
      <c r="I2" s="131"/>
      <c r="J2" s="131"/>
      <c r="K2" s="131"/>
      <c r="L2" s="131" t="s">
        <v>187</v>
      </c>
      <c r="M2" s="131"/>
      <c r="N2" s="131"/>
      <c r="O2" s="131"/>
      <c r="P2" s="131"/>
      <c r="Q2" s="131"/>
      <c r="R2" s="131" t="s">
        <v>2</v>
      </c>
      <c r="S2" s="131"/>
      <c r="T2" s="131"/>
      <c r="U2" s="131"/>
      <c r="V2" s="131"/>
      <c r="W2" s="131"/>
      <c r="X2" s="132" t="s">
        <v>3</v>
      </c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  <c r="AK2" s="132" t="s">
        <v>32</v>
      </c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4"/>
      <c r="AX2" s="131" t="s">
        <v>5</v>
      </c>
      <c r="AY2" s="131"/>
      <c r="AZ2" s="131"/>
      <c r="BA2" s="131"/>
      <c r="BB2" s="131" t="s">
        <v>4</v>
      </c>
      <c r="BC2" s="131"/>
      <c r="BD2" s="131"/>
      <c r="BE2" s="131"/>
      <c r="BF2" s="131" t="s">
        <v>6</v>
      </c>
      <c r="BG2" s="131"/>
      <c r="BH2" s="131"/>
      <c r="BI2" s="131"/>
      <c r="BJ2" s="131" t="s">
        <v>7</v>
      </c>
      <c r="BK2" s="131"/>
      <c r="BL2" s="131"/>
      <c r="BM2" s="145"/>
      <c r="BN2" s="15"/>
    </row>
    <row r="3" spans="1:85" ht="20.100000000000001" customHeight="1" x14ac:dyDescent="0.45">
      <c r="A3" s="9"/>
      <c r="B3" s="135" t="str">
        <f>変更履歴!B3</f>
        <v>受発注システム</v>
      </c>
      <c r="C3" s="136"/>
      <c r="D3" s="136"/>
      <c r="E3" s="136"/>
      <c r="F3" s="136"/>
      <c r="G3" s="136"/>
      <c r="H3" s="136" t="str">
        <f ca="1">変更履歴!H3</f>
        <v>KH0300</v>
      </c>
      <c r="I3" s="136"/>
      <c r="J3" s="136"/>
      <c r="K3" s="136"/>
      <c r="L3" s="136" t="str">
        <f>変更履歴!L3</f>
        <v>受発注</v>
      </c>
      <c r="M3" s="136"/>
      <c r="N3" s="136"/>
      <c r="O3" s="136"/>
      <c r="P3" s="136"/>
      <c r="Q3" s="136"/>
      <c r="R3" s="136" t="str">
        <f ca="1">変更履歴!R3</f>
        <v>帳票設計書</v>
      </c>
      <c r="S3" s="136"/>
      <c r="T3" s="136"/>
      <c r="U3" s="136"/>
      <c r="V3" s="136"/>
      <c r="W3" s="136"/>
      <c r="X3" s="140" t="str">
        <f ca="1">変更履歴!X3</f>
        <v>KH0300_経費データ取込リスト_帳票設計書</v>
      </c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37"/>
      <c r="AK3" s="140" t="str">
        <f ca="1">変更履歴!AK3</f>
        <v>経費データ取込リスト</v>
      </c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37"/>
      <c r="AX3" s="147">
        <f>変更履歴!AX3</f>
        <v>45583</v>
      </c>
      <c r="AY3" s="147"/>
      <c r="AZ3" s="147"/>
      <c r="BA3" s="147"/>
      <c r="BB3" s="136" t="str">
        <f>変更履歴!BB3</f>
        <v>大谷</v>
      </c>
      <c r="BC3" s="136"/>
      <c r="BD3" s="136"/>
      <c r="BE3" s="136"/>
      <c r="BF3" s="147">
        <f>変更履歴!BF3</f>
        <v>45583</v>
      </c>
      <c r="BG3" s="147"/>
      <c r="BH3" s="147"/>
      <c r="BI3" s="147"/>
      <c r="BJ3" s="136" t="str">
        <f>変更履歴!BJ3</f>
        <v>大谷</v>
      </c>
      <c r="BK3" s="136"/>
      <c r="BL3" s="136"/>
      <c r="BM3" s="148"/>
      <c r="BN3" s="15"/>
    </row>
    <row r="4" spans="1:85" ht="20.100000000000001" customHeight="1" thickBot="1" x14ac:dyDescent="0.5">
      <c r="A4" s="9"/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42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42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4"/>
      <c r="AX4" s="156"/>
      <c r="AY4" s="156"/>
      <c r="AZ4" s="156"/>
      <c r="BA4" s="156"/>
      <c r="BB4" s="138"/>
      <c r="BC4" s="138"/>
      <c r="BD4" s="138"/>
      <c r="BE4" s="138"/>
      <c r="BF4" s="156"/>
      <c r="BG4" s="156"/>
      <c r="BH4" s="156"/>
      <c r="BI4" s="156"/>
      <c r="BJ4" s="138"/>
      <c r="BK4" s="138"/>
      <c r="BL4" s="138"/>
      <c r="BM4" s="140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1" t="s">
        <v>20</v>
      </c>
      <c r="F10" s="192"/>
      <c r="G10" s="192"/>
      <c r="H10" s="192"/>
      <c r="I10" s="192"/>
      <c r="J10" s="192"/>
      <c r="K10" s="192"/>
      <c r="L10" s="193"/>
      <c r="M10" s="160" t="s">
        <v>24</v>
      </c>
      <c r="N10" s="161"/>
      <c r="O10" s="161"/>
      <c r="P10" s="160" t="s">
        <v>33</v>
      </c>
      <c r="Q10" s="161"/>
      <c r="R10" s="161"/>
      <c r="S10" s="160" t="s">
        <v>34</v>
      </c>
      <c r="T10" s="161"/>
      <c r="U10" s="161"/>
      <c r="V10" s="160" t="s">
        <v>36</v>
      </c>
      <c r="W10" s="161"/>
      <c r="X10" s="161"/>
      <c r="Y10" s="161"/>
      <c r="Z10" s="161"/>
      <c r="AA10" s="162"/>
      <c r="AB10" s="160" t="s">
        <v>35</v>
      </c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2"/>
      <c r="AR10" s="160" t="s">
        <v>42</v>
      </c>
      <c r="AS10" s="161"/>
      <c r="AT10" s="161"/>
      <c r="AU10" s="161"/>
      <c r="AV10" s="161"/>
      <c r="AW10" s="162"/>
      <c r="AX10" s="160" t="s">
        <v>43</v>
      </c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1"/>
      <c r="BT10" s="182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5" t="s">
        <v>93</v>
      </c>
      <c r="F11" s="186"/>
      <c r="G11" s="186"/>
      <c r="H11" s="186"/>
      <c r="I11" s="186"/>
      <c r="J11" s="186"/>
      <c r="K11" s="186"/>
      <c r="L11" s="187"/>
      <c r="M11" s="155" t="s">
        <v>8</v>
      </c>
      <c r="N11" s="150"/>
      <c r="O11" s="150"/>
      <c r="P11" s="155" t="s">
        <v>104</v>
      </c>
      <c r="Q11" s="150"/>
      <c r="R11" s="150"/>
      <c r="S11" s="155">
        <v>8</v>
      </c>
      <c r="T11" s="150"/>
      <c r="U11" s="150"/>
      <c r="V11" s="178" t="s">
        <v>103</v>
      </c>
      <c r="W11" s="179"/>
      <c r="X11" s="179"/>
      <c r="Y11" s="179"/>
      <c r="Z11" s="179"/>
      <c r="AA11" s="183"/>
      <c r="AB11" s="166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8"/>
      <c r="AR11" s="155"/>
      <c r="AS11" s="150"/>
      <c r="AT11" s="150"/>
      <c r="AU11" s="150"/>
      <c r="AV11" s="150"/>
      <c r="AW11" s="151"/>
      <c r="AX11" s="178"/>
      <c r="AY11" s="179"/>
      <c r="AZ11" s="179"/>
      <c r="BA11" s="179"/>
      <c r="BB11" s="179"/>
      <c r="BC11" s="179"/>
      <c r="BD11" s="179"/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80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5" t="s">
        <v>94</v>
      </c>
      <c r="F12" s="186"/>
      <c r="G12" s="186"/>
      <c r="H12" s="186"/>
      <c r="I12" s="186"/>
      <c r="J12" s="186"/>
      <c r="K12" s="186"/>
      <c r="L12" s="187"/>
      <c r="M12" s="155" t="s">
        <v>8</v>
      </c>
      <c r="N12" s="150"/>
      <c r="O12" s="150"/>
      <c r="P12" s="155" t="s">
        <v>104</v>
      </c>
      <c r="Q12" s="150"/>
      <c r="R12" s="150"/>
      <c r="S12" s="155">
        <v>8</v>
      </c>
      <c r="T12" s="150"/>
      <c r="U12" s="150"/>
      <c r="V12" s="178" t="s">
        <v>183</v>
      </c>
      <c r="W12" s="179"/>
      <c r="X12" s="179"/>
      <c r="Y12" s="179"/>
      <c r="Z12" s="179"/>
      <c r="AA12" s="183"/>
      <c r="AB12" s="166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8"/>
      <c r="AR12" s="155"/>
      <c r="AS12" s="150"/>
      <c r="AT12" s="150"/>
      <c r="AU12" s="150"/>
      <c r="AV12" s="150"/>
      <c r="AW12" s="151"/>
      <c r="AX12" s="178"/>
      <c r="AY12" s="179"/>
      <c r="AZ12" s="179"/>
      <c r="BA12" s="179"/>
      <c r="BB12" s="179"/>
      <c r="BC12" s="179"/>
      <c r="BD12" s="179"/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80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5" t="s">
        <v>95</v>
      </c>
      <c r="F13" s="186"/>
      <c r="G13" s="186"/>
      <c r="H13" s="186"/>
      <c r="I13" s="186"/>
      <c r="J13" s="186"/>
      <c r="K13" s="186"/>
      <c r="L13" s="187"/>
      <c r="M13" s="155" t="s">
        <v>47</v>
      </c>
      <c r="N13" s="150"/>
      <c r="O13" s="150"/>
      <c r="P13" s="155" t="s">
        <v>104</v>
      </c>
      <c r="Q13" s="150"/>
      <c r="R13" s="150"/>
      <c r="S13" s="155">
        <v>4</v>
      </c>
      <c r="T13" s="150"/>
      <c r="U13" s="150"/>
      <c r="V13" s="178" t="s">
        <v>153</v>
      </c>
      <c r="W13" s="179"/>
      <c r="X13" s="179"/>
      <c r="Y13" s="179"/>
      <c r="Z13" s="179"/>
      <c r="AA13" s="183"/>
      <c r="AB13" s="166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8"/>
      <c r="AR13" s="155"/>
      <c r="AS13" s="150"/>
      <c r="AT13" s="150"/>
      <c r="AU13" s="150"/>
      <c r="AV13" s="150"/>
      <c r="AW13" s="151"/>
      <c r="AX13" s="178"/>
      <c r="AY13" s="179"/>
      <c r="AZ13" s="179"/>
      <c r="BA13" s="179"/>
      <c r="BB13" s="179"/>
      <c r="BC13" s="179"/>
      <c r="BD13" s="179"/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80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5" t="s">
        <v>96</v>
      </c>
      <c r="F14" s="186"/>
      <c r="G14" s="186"/>
      <c r="H14" s="186"/>
      <c r="I14" s="186"/>
      <c r="J14" s="186"/>
      <c r="K14" s="186"/>
      <c r="L14" s="187"/>
      <c r="M14" s="155" t="s">
        <v>47</v>
      </c>
      <c r="N14" s="150"/>
      <c r="O14" s="150"/>
      <c r="P14" s="155" t="s">
        <v>104</v>
      </c>
      <c r="Q14" s="150"/>
      <c r="R14" s="150"/>
      <c r="S14" s="155">
        <v>4</v>
      </c>
      <c r="T14" s="150"/>
      <c r="U14" s="150"/>
      <c r="V14" s="178" t="s">
        <v>154</v>
      </c>
      <c r="W14" s="179"/>
      <c r="X14" s="179"/>
      <c r="Y14" s="179"/>
      <c r="Z14" s="179"/>
      <c r="AA14" s="183"/>
      <c r="AB14" s="166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8"/>
      <c r="AR14" s="155"/>
      <c r="AS14" s="150"/>
      <c r="AT14" s="150"/>
      <c r="AU14" s="150"/>
      <c r="AV14" s="150"/>
      <c r="AW14" s="151"/>
      <c r="AX14" s="178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80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5" t="s">
        <v>97</v>
      </c>
      <c r="F15" s="186"/>
      <c r="G15" s="186"/>
      <c r="H15" s="186"/>
      <c r="I15" s="186"/>
      <c r="J15" s="186"/>
      <c r="K15" s="186"/>
      <c r="L15" s="187"/>
      <c r="M15" s="155" t="s">
        <v>38</v>
      </c>
      <c r="N15" s="150"/>
      <c r="O15" s="150"/>
      <c r="P15" s="155" t="s">
        <v>105</v>
      </c>
      <c r="Q15" s="150"/>
      <c r="R15" s="150"/>
      <c r="S15" s="155"/>
      <c r="T15" s="150"/>
      <c r="U15" s="150"/>
      <c r="V15" s="178" t="s">
        <v>177</v>
      </c>
      <c r="W15" s="179"/>
      <c r="X15" s="179"/>
      <c r="Y15" s="179"/>
      <c r="Z15" s="179"/>
      <c r="AA15" s="183"/>
      <c r="AB15" s="166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8"/>
      <c r="AR15" s="155"/>
      <c r="AS15" s="150"/>
      <c r="AT15" s="150"/>
      <c r="AU15" s="150"/>
      <c r="AV15" s="150"/>
      <c r="AW15" s="151"/>
      <c r="AX15" s="178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80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5" t="s">
        <v>98</v>
      </c>
      <c r="F16" s="186"/>
      <c r="G16" s="186"/>
      <c r="H16" s="186"/>
      <c r="I16" s="186"/>
      <c r="J16" s="186"/>
      <c r="K16" s="186"/>
      <c r="L16" s="187"/>
      <c r="M16" s="155" t="s">
        <v>47</v>
      </c>
      <c r="N16" s="150"/>
      <c r="O16" s="150"/>
      <c r="P16" s="155" t="s">
        <v>104</v>
      </c>
      <c r="Q16" s="150"/>
      <c r="R16" s="150"/>
      <c r="S16" s="155"/>
      <c r="T16" s="150"/>
      <c r="U16" s="150"/>
      <c r="V16" s="178" t="s">
        <v>178</v>
      </c>
      <c r="W16" s="179"/>
      <c r="X16" s="179"/>
      <c r="Y16" s="179"/>
      <c r="Z16" s="179"/>
      <c r="AA16" s="183"/>
      <c r="AB16" s="166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8"/>
      <c r="AR16" s="155"/>
      <c r="AS16" s="150"/>
      <c r="AT16" s="150"/>
      <c r="AU16" s="150"/>
      <c r="AV16" s="150"/>
      <c r="AW16" s="151"/>
      <c r="AX16" s="178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80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129">
        <v>7</v>
      </c>
      <c r="E17" s="188" t="s">
        <v>99</v>
      </c>
      <c r="F17" s="189"/>
      <c r="G17" s="189"/>
      <c r="H17" s="189"/>
      <c r="I17" s="189"/>
      <c r="J17" s="189"/>
      <c r="K17" s="189"/>
      <c r="L17" s="190"/>
      <c r="M17" s="163" t="s">
        <v>47</v>
      </c>
      <c r="N17" s="164"/>
      <c r="O17" s="164"/>
      <c r="P17" s="163" t="s">
        <v>104</v>
      </c>
      <c r="Q17" s="164"/>
      <c r="R17" s="164"/>
      <c r="S17" s="163"/>
      <c r="T17" s="164"/>
      <c r="U17" s="164"/>
      <c r="V17" s="175"/>
      <c r="W17" s="176"/>
      <c r="X17" s="176"/>
      <c r="Y17" s="176"/>
      <c r="Z17" s="176"/>
      <c r="AA17" s="177"/>
      <c r="AB17" s="175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7"/>
      <c r="AR17" s="163"/>
      <c r="AS17" s="164"/>
      <c r="AT17" s="164"/>
      <c r="AU17" s="164"/>
      <c r="AV17" s="164"/>
      <c r="AW17" s="165"/>
      <c r="AX17" s="175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8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5" t="s">
        <v>100</v>
      </c>
      <c r="F18" s="186"/>
      <c r="G18" s="186"/>
      <c r="H18" s="186"/>
      <c r="I18" s="186"/>
      <c r="J18" s="186"/>
      <c r="K18" s="186"/>
      <c r="L18" s="187"/>
      <c r="M18" s="155" t="s">
        <v>47</v>
      </c>
      <c r="N18" s="150"/>
      <c r="O18" s="150"/>
      <c r="P18" s="155" t="s">
        <v>104</v>
      </c>
      <c r="Q18" s="150"/>
      <c r="R18" s="150"/>
      <c r="S18" s="155"/>
      <c r="T18" s="150"/>
      <c r="U18" s="150"/>
      <c r="V18" s="178" t="s">
        <v>179</v>
      </c>
      <c r="W18" s="179"/>
      <c r="X18" s="179"/>
      <c r="Y18" s="179"/>
      <c r="Z18" s="179"/>
      <c r="AA18" s="183"/>
      <c r="AB18" s="166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8"/>
      <c r="AR18" s="155"/>
      <c r="AS18" s="150"/>
      <c r="AT18" s="150"/>
      <c r="AU18" s="150"/>
      <c r="AV18" s="150"/>
      <c r="AW18" s="151"/>
      <c r="AX18" s="178" t="s">
        <v>182</v>
      </c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80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5" t="s">
        <v>101</v>
      </c>
      <c r="F19" s="186"/>
      <c r="G19" s="186"/>
      <c r="H19" s="186"/>
      <c r="I19" s="186"/>
      <c r="J19" s="186"/>
      <c r="K19" s="186"/>
      <c r="L19" s="187"/>
      <c r="M19" s="155" t="s">
        <v>38</v>
      </c>
      <c r="N19" s="150"/>
      <c r="O19" s="150"/>
      <c r="P19" s="155" t="s">
        <v>105</v>
      </c>
      <c r="Q19" s="150"/>
      <c r="R19" s="150"/>
      <c r="S19" s="155"/>
      <c r="T19" s="150"/>
      <c r="U19" s="150"/>
      <c r="V19" s="178" t="s">
        <v>179</v>
      </c>
      <c r="W19" s="179"/>
      <c r="X19" s="179"/>
      <c r="Y19" s="179"/>
      <c r="Z19" s="179"/>
      <c r="AA19" s="183"/>
      <c r="AB19" s="166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8"/>
      <c r="AR19" s="155"/>
      <c r="AS19" s="150"/>
      <c r="AT19" s="150"/>
      <c r="AU19" s="150"/>
      <c r="AV19" s="150"/>
      <c r="AW19" s="151"/>
      <c r="AX19" s="178" t="s">
        <v>182</v>
      </c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80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5" t="s">
        <v>102</v>
      </c>
      <c r="F20" s="186"/>
      <c r="G20" s="186"/>
      <c r="H20" s="186"/>
      <c r="I20" s="186"/>
      <c r="J20" s="186"/>
      <c r="K20" s="186"/>
      <c r="L20" s="187"/>
      <c r="M20" s="155" t="s">
        <v>38</v>
      </c>
      <c r="N20" s="150"/>
      <c r="O20" s="150"/>
      <c r="P20" s="155" t="s">
        <v>105</v>
      </c>
      <c r="Q20" s="150"/>
      <c r="R20" s="150"/>
      <c r="S20" s="155"/>
      <c r="T20" s="150"/>
      <c r="U20" s="150"/>
      <c r="V20" s="178" t="s">
        <v>180</v>
      </c>
      <c r="W20" s="179"/>
      <c r="X20" s="179"/>
      <c r="Y20" s="179"/>
      <c r="Z20" s="179"/>
      <c r="AA20" s="183"/>
      <c r="AB20" s="166" t="s">
        <v>181</v>
      </c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8"/>
      <c r="AR20" s="155"/>
      <c r="AS20" s="150"/>
      <c r="AT20" s="150"/>
      <c r="AU20" s="150"/>
      <c r="AV20" s="150"/>
      <c r="AW20" s="151"/>
      <c r="AX20" s="178"/>
      <c r="AY20" s="179"/>
      <c r="AZ20" s="179"/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80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5"/>
      <c r="F21" s="186"/>
      <c r="G21" s="186"/>
      <c r="H21" s="186"/>
      <c r="I21" s="186"/>
      <c r="J21" s="186"/>
      <c r="K21" s="186"/>
      <c r="L21" s="187"/>
      <c r="M21" s="155"/>
      <c r="N21" s="150"/>
      <c r="O21" s="150"/>
      <c r="P21" s="155"/>
      <c r="Q21" s="150"/>
      <c r="R21" s="150"/>
      <c r="S21" s="155"/>
      <c r="T21" s="150"/>
      <c r="U21" s="150"/>
      <c r="V21" s="178"/>
      <c r="W21" s="179"/>
      <c r="X21" s="179"/>
      <c r="Y21" s="179"/>
      <c r="Z21" s="179"/>
      <c r="AA21" s="183"/>
      <c r="AB21" s="166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8"/>
      <c r="AR21" s="155"/>
      <c r="AS21" s="150"/>
      <c r="AT21" s="150"/>
      <c r="AU21" s="150"/>
      <c r="AV21" s="150"/>
      <c r="AW21" s="151"/>
      <c r="AX21" s="178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80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5"/>
      <c r="F22" s="186"/>
      <c r="G22" s="186"/>
      <c r="H22" s="186"/>
      <c r="I22" s="186"/>
      <c r="J22" s="186"/>
      <c r="K22" s="186"/>
      <c r="L22" s="187"/>
      <c r="M22" s="155"/>
      <c r="N22" s="150"/>
      <c r="O22" s="150"/>
      <c r="P22" s="155"/>
      <c r="Q22" s="150"/>
      <c r="R22" s="150"/>
      <c r="S22" s="155"/>
      <c r="T22" s="150"/>
      <c r="U22" s="150"/>
      <c r="V22" s="178"/>
      <c r="W22" s="179"/>
      <c r="X22" s="179"/>
      <c r="Y22" s="179"/>
      <c r="Z22" s="179"/>
      <c r="AA22" s="183"/>
      <c r="AB22" s="166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8"/>
      <c r="AR22" s="155"/>
      <c r="AS22" s="150"/>
      <c r="AT22" s="150"/>
      <c r="AU22" s="150"/>
      <c r="AV22" s="150"/>
      <c r="AW22" s="151"/>
      <c r="AX22" s="178"/>
      <c r="AY22" s="179"/>
      <c r="AZ22" s="179"/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80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5"/>
      <c r="F23" s="186"/>
      <c r="G23" s="186"/>
      <c r="H23" s="186"/>
      <c r="I23" s="186"/>
      <c r="J23" s="186"/>
      <c r="K23" s="186"/>
      <c r="L23" s="187"/>
      <c r="M23" s="155"/>
      <c r="N23" s="150"/>
      <c r="O23" s="150"/>
      <c r="P23" s="155"/>
      <c r="Q23" s="150"/>
      <c r="R23" s="150"/>
      <c r="S23" s="155"/>
      <c r="T23" s="150"/>
      <c r="U23" s="150"/>
      <c r="V23" s="178"/>
      <c r="W23" s="179"/>
      <c r="X23" s="179"/>
      <c r="Y23" s="179"/>
      <c r="Z23" s="179"/>
      <c r="AA23" s="183"/>
      <c r="AB23" s="166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8"/>
      <c r="AR23" s="155"/>
      <c r="AS23" s="150"/>
      <c r="AT23" s="150"/>
      <c r="AU23" s="150"/>
      <c r="AV23" s="150"/>
      <c r="AW23" s="151"/>
      <c r="AX23" s="178"/>
      <c r="AY23" s="179"/>
      <c r="AZ23" s="179"/>
      <c r="BA23" s="179"/>
      <c r="BB23" s="179"/>
      <c r="BC23" s="179"/>
      <c r="BD23" s="179"/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80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5"/>
      <c r="F24" s="186"/>
      <c r="G24" s="186"/>
      <c r="H24" s="186"/>
      <c r="I24" s="186"/>
      <c r="J24" s="186"/>
      <c r="K24" s="186"/>
      <c r="L24" s="187"/>
      <c r="M24" s="155"/>
      <c r="N24" s="150"/>
      <c r="O24" s="150"/>
      <c r="P24" s="155"/>
      <c r="Q24" s="150"/>
      <c r="R24" s="150"/>
      <c r="S24" s="155"/>
      <c r="T24" s="150"/>
      <c r="U24" s="150"/>
      <c r="V24" s="178"/>
      <c r="W24" s="179"/>
      <c r="X24" s="179"/>
      <c r="Y24" s="179"/>
      <c r="Z24" s="179"/>
      <c r="AA24" s="183"/>
      <c r="AB24" s="166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8"/>
      <c r="AR24" s="155"/>
      <c r="AS24" s="150"/>
      <c r="AT24" s="150"/>
      <c r="AU24" s="150"/>
      <c r="AV24" s="150"/>
      <c r="AW24" s="151"/>
      <c r="AX24" s="178"/>
      <c r="AY24" s="179"/>
      <c r="AZ24" s="179"/>
      <c r="BA24" s="179"/>
      <c r="BB24" s="179"/>
      <c r="BC24" s="179"/>
      <c r="BD24" s="179"/>
      <c r="BE24" s="179"/>
      <c r="BF24" s="179"/>
      <c r="BG24" s="179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80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5"/>
      <c r="F25" s="186"/>
      <c r="G25" s="186"/>
      <c r="H25" s="186"/>
      <c r="I25" s="186"/>
      <c r="J25" s="186"/>
      <c r="K25" s="186"/>
      <c r="L25" s="187"/>
      <c r="M25" s="155"/>
      <c r="N25" s="150"/>
      <c r="O25" s="150"/>
      <c r="P25" s="155"/>
      <c r="Q25" s="150"/>
      <c r="R25" s="150"/>
      <c r="S25" s="155"/>
      <c r="T25" s="150"/>
      <c r="U25" s="150"/>
      <c r="V25" s="178"/>
      <c r="W25" s="179"/>
      <c r="X25" s="179"/>
      <c r="Y25" s="179"/>
      <c r="Z25" s="179"/>
      <c r="AA25" s="183"/>
      <c r="AB25" s="166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8"/>
      <c r="AR25" s="155"/>
      <c r="AS25" s="150"/>
      <c r="AT25" s="150"/>
      <c r="AU25" s="150"/>
      <c r="AV25" s="150"/>
      <c r="AW25" s="151"/>
      <c r="AX25" s="178"/>
      <c r="AY25" s="179"/>
      <c r="AZ25" s="179"/>
      <c r="BA25" s="179"/>
      <c r="BB25" s="179"/>
      <c r="BC25" s="179"/>
      <c r="BD25" s="179"/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80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5"/>
      <c r="F26" s="186"/>
      <c r="G26" s="186"/>
      <c r="H26" s="186"/>
      <c r="I26" s="186"/>
      <c r="J26" s="186"/>
      <c r="K26" s="186"/>
      <c r="L26" s="187"/>
      <c r="M26" s="155"/>
      <c r="N26" s="150"/>
      <c r="O26" s="150"/>
      <c r="P26" s="155"/>
      <c r="Q26" s="150"/>
      <c r="R26" s="150"/>
      <c r="S26" s="155"/>
      <c r="T26" s="150"/>
      <c r="U26" s="150"/>
      <c r="V26" s="178"/>
      <c r="W26" s="179"/>
      <c r="X26" s="179"/>
      <c r="Y26" s="179"/>
      <c r="Z26" s="179"/>
      <c r="AA26" s="183"/>
      <c r="AB26" s="166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8"/>
      <c r="AR26" s="155"/>
      <c r="AS26" s="150"/>
      <c r="AT26" s="150"/>
      <c r="AU26" s="150"/>
      <c r="AV26" s="150"/>
      <c r="AW26" s="151"/>
      <c r="AX26" s="178"/>
      <c r="AY26" s="179"/>
      <c r="AZ26" s="179"/>
      <c r="BA26" s="179"/>
      <c r="BB26" s="179"/>
      <c r="BC26" s="179"/>
      <c r="BD26" s="179"/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80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5"/>
      <c r="F27" s="186"/>
      <c r="G27" s="186"/>
      <c r="H27" s="186"/>
      <c r="I27" s="186"/>
      <c r="J27" s="186"/>
      <c r="K27" s="186"/>
      <c r="L27" s="187"/>
      <c r="M27" s="155"/>
      <c r="N27" s="150"/>
      <c r="O27" s="150"/>
      <c r="P27" s="155"/>
      <c r="Q27" s="150"/>
      <c r="R27" s="150"/>
      <c r="S27" s="155"/>
      <c r="T27" s="150"/>
      <c r="U27" s="150"/>
      <c r="V27" s="178"/>
      <c r="W27" s="179"/>
      <c r="X27" s="179"/>
      <c r="Y27" s="179"/>
      <c r="Z27" s="179"/>
      <c r="AA27" s="183"/>
      <c r="AB27" s="166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8"/>
      <c r="AR27" s="155"/>
      <c r="AS27" s="150"/>
      <c r="AT27" s="150"/>
      <c r="AU27" s="150"/>
      <c r="AV27" s="150"/>
      <c r="AW27" s="151"/>
      <c r="AX27" s="178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80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85"/>
      <c r="F28" s="186"/>
      <c r="G28" s="186"/>
      <c r="H28" s="186"/>
      <c r="I28" s="186"/>
      <c r="J28" s="186"/>
      <c r="K28" s="186"/>
      <c r="L28" s="187"/>
      <c r="M28" s="155"/>
      <c r="N28" s="150"/>
      <c r="O28" s="150"/>
      <c r="P28" s="155"/>
      <c r="Q28" s="150"/>
      <c r="R28" s="150"/>
      <c r="S28" s="155"/>
      <c r="T28" s="150"/>
      <c r="U28" s="150"/>
      <c r="V28" s="178"/>
      <c r="W28" s="179"/>
      <c r="X28" s="179"/>
      <c r="Y28" s="179"/>
      <c r="Z28" s="179"/>
      <c r="AA28" s="183"/>
      <c r="AB28" s="166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8"/>
      <c r="AR28" s="155"/>
      <c r="AS28" s="150"/>
      <c r="AT28" s="150"/>
      <c r="AU28" s="150"/>
      <c r="AV28" s="150"/>
      <c r="AW28" s="151"/>
      <c r="AX28" s="178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80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5"/>
      <c r="F29" s="186"/>
      <c r="G29" s="186"/>
      <c r="H29" s="186"/>
      <c r="I29" s="186"/>
      <c r="J29" s="186"/>
      <c r="K29" s="186"/>
      <c r="L29" s="187"/>
      <c r="M29" s="155"/>
      <c r="N29" s="150"/>
      <c r="O29" s="150"/>
      <c r="P29" s="155"/>
      <c r="Q29" s="150"/>
      <c r="R29" s="150"/>
      <c r="S29" s="155"/>
      <c r="T29" s="150"/>
      <c r="U29" s="150"/>
      <c r="V29" s="178"/>
      <c r="W29" s="179"/>
      <c r="X29" s="179"/>
      <c r="Y29" s="179"/>
      <c r="Z29" s="179"/>
      <c r="AA29" s="183"/>
      <c r="AB29" s="166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8"/>
      <c r="AR29" s="155"/>
      <c r="AS29" s="150"/>
      <c r="AT29" s="150"/>
      <c r="AU29" s="150"/>
      <c r="AV29" s="150"/>
      <c r="AW29" s="151"/>
      <c r="AX29" s="178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80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94"/>
      <c r="F30" s="195"/>
      <c r="G30" s="195"/>
      <c r="H30" s="195"/>
      <c r="I30" s="195"/>
      <c r="J30" s="195"/>
      <c r="K30" s="195"/>
      <c r="L30" s="196"/>
      <c r="M30" s="157"/>
      <c r="N30" s="158"/>
      <c r="O30" s="159"/>
      <c r="P30" s="157"/>
      <c r="Q30" s="158"/>
      <c r="R30" s="158"/>
      <c r="S30" s="157"/>
      <c r="T30" s="158"/>
      <c r="U30" s="158"/>
      <c r="V30" s="172"/>
      <c r="W30" s="173"/>
      <c r="X30" s="173"/>
      <c r="Y30" s="173"/>
      <c r="Z30" s="173"/>
      <c r="AA30" s="184"/>
      <c r="AB30" s="169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1"/>
      <c r="AR30" s="157"/>
      <c r="AS30" s="158"/>
      <c r="AT30" s="158"/>
      <c r="AU30" s="158"/>
      <c r="AV30" s="158"/>
      <c r="AW30" s="159"/>
      <c r="AX30" s="172"/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9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6" t="s">
        <v>0</v>
      </c>
      <c r="C2" s="201"/>
      <c r="D2" s="201"/>
      <c r="E2" s="201"/>
      <c r="F2" s="201"/>
      <c r="G2" s="201"/>
      <c r="H2" s="201" t="s">
        <v>17</v>
      </c>
      <c r="I2" s="201"/>
      <c r="J2" s="201"/>
      <c r="K2" s="201"/>
      <c r="L2" s="201" t="s">
        <v>187</v>
      </c>
      <c r="M2" s="201"/>
      <c r="N2" s="201"/>
      <c r="O2" s="201"/>
      <c r="P2" s="201"/>
      <c r="Q2" s="201"/>
      <c r="R2" s="201" t="s">
        <v>2</v>
      </c>
      <c r="S2" s="201"/>
      <c r="T2" s="201"/>
      <c r="U2" s="201"/>
      <c r="V2" s="201"/>
      <c r="W2" s="201"/>
      <c r="X2" s="207" t="s">
        <v>3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9"/>
      <c r="AK2" s="207" t="s">
        <v>32</v>
      </c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9"/>
      <c r="AX2" s="201" t="s">
        <v>5</v>
      </c>
      <c r="AY2" s="201"/>
      <c r="AZ2" s="201"/>
      <c r="BA2" s="201"/>
      <c r="BB2" s="201" t="s">
        <v>4</v>
      </c>
      <c r="BC2" s="201"/>
      <c r="BD2" s="201"/>
      <c r="BE2" s="201"/>
      <c r="BF2" s="201" t="s">
        <v>6</v>
      </c>
      <c r="BG2" s="201"/>
      <c r="BH2" s="201"/>
      <c r="BI2" s="201"/>
      <c r="BJ2" s="201" t="s">
        <v>7</v>
      </c>
      <c r="BK2" s="201"/>
      <c r="BL2" s="201"/>
      <c r="BM2" s="202"/>
    </row>
    <row r="3" spans="2:65" ht="20.100000000000001" customHeight="1" x14ac:dyDescent="0.45">
      <c r="B3" s="210" t="str">
        <f>変更履歴!B3</f>
        <v>受発注システム</v>
      </c>
      <c r="C3" s="136"/>
      <c r="D3" s="136"/>
      <c r="E3" s="136"/>
      <c r="F3" s="136"/>
      <c r="G3" s="136"/>
      <c r="H3" s="136" t="str">
        <f ca="1">変更履歴!H3</f>
        <v>KH0300</v>
      </c>
      <c r="I3" s="136"/>
      <c r="J3" s="136"/>
      <c r="K3" s="136"/>
      <c r="L3" s="136" t="str">
        <f>変更履歴!L3</f>
        <v>受発注</v>
      </c>
      <c r="M3" s="136"/>
      <c r="N3" s="136"/>
      <c r="O3" s="136"/>
      <c r="P3" s="136"/>
      <c r="Q3" s="136"/>
      <c r="R3" s="136" t="str">
        <f ca="1">変更履歴!R3</f>
        <v>帳票設計書</v>
      </c>
      <c r="S3" s="136"/>
      <c r="T3" s="136"/>
      <c r="U3" s="136"/>
      <c r="V3" s="136"/>
      <c r="W3" s="136"/>
      <c r="X3" s="140" t="str">
        <f ca="1">変更履歴!X3</f>
        <v>KH0300_経費データ取込リスト_帳票設計書</v>
      </c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37"/>
      <c r="AK3" s="140" t="str">
        <f ca="1">変更履歴!AK3</f>
        <v>経費データ取込リスト</v>
      </c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37"/>
      <c r="AX3" s="147">
        <f>変更履歴!AX3</f>
        <v>45583</v>
      </c>
      <c r="AY3" s="147"/>
      <c r="AZ3" s="147"/>
      <c r="BA3" s="147"/>
      <c r="BB3" s="136" t="str">
        <f>変更履歴!BB3</f>
        <v>大谷</v>
      </c>
      <c r="BC3" s="136"/>
      <c r="BD3" s="136"/>
      <c r="BE3" s="136"/>
      <c r="BF3" s="147">
        <f>変更履歴!BF3</f>
        <v>45583</v>
      </c>
      <c r="BG3" s="147"/>
      <c r="BH3" s="147"/>
      <c r="BI3" s="147"/>
      <c r="BJ3" s="136" t="str">
        <f>変更履歴!BJ3</f>
        <v>大谷</v>
      </c>
      <c r="BK3" s="136"/>
      <c r="BL3" s="136"/>
      <c r="BM3" s="199"/>
    </row>
    <row r="4" spans="2:65" ht="20.100000000000001" customHeight="1" thickBot="1" x14ac:dyDescent="0.5">
      <c r="B4" s="211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203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5"/>
      <c r="AK4" s="203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5"/>
      <c r="AX4" s="197"/>
      <c r="AY4" s="197"/>
      <c r="AZ4" s="197"/>
      <c r="BA4" s="197"/>
      <c r="BB4" s="198"/>
      <c r="BC4" s="198"/>
      <c r="BD4" s="198"/>
      <c r="BE4" s="198"/>
      <c r="BF4" s="197"/>
      <c r="BG4" s="197"/>
      <c r="BH4" s="197"/>
      <c r="BI4" s="197"/>
      <c r="BJ4" s="198"/>
      <c r="BK4" s="198"/>
      <c r="BL4" s="198"/>
      <c r="BM4" s="200"/>
    </row>
    <row r="5" spans="2:65" ht="4.8" customHeight="1" thickBot="1" x14ac:dyDescent="0.5"/>
    <row r="6" spans="2:65" ht="20.100000000000001" customHeight="1" x14ac:dyDescent="0.45">
      <c r="B6" s="89" t="s">
        <v>111</v>
      </c>
      <c r="C6" s="90"/>
      <c r="D6" s="90"/>
      <c r="E6" s="90"/>
      <c r="F6" s="90"/>
      <c r="G6" s="91"/>
      <c r="H6" s="92" t="s">
        <v>83</v>
      </c>
      <c r="I6" s="90"/>
      <c r="J6" s="120" t="s">
        <v>116</v>
      </c>
      <c r="K6" s="121"/>
      <c r="L6" s="121"/>
      <c r="M6" s="121"/>
      <c r="N6" s="121"/>
      <c r="O6" s="121"/>
      <c r="P6" s="121"/>
      <c r="Q6" s="122"/>
      <c r="R6" s="120" t="s">
        <v>120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 t="s">
        <v>115</v>
      </c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03" t="s">
        <v>117</v>
      </c>
      <c r="K7" s="104"/>
      <c r="L7" s="104"/>
      <c r="M7" s="104"/>
      <c r="N7" s="104"/>
      <c r="O7" s="104"/>
      <c r="P7" s="104"/>
      <c r="Q7" s="127"/>
      <c r="R7" s="103" t="s">
        <v>121</v>
      </c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27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03" t="s">
        <v>118</v>
      </c>
      <c r="K8" s="104"/>
      <c r="L8" s="104"/>
      <c r="M8" s="104"/>
      <c r="N8" s="104"/>
      <c r="O8" s="104"/>
      <c r="P8" s="104"/>
      <c r="Q8" s="127"/>
      <c r="R8" s="103" t="s">
        <v>122</v>
      </c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27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03" t="s">
        <v>119</v>
      </c>
      <c r="K9" s="104"/>
      <c r="L9" s="104"/>
      <c r="M9" s="104"/>
      <c r="N9" s="104"/>
      <c r="O9" s="104"/>
      <c r="P9" s="104"/>
      <c r="Q9" s="127"/>
      <c r="R9" s="103" t="s">
        <v>123</v>
      </c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27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100" t="s">
        <v>53</v>
      </c>
      <c r="I10" s="55"/>
      <c r="J10" s="100" t="s">
        <v>113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101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102"/>
    </row>
    <row r="11" spans="2:65" ht="20.100000000000001" customHeight="1" thickBot="1" x14ac:dyDescent="0.5">
      <c r="B11" s="123"/>
      <c r="C11" s="31"/>
      <c r="D11" s="31"/>
      <c r="E11" s="31"/>
      <c r="F11" s="31"/>
      <c r="G11" s="96"/>
      <c r="H11" s="100" t="s">
        <v>54</v>
      </c>
      <c r="I11" s="55"/>
      <c r="J11" s="100" t="s">
        <v>114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101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102"/>
    </row>
    <row r="12" spans="2:65" ht="20.100000000000001" customHeight="1" x14ac:dyDescent="0.45">
      <c r="B12" s="89" t="s">
        <v>112</v>
      </c>
      <c r="C12" s="90"/>
      <c r="D12" s="90"/>
      <c r="E12" s="90"/>
      <c r="F12" s="90"/>
      <c r="G12" s="91"/>
      <c r="H12" s="92" t="s">
        <v>83</v>
      </c>
      <c r="I12" s="90"/>
      <c r="J12" s="120" t="s">
        <v>116</v>
      </c>
      <c r="K12" s="121"/>
      <c r="L12" s="121"/>
      <c r="M12" s="121"/>
      <c r="N12" s="121"/>
      <c r="O12" s="121"/>
      <c r="P12" s="121"/>
      <c r="Q12" s="122"/>
      <c r="R12" s="120" t="s">
        <v>137</v>
      </c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2"/>
      <c r="AK12" s="93" t="s">
        <v>115</v>
      </c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4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03" t="s">
        <v>126</v>
      </c>
      <c r="K13" s="104"/>
      <c r="L13" s="104"/>
      <c r="M13" s="104"/>
      <c r="N13" s="104"/>
      <c r="O13" s="104"/>
      <c r="P13" s="104"/>
      <c r="Q13" s="127"/>
      <c r="R13" s="103" t="s">
        <v>138</v>
      </c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27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03" t="s">
        <v>127</v>
      </c>
      <c r="K14" s="104"/>
      <c r="L14" s="104"/>
      <c r="M14" s="104"/>
      <c r="N14" s="104"/>
      <c r="O14" s="104"/>
      <c r="P14" s="104"/>
      <c r="Q14" s="127"/>
      <c r="R14" s="103" t="s">
        <v>150</v>
      </c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27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103" t="s">
        <v>128</v>
      </c>
      <c r="K15" s="104"/>
      <c r="L15" s="104"/>
      <c r="M15" s="104"/>
      <c r="N15" s="104"/>
      <c r="O15" s="104"/>
      <c r="P15" s="104"/>
      <c r="Q15" s="127"/>
      <c r="R15" s="103" t="s">
        <v>139</v>
      </c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27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97"/>
      <c r="I16" s="31"/>
      <c r="J16" s="103" t="s">
        <v>129</v>
      </c>
      <c r="K16" s="104"/>
      <c r="L16" s="104"/>
      <c r="M16" s="104"/>
      <c r="N16" s="104"/>
      <c r="O16" s="104"/>
      <c r="P16" s="104"/>
      <c r="Q16" s="127"/>
      <c r="R16" s="103" t="s">
        <v>140</v>
      </c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27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97"/>
      <c r="I17" s="31"/>
      <c r="J17" s="103" t="s">
        <v>130</v>
      </c>
      <c r="K17" s="104"/>
      <c r="L17" s="104"/>
      <c r="M17" s="104"/>
      <c r="N17" s="104"/>
      <c r="O17" s="104"/>
      <c r="P17" s="104"/>
      <c r="Q17" s="127"/>
      <c r="R17" s="103" t="s">
        <v>141</v>
      </c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27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03" t="s">
        <v>131</v>
      </c>
      <c r="K18" s="104"/>
      <c r="L18" s="104"/>
      <c r="M18" s="104"/>
      <c r="N18" s="104"/>
      <c r="O18" s="104"/>
      <c r="P18" s="104"/>
      <c r="Q18" s="127"/>
      <c r="R18" s="103" t="s">
        <v>142</v>
      </c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27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97"/>
      <c r="I19" s="31"/>
      <c r="J19" s="103" t="s">
        <v>132</v>
      </c>
      <c r="K19" s="104"/>
      <c r="L19" s="104"/>
      <c r="M19" s="104"/>
      <c r="N19" s="104"/>
      <c r="O19" s="104"/>
      <c r="P19" s="104"/>
      <c r="Q19" s="127"/>
      <c r="R19" s="103" t="s">
        <v>143</v>
      </c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27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97"/>
      <c r="I20" s="31"/>
      <c r="J20" s="103" t="s">
        <v>133</v>
      </c>
      <c r="K20" s="104"/>
      <c r="L20" s="104"/>
      <c r="M20" s="104"/>
      <c r="N20" s="104"/>
      <c r="O20" s="104"/>
      <c r="P20" s="104"/>
      <c r="Q20" s="127"/>
      <c r="R20" s="103" t="s">
        <v>144</v>
      </c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27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97"/>
      <c r="I21" s="31"/>
      <c r="J21" s="103" t="s">
        <v>134</v>
      </c>
      <c r="K21" s="104"/>
      <c r="L21" s="104"/>
      <c r="M21" s="104"/>
      <c r="N21" s="104"/>
      <c r="O21" s="104"/>
      <c r="P21" s="104"/>
      <c r="Q21" s="127"/>
      <c r="R21" s="103" t="s">
        <v>145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27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97"/>
      <c r="I22" s="31"/>
      <c r="J22" s="103" t="s">
        <v>118</v>
      </c>
      <c r="K22" s="104"/>
      <c r="L22" s="104"/>
      <c r="M22" s="104"/>
      <c r="N22" s="104"/>
      <c r="O22" s="104"/>
      <c r="P22" s="104"/>
      <c r="Q22" s="127"/>
      <c r="R22" s="103" t="s">
        <v>146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27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97"/>
      <c r="I23" s="31"/>
      <c r="J23" s="103" t="s">
        <v>119</v>
      </c>
      <c r="K23" s="104"/>
      <c r="L23" s="104"/>
      <c r="M23" s="104"/>
      <c r="N23" s="104"/>
      <c r="O23" s="104"/>
      <c r="P23" s="104"/>
      <c r="Q23" s="127"/>
      <c r="R23" s="103" t="s">
        <v>147</v>
      </c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27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97"/>
      <c r="I24" s="31"/>
      <c r="J24" s="103" t="s">
        <v>135</v>
      </c>
      <c r="K24" s="104"/>
      <c r="L24" s="104"/>
      <c r="M24" s="104"/>
      <c r="N24" s="104"/>
      <c r="O24" s="104"/>
      <c r="P24" s="104"/>
      <c r="Q24" s="127"/>
      <c r="R24" s="103" t="s">
        <v>148</v>
      </c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27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97"/>
      <c r="I25" s="31"/>
      <c r="J25" s="103" t="s">
        <v>136</v>
      </c>
      <c r="K25" s="104"/>
      <c r="L25" s="104"/>
      <c r="M25" s="104"/>
      <c r="N25" s="104"/>
      <c r="O25" s="104"/>
      <c r="P25" s="104"/>
      <c r="Q25" s="127"/>
      <c r="R25" s="103" t="s">
        <v>149</v>
      </c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27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100" t="s">
        <v>53</v>
      </c>
      <c r="I26" s="55"/>
      <c r="J26" s="100" t="s">
        <v>124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01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02"/>
    </row>
    <row r="27" spans="2:61" ht="20.100000000000001" customHeight="1" thickBot="1" x14ac:dyDescent="0.5">
      <c r="B27" s="123"/>
      <c r="C27" s="31"/>
      <c r="D27" s="31"/>
      <c r="E27" s="31"/>
      <c r="F27" s="31"/>
      <c r="G27" s="96"/>
      <c r="H27" s="100" t="s">
        <v>54</v>
      </c>
      <c r="I27" s="55"/>
      <c r="J27" s="100" t="s">
        <v>125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101" t="s">
        <v>151</v>
      </c>
      <c r="AL27" s="55"/>
      <c r="AM27" s="55"/>
      <c r="AN27" s="55"/>
      <c r="AO27" s="55"/>
      <c r="AP27" s="55" t="s">
        <v>152</v>
      </c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102"/>
    </row>
    <row r="28" spans="2:61" ht="20.100000000000001" customHeight="1" x14ac:dyDescent="0.45">
      <c r="B28" s="89" t="s">
        <v>155</v>
      </c>
      <c r="C28" s="90"/>
      <c r="D28" s="90"/>
      <c r="E28" s="90"/>
      <c r="F28" s="90"/>
      <c r="G28" s="91"/>
      <c r="H28" s="92" t="s">
        <v>83</v>
      </c>
      <c r="I28" s="90"/>
      <c r="J28" s="120" t="s">
        <v>159</v>
      </c>
      <c r="K28" s="121"/>
      <c r="L28" s="121"/>
      <c r="M28" s="121"/>
      <c r="N28" s="121"/>
      <c r="O28" s="121"/>
      <c r="P28" s="121"/>
      <c r="Q28" s="122"/>
      <c r="R28" s="120" t="s">
        <v>168</v>
      </c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2"/>
      <c r="AK28" s="93" t="s">
        <v>156</v>
      </c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4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97"/>
      <c r="I29" s="31"/>
      <c r="J29" s="103" t="s">
        <v>160</v>
      </c>
      <c r="K29" s="104"/>
      <c r="L29" s="104"/>
      <c r="M29" s="104"/>
      <c r="N29" s="104"/>
      <c r="O29" s="104"/>
      <c r="P29" s="104"/>
      <c r="Q29" s="127"/>
      <c r="R29" s="103" t="s">
        <v>169</v>
      </c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27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97"/>
      <c r="I30" s="31"/>
      <c r="J30" s="103" t="s">
        <v>161</v>
      </c>
      <c r="K30" s="104"/>
      <c r="L30" s="104"/>
      <c r="M30" s="104"/>
      <c r="N30" s="104"/>
      <c r="O30" s="104"/>
      <c r="P30" s="104"/>
      <c r="Q30" s="127"/>
      <c r="R30" s="103" t="s">
        <v>170</v>
      </c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27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97"/>
      <c r="I31" s="31"/>
      <c r="J31" s="103" t="s">
        <v>162</v>
      </c>
      <c r="K31" s="104"/>
      <c r="L31" s="104"/>
      <c r="M31" s="104"/>
      <c r="N31" s="104"/>
      <c r="O31" s="104"/>
      <c r="P31" s="104"/>
      <c r="Q31" s="127"/>
      <c r="R31" s="103" t="s">
        <v>171</v>
      </c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27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123"/>
      <c r="C32" s="31"/>
      <c r="D32" s="31"/>
      <c r="E32" s="31"/>
      <c r="F32" s="31"/>
      <c r="G32" s="96"/>
      <c r="H32" s="97"/>
      <c r="I32" s="31"/>
      <c r="J32" s="103" t="s">
        <v>163</v>
      </c>
      <c r="K32" s="104"/>
      <c r="L32" s="104"/>
      <c r="M32" s="104"/>
      <c r="N32" s="104"/>
      <c r="O32" s="104"/>
      <c r="P32" s="104"/>
      <c r="Q32" s="127"/>
      <c r="R32" s="103" t="s">
        <v>172</v>
      </c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27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123"/>
      <c r="C33" s="31"/>
      <c r="D33" s="31"/>
      <c r="E33" s="31"/>
      <c r="F33" s="31"/>
      <c r="G33" s="96"/>
      <c r="H33" s="97"/>
      <c r="I33" s="31"/>
      <c r="J33" s="103" t="s">
        <v>164</v>
      </c>
      <c r="K33" s="104"/>
      <c r="L33" s="104"/>
      <c r="M33" s="104"/>
      <c r="N33" s="104"/>
      <c r="O33" s="104"/>
      <c r="P33" s="104"/>
      <c r="Q33" s="127"/>
      <c r="R33" s="103" t="s">
        <v>173</v>
      </c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27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123"/>
      <c r="C34" s="31"/>
      <c r="D34" s="31"/>
      <c r="E34" s="31"/>
      <c r="F34" s="31"/>
      <c r="G34" s="96"/>
      <c r="H34" s="97"/>
      <c r="I34" s="31"/>
      <c r="J34" s="103" t="s">
        <v>165</v>
      </c>
      <c r="K34" s="104"/>
      <c r="L34" s="104"/>
      <c r="M34" s="104"/>
      <c r="N34" s="104"/>
      <c r="O34" s="104"/>
      <c r="P34" s="104"/>
      <c r="Q34" s="127"/>
      <c r="R34" s="103" t="s">
        <v>174</v>
      </c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27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123"/>
      <c r="C35" s="31"/>
      <c r="D35" s="31"/>
      <c r="E35" s="31"/>
      <c r="F35" s="31"/>
      <c r="G35" s="96"/>
      <c r="H35" s="97"/>
      <c r="I35" s="31"/>
      <c r="J35" s="103" t="s">
        <v>166</v>
      </c>
      <c r="K35" s="104"/>
      <c r="L35" s="104"/>
      <c r="M35" s="104"/>
      <c r="N35" s="104"/>
      <c r="O35" s="104"/>
      <c r="P35" s="104"/>
      <c r="Q35" s="127"/>
      <c r="R35" s="103" t="s">
        <v>175</v>
      </c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27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123"/>
      <c r="C36" s="31"/>
      <c r="D36" s="31"/>
      <c r="E36" s="31"/>
      <c r="F36" s="31"/>
      <c r="G36" s="96"/>
      <c r="H36" s="97"/>
      <c r="I36" s="31"/>
      <c r="J36" s="103" t="s">
        <v>167</v>
      </c>
      <c r="K36" s="104"/>
      <c r="L36" s="104"/>
      <c r="M36" s="104"/>
      <c r="N36" s="104"/>
      <c r="O36" s="104"/>
      <c r="P36" s="104"/>
      <c r="Q36" s="127"/>
      <c r="R36" s="103" t="s">
        <v>176</v>
      </c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27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123"/>
      <c r="C37" s="31"/>
      <c r="D37" s="31"/>
      <c r="E37" s="31"/>
      <c r="F37" s="31"/>
      <c r="G37" s="96"/>
      <c r="H37" s="100" t="s">
        <v>53</v>
      </c>
      <c r="I37" s="55"/>
      <c r="J37" s="100" t="s">
        <v>157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101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102"/>
    </row>
    <row r="38" spans="2:61" ht="20.100000000000001" customHeight="1" thickBot="1" x14ac:dyDescent="0.5">
      <c r="B38" s="123"/>
      <c r="C38" s="31"/>
      <c r="D38" s="31"/>
      <c r="E38" s="31"/>
      <c r="F38" s="31"/>
      <c r="G38" s="96"/>
      <c r="H38" s="100" t="s">
        <v>54</v>
      </c>
      <c r="I38" s="55"/>
      <c r="J38" s="100" t="s">
        <v>158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101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102"/>
    </row>
    <row r="39" spans="2:61" ht="5.0999999999999996" customHeight="1" x14ac:dyDescent="0.45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6" t="s">
        <v>0</v>
      </c>
      <c r="C2" s="201"/>
      <c r="D2" s="201"/>
      <c r="E2" s="201"/>
      <c r="F2" s="201"/>
      <c r="G2" s="201"/>
      <c r="H2" s="201" t="s">
        <v>17</v>
      </c>
      <c r="I2" s="201"/>
      <c r="J2" s="201"/>
      <c r="K2" s="201"/>
      <c r="L2" s="201" t="s">
        <v>1</v>
      </c>
      <c r="M2" s="201"/>
      <c r="N2" s="201"/>
      <c r="O2" s="201"/>
      <c r="P2" s="201"/>
      <c r="Q2" s="201"/>
      <c r="R2" s="201" t="s">
        <v>2</v>
      </c>
      <c r="S2" s="201"/>
      <c r="T2" s="201"/>
      <c r="U2" s="201"/>
      <c r="V2" s="201"/>
      <c r="W2" s="201"/>
      <c r="X2" s="207" t="s">
        <v>3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9"/>
      <c r="AK2" s="207" t="s">
        <v>32</v>
      </c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9"/>
      <c r="AX2" s="201" t="s">
        <v>5</v>
      </c>
      <c r="AY2" s="201"/>
      <c r="AZ2" s="201"/>
      <c r="BA2" s="201"/>
      <c r="BB2" s="201" t="s">
        <v>4</v>
      </c>
      <c r="BC2" s="201"/>
      <c r="BD2" s="201"/>
      <c r="BE2" s="201"/>
      <c r="BF2" s="201" t="s">
        <v>6</v>
      </c>
      <c r="BG2" s="201"/>
      <c r="BH2" s="201"/>
      <c r="BI2" s="201"/>
      <c r="BJ2" s="201" t="s">
        <v>7</v>
      </c>
      <c r="BK2" s="201"/>
      <c r="BL2" s="201"/>
      <c r="BM2" s="202"/>
    </row>
    <row r="3" spans="2:65" ht="20.100000000000001" customHeight="1" x14ac:dyDescent="0.45">
      <c r="B3" s="210" t="str">
        <f>変更履歴!B3</f>
        <v>受発注システム</v>
      </c>
      <c r="C3" s="136"/>
      <c r="D3" s="136"/>
      <c r="E3" s="136"/>
      <c r="F3" s="136"/>
      <c r="G3" s="136"/>
      <c r="H3" s="136" t="str">
        <f ca="1">変更履歴!H3</f>
        <v>KH0300</v>
      </c>
      <c r="I3" s="136"/>
      <c r="J3" s="136"/>
      <c r="K3" s="136"/>
      <c r="L3" s="136" t="str">
        <f>変更履歴!L3</f>
        <v>受発注</v>
      </c>
      <c r="M3" s="136"/>
      <c r="N3" s="136"/>
      <c r="O3" s="136"/>
      <c r="P3" s="136"/>
      <c r="Q3" s="136"/>
      <c r="R3" s="136" t="str">
        <f ca="1">変更履歴!R3</f>
        <v>帳票設計書</v>
      </c>
      <c r="S3" s="136"/>
      <c r="T3" s="136"/>
      <c r="U3" s="136"/>
      <c r="V3" s="136"/>
      <c r="W3" s="136"/>
      <c r="X3" s="140" t="str">
        <f ca="1">変更履歴!X3</f>
        <v>KH0300_経費データ取込リスト_帳票設計書</v>
      </c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37"/>
      <c r="AK3" s="140" t="str">
        <f ca="1">変更履歴!AK3</f>
        <v>経費データ取込リスト</v>
      </c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37"/>
      <c r="AX3" s="147">
        <f>変更履歴!AX3</f>
        <v>45583</v>
      </c>
      <c r="AY3" s="147"/>
      <c r="AZ3" s="147"/>
      <c r="BA3" s="147"/>
      <c r="BB3" s="136" t="str">
        <f>変更履歴!BB3</f>
        <v>大谷</v>
      </c>
      <c r="BC3" s="136"/>
      <c r="BD3" s="136"/>
      <c r="BE3" s="136"/>
      <c r="BF3" s="147">
        <f>変更履歴!BF3</f>
        <v>45583</v>
      </c>
      <c r="BG3" s="147"/>
      <c r="BH3" s="147"/>
      <c r="BI3" s="147"/>
      <c r="BJ3" s="136" t="str">
        <f>変更履歴!BJ3</f>
        <v>大谷</v>
      </c>
      <c r="BK3" s="136"/>
      <c r="BL3" s="136"/>
      <c r="BM3" s="199"/>
    </row>
    <row r="4" spans="2:65" ht="20.100000000000001" customHeight="1" thickBot="1" x14ac:dyDescent="0.5">
      <c r="B4" s="211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203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5"/>
      <c r="AK4" s="203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5"/>
      <c r="AX4" s="197"/>
      <c r="AY4" s="197"/>
      <c r="AZ4" s="197"/>
      <c r="BA4" s="197"/>
      <c r="BB4" s="198"/>
      <c r="BC4" s="198"/>
      <c r="BD4" s="198"/>
      <c r="BE4" s="198"/>
      <c r="BF4" s="197"/>
      <c r="BG4" s="197"/>
      <c r="BH4" s="197"/>
      <c r="BI4" s="197"/>
      <c r="BJ4" s="198"/>
      <c r="BK4" s="198"/>
      <c r="BL4" s="198"/>
      <c r="BM4" s="200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55</v>
      </c>
      <c r="C7" s="90"/>
      <c r="D7" s="90"/>
      <c r="E7" s="90"/>
      <c r="F7" s="90"/>
      <c r="G7" s="90"/>
      <c r="H7" s="92" t="s">
        <v>83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84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85</v>
      </c>
      <c r="K8" s="52"/>
      <c r="L8" s="52"/>
      <c r="M8" s="52"/>
      <c r="N8" s="52"/>
      <c r="O8" s="52"/>
      <c r="P8" s="52"/>
      <c r="Q8" s="52"/>
      <c r="R8" s="124" t="s">
        <v>86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87</v>
      </c>
      <c r="K9" s="52"/>
      <c r="L9" s="52"/>
      <c r="M9" s="52"/>
      <c r="N9" s="52"/>
      <c r="O9" s="52"/>
      <c r="P9" s="52"/>
      <c r="Q9" s="52"/>
      <c r="R9" s="124" t="s">
        <v>88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56</v>
      </c>
      <c r="I10" s="31"/>
      <c r="J10" s="111" t="s">
        <v>57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58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59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61</v>
      </c>
      <c r="I14" s="55"/>
      <c r="J14" s="107" t="s">
        <v>62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64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65</v>
      </c>
      <c r="M17" s="109" t="s">
        <v>64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66</v>
      </c>
      <c r="M18" s="109" t="s">
        <v>64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67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69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65</v>
      </c>
      <c r="M22" s="104" t="s">
        <v>70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71</v>
      </c>
      <c r="I23" s="31"/>
      <c r="J23" s="111"/>
      <c r="K23" s="109" t="s">
        <v>72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73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65</v>
      </c>
      <c r="K24" s="109" t="s">
        <v>74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66</v>
      </c>
      <c r="K25" s="109" t="s">
        <v>74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75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76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77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65</v>
      </c>
      <c r="K28" s="31" t="s">
        <v>78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79</v>
      </c>
      <c r="I32" s="31"/>
      <c r="J32" s="111" t="s">
        <v>80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81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18.796875" style="29" customWidth="1"/>
    <col min="5" max="5" width="24.09765625" style="29" bestFit="1" customWidth="1"/>
    <col min="6" max="6" width="24.0976562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28" t="s">
        <v>108</v>
      </c>
      <c r="G3" s="78" t="s">
        <v>51</v>
      </c>
    </row>
    <row r="4" spans="2:7" x14ac:dyDescent="0.45">
      <c r="B4" s="37">
        <v>1</v>
      </c>
      <c r="C4" s="79" t="s">
        <v>106</v>
      </c>
      <c r="D4" s="79"/>
      <c r="E4" s="80" t="s">
        <v>107</v>
      </c>
      <c r="F4" s="80" t="s">
        <v>109</v>
      </c>
      <c r="G4" s="81" t="s">
        <v>110</v>
      </c>
    </row>
    <row r="5" spans="2:7" x14ac:dyDescent="0.45">
      <c r="B5" s="37">
        <v>2</v>
      </c>
      <c r="C5" s="79"/>
      <c r="D5" s="79"/>
      <c r="E5" s="82"/>
      <c r="F5" s="82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15" zoomScaleNormal="11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2025-05-24T05:28:51Z</dcterms:modified>
</cp:coreProperties>
</file>