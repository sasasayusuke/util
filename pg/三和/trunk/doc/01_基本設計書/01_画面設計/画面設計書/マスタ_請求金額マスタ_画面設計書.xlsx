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<sst xmlns="http://schemas.openxmlformats.org/spreadsheetml/2006/main" count="1668" uniqueCount="362">
  <si>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</si>
  <si>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</si>
  <si>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</si>
  <si>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</si>
  <si>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</si>
  <si>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</si>
  <si>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</si>
  <si>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</si>
  <si>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</si>
  <si>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</si>
  <si>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</si>
  <si>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</si>
  <si>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</si>
  <si>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</si>
  <si>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</si>
  <si>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</si>
  <si>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</si>
  <si>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</si>
  <si>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</si>
  <si>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</si>
  <si>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</si>
  <si>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</si>
  <si>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</si>
  <si>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</si>
  <si>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</si>
  <si>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</si>
  <si>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</si>
  <si>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</si>
  <si>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</si>
  <si>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</si>
  <si>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</si>
  <si>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</si>
  <si>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</si>
  <si>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</si>
  <si>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</si>
  <si>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</si>
  <si>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</si>
  <si>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</si>
  <si>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</si>
  <si>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</si>
  <si>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</si>
  <si>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</si>
  <si>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</si>
  <si>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</si>
  <si>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</si>
  <si>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</si>
  <si>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</si>
  <si>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</si>
  <si>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</si>
  <si>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</si>
  <si>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</si>
  <si>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</si>
  <si>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</si>
  <si>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</si>
  <si>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</si>
  <si>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</si>
  <si>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</si>
  <si>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</si>
  <si>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</si>
  <si>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</si>
  <si>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</si>
  <si>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</si>
  <si>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</si>
  <si>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</si>
  <si>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</si>
  <si>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</si>
  <si>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</si>
  <si>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</si>
  <si>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</si>
  <si>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</si>
  <si>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</si>
  <si>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</si>
  <si>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</si>
  <si>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</si>
  <si>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</si>
  <si>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</si>
  <si>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</si>
  <si>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</si>
  <si>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</si>
  <si>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</si>
  <si>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</si>
  <si>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</si>
  <si>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</si>
  <si>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</si>
  <si>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</si>
  <si>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</si>
  <si>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</si>
  <si>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</si>
  <si>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</si>
  <si>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</si>
  <si>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</si>
  <si>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</si>
  <si>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</si>
  <si>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</si>
  <si>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</si>
  <si>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</si>
  <si>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</si>
  <si>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</si>
  <si>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</si>
  <si>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</si>
  <si>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</si>
  <si>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</si>
  <si>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</si>
  <si>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</si>
  <si>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</si>
  <si>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</si>
  <si>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</si>
  <si>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</si>
  <si>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</si>
  <si>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</si>
  <si>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</si>
  <si>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</si>
  <si>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</si>
  <si>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</si>
  <si>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</si>
  <si>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</si>
  <si>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</si>
  <si>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</si>
  <si>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</si>
  <si>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</si>
  <si>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</si>
  <si>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</si>
  <si>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</si>
  <si>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</si>
  <si>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</si>
  <si>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</si>
  <si>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</si>
  <si>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</si>
  <si>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</si>
  <si>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</si>
  <si>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</si>
  <si>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</si>
  <si>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</si>
  <si>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</si>
  <si>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</si>
  <si>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</si>
  <si>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</si>
  <si>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</si>
  <si>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</si>
  <si>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</si>
  <si>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</si>
  <si>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</si>
  <si>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</si>
  <si>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</si>
  <si>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</si>
  <si>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</si>
  <si>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</si>
  <si>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</si>
  <si>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</si>
  <si>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</si>
  <si>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</si>
  <si>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</si>
  <si>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</si>
  <si>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</si>
  <si>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</si>
  <si>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</si>
  <si>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</si>
  <si>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</si>
  <si>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</si>
  <si>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</si>
  <si>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</si>
  <si>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</si>
  <si>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</si>
  <si>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</si>
  <si>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</si>
  <si>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</si>
  <si>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</si>
  <si>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</si>
  <si>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</si>
  <si>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</si>
  <si>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</si>
  <si>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</si>
  <si>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</si>
  <si>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</si>
  <si>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</si>
  <si>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</si>
  <si>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</si>
  <si>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</si>
  <si>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</si>
  <si>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</si>
  <si>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</si>
  <si>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</si>
  <si>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</si>
  <si>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</si>
  <si>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</si>
  <si>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</si>
  <si>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</si>
  <si>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</si>
  <si>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</si>
  <si>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</si>
  <si>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</si>
  <si>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</si>
  <si>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</si>
  <si>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</si>
  <si>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</si>
  <si>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</si>
  <si>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</si>
  <si>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</si>
  <si>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</si>
  <si>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</si>
  <si>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</si>
  <si>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</si>
  <si>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</si>
  <si>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</si>
  <si>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</si>
  <si>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</si>
  <si>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</si>
  <si>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</si>
  <si>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</si>
  <si>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</si>
  <si>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</si>
  <si>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</si>
  <si>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</si>
  <si>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</si>
  <si>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</si>
  <si>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</si>
  <si>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</si>
  <si>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</si>
  <si>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</si>
  <si>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</si>
  <si>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</si>
  <si>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</si>
  <si>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</si>
  <si>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</si>
  <si>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</si>
  <si>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</si>
  <si>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</si>
  <si>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</si>
  <si>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</si>
  <si>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</si>
  <si>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</si>
  <si>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</si>
  <si>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</si>
  <si>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</si>
  <si>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</si>
  <si>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</si>
  <si>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</si>
  <si>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</si>
  <si>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</si>
  <si>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</si>
  <si>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</si>
  <si>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</si>
  <si>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</si>
  <si>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</si>
  <si>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</si>
  <si>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</si>
  <si>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</si>
  <si>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</si>
  <si>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</si>
  <si>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</si>
  <si>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</si>
  <si>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</si>
  <si>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</si>
  <si>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</si>
  <si>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</si>
  <si>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</si>
  <si>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</si>
  <si>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</si>
  <si>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</si>
  <si>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</si>
  <si>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</si>
  <si>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</si>
  <si>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</si>
  <si>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</si>
  <si>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</si>
  <si>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</si>
  <si>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</si>
  <si>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</si>
  <si>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</si>
  <si>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</si>
  <si>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</si>
  <si>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</si>
  <si>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</si>
  <si>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</si>
  <si>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</si>
  <si>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</si>
  <si>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</si>
  <si>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</si>
  <si>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</si>
  <si>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</si>
  <si>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</si>
  <si>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</si>
  <si>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</si>
  <si>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</si>
  <si>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</si>
  <si>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</si>
  <si>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</si>
  <si>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</si>
  <si>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</si>
  <si>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</si>
  <si>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</si>
  <si>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</si>
  <si>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</si>
  <si>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</si>
  <si>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</si>
  <si>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</si>
  <si>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</si>
  <si>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</si>
  <si>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</si>
  <si>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</si>
  <si>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</si>
  <si>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</si>
  <si>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</si>
  <si>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請求日付</t>
    <rPh sb="0" eb="4">
      <t>セイキュウヒヅケ</t>
    </rPh>
    <phoneticPr fontId="2"/>
  </si>
  <si>
    <t>入金金額</t>
    <rPh sb="0" eb="4">
      <t>ニュウキンキンガク</t>
    </rPh>
    <phoneticPr fontId="2"/>
  </si>
  <si>
    <t>調整金額</t>
    <rPh sb="0" eb="4">
      <t>チョウセイキンガク</t>
    </rPh>
    <phoneticPr fontId="2"/>
  </si>
  <si>
    <t>売上金額</t>
    <rPh sb="0" eb="4">
      <t>ウリアゲキンガク</t>
    </rPh>
    <phoneticPr fontId="2"/>
  </si>
  <si>
    <t>返品金額</t>
    <rPh sb="0" eb="4">
      <t>ヘンピンキンガク</t>
    </rPh>
    <phoneticPr fontId="2"/>
  </si>
  <si>
    <t>訂正金額</t>
    <rPh sb="0" eb="4">
      <t>テイセイキンガク</t>
    </rPh>
    <phoneticPr fontId="2"/>
  </si>
  <si>
    <t>消費税額</t>
    <rPh sb="0" eb="4">
      <t>ショウヒゼイガク</t>
    </rPh>
    <phoneticPr fontId="2"/>
  </si>
  <si>
    <t>請求開始日付</t>
    <rPh sb="0" eb="2">
      <t>セイキュウ</t>
    </rPh>
    <rPh sb="2" eb="6">
      <t>カイシヒヅケ</t>
    </rPh>
    <phoneticPr fontId="2"/>
  </si>
  <si>
    <t>請求終了日付</t>
    <rPh sb="0" eb="2">
      <t>セイキュウ</t>
    </rPh>
    <rPh sb="2" eb="4">
      <t>シュウリョウ</t>
    </rPh>
    <rPh sb="4" eb="6">
      <t>ヒヅケ</t>
    </rPh>
    <phoneticPr fontId="2"/>
  </si>
  <si>
    <t>伝票枚数</t>
    <rPh sb="0" eb="4">
      <t>デンピョウマイスウ</t>
    </rPh>
    <phoneticPr fontId="2"/>
  </si>
  <si>
    <t>得意先CD</t>
    <rPh sb="0" eb="3">
      <t>トクイサキ</t>
    </rPh>
    <phoneticPr fontId="2"/>
  </si>
  <si>
    <t>前月残高</t>
    <rPh sb="0" eb="2">
      <t>ゼンゲツ</t>
    </rPh>
    <rPh sb="2" eb="4">
      <t>ザンダカ</t>
    </rPh>
    <phoneticPr fontId="2"/>
  </si>
  <si>
    <t>消費税額</t>
    <rPh sb="0" eb="3">
      <t>ショウヒゼイ</t>
    </rPh>
    <rPh sb="3" eb="4">
      <t>ガク</t>
    </rPh>
    <phoneticPr fontId="2"/>
  </si>
  <si>
    <t>請求開始日付</t>
    <rPh sb="0" eb="6">
      <t>セイキュウカイシヒヅケ</t>
    </rPh>
    <phoneticPr fontId="2"/>
  </si>
  <si>
    <t>請求終了日付</t>
    <rPh sb="0" eb="6">
      <t>セイキュウシュウリョウヒヅケ</t>
    </rPh>
    <phoneticPr fontId="2"/>
  </si>
  <si>
    <t>前月残高</t>
    <rPh sb="0" eb="2">
      <t>ゼンゲツ</t>
    </rPh>
    <rPh sb="2" eb="4">
      <t>ザンダカ</t>
    </rPh>
    <phoneticPr fontId="2"/>
  </si>
  <si>
    <t>当月残高</t>
    <rPh sb="0" eb="2">
      <t>トウゲツ</t>
    </rPh>
    <rPh sb="2" eb="4">
      <t>ザンダカ</t>
    </rPh>
    <phoneticPr fontId="2"/>
  </si>
  <si>
    <t>TM請求金額_得意先CD</t>
    <rPh sb="2" eb="6">
      <t>セイキュウキンガク</t>
    </rPh>
    <rPh sb="7" eb="10">
      <t>トクイサキ</t>
    </rPh>
    <phoneticPr fontId="2"/>
  </si>
  <si>
    <t>TM請求金額_請求日付</t>
    <rPh sb="2" eb="6">
      <t>セイキュウキンガク</t>
    </rPh>
    <rPh sb="7" eb="11">
      <t>セイキュウヒヅケ</t>
    </rPh>
    <phoneticPr fontId="2"/>
  </si>
  <si>
    <t>前月残高</t>
    <rPh sb="0" eb="4">
      <t>ゼンゲツザンダカ</t>
    </rPh>
    <phoneticPr fontId="2"/>
  </si>
  <si>
    <t>当月残高</t>
    <rPh sb="0" eb="4">
      <t>トウゲツザンダカ</t>
    </rPh>
    <phoneticPr fontId="2"/>
  </si>
  <si>
    <t>TM請求金額_前月残高</t>
    <rPh sb="2" eb="6">
      <t>セイキュウキンガク</t>
    </rPh>
    <rPh sb="7" eb="11">
      <t>ゼンゲツザンダカ</t>
    </rPh>
    <phoneticPr fontId="2"/>
  </si>
  <si>
    <t>TM請求金額_入金金額</t>
    <rPh sb="2" eb="6">
      <t>セイキュウキンガク</t>
    </rPh>
    <rPh sb="7" eb="11">
      <t>ニュウキンキンガク</t>
    </rPh>
    <phoneticPr fontId="2"/>
  </si>
  <si>
    <t>TM請求金額_調整金額</t>
    <rPh sb="2" eb="6">
      <t>セイキュウキンガク</t>
    </rPh>
    <rPh sb="7" eb="11">
      <t>チョウセイキンガク</t>
    </rPh>
    <phoneticPr fontId="2"/>
  </si>
  <si>
    <t>TM請求金額_売上金額</t>
    <rPh sb="2" eb="6">
      <t>セイキュウキンガク</t>
    </rPh>
    <rPh sb="7" eb="9">
      <t>ウリアゲ</t>
    </rPh>
    <rPh sb="9" eb="11">
      <t>キンガク</t>
    </rPh>
    <phoneticPr fontId="2"/>
  </si>
  <si>
    <t>TM請求金額_返品金額</t>
    <rPh sb="2" eb="6">
      <t>セイキュウキンガク</t>
    </rPh>
    <rPh sb="7" eb="11">
      <t>ヘンピンキンガク</t>
    </rPh>
    <phoneticPr fontId="2"/>
  </si>
  <si>
    <t>TM請求金額_訂正金額</t>
    <rPh sb="2" eb="6">
      <t>セイキュウキンガク</t>
    </rPh>
    <rPh sb="7" eb="11">
      <t>テイセイキンガク</t>
    </rPh>
    <phoneticPr fontId="2"/>
  </si>
  <si>
    <t>TM請求金額_消費税額</t>
    <rPh sb="2" eb="6">
      <t>セイキュウキンガク</t>
    </rPh>
    <rPh sb="7" eb="11">
      <t>ショウヒゼイガク</t>
    </rPh>
    <phoneticPr fontId="2"/>
  </si>
  <si>
    <t>TM請求金額_当月残高</t>
    <rPh sb="2" eb="6">
      <t>セイキュウキンガク</t>
    </rPh>
    <rPh sb="7" eb="11">
      <t>トウゲツザンダカ</t>
    </rPh>
    <phoneticPr fontId="2"/>
  </si>
  <si>
    <t>TM請求金額_伝票枚数</t>
    <rPh sb="2" eb="6">
      <t>セイキュウキンガク</t>
    </rPh>
    <rPh sb="7" eb="11">
      <t>デンピョウマイスウ</t>
    </rPh>
    <phoneticPr fontId="2"/>
  </si>
  <si>
    <t>A</t>
    <phoneticPr fontId="2"/>
  </si>
  <si>
    <t>B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</si>
  <si>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</si>
  <si>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</si>
  <si>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</si>
  <si>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</si>
  <si>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</si>
  <si>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</si>
  <si>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</si>
  <si>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</si>
  <si>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A</t>
    <phoneticPr fontId="2"/>
  </si>
  <si>
    <t>C</t>
    <phoneticPr fontId="2"/>
  </si>
  <si>
    <t>TM請求金額_請求開始日付</t>
    <rPh sb="2" eb="6">
      <t>セイキュウキンガク</t>
    </rPh>
    <rPh sb="7" eb="9">
      <t>セイキュウ</t>
    </rPh>
    <rPh sb="9" eb="11">
      <t>カイシ</t>
    </rPh>
    <rPh sb="11" eb="13">
      <t>ヒヅケ</t>
    </rPh>
    <phoneticPr fontId="2"/>
  </si>
  <si>
    <t>TM請求金額_請求終了日付</t>
    <rPh sb="2" eb="6">
      <t>セイキュウキンガク</t>
    </rPh>
    <rPh sb="7" eb="9">
      <t>セイキュウ</t>
    </rPh>
    <rPh sb="9" eb="11">
      <t>シュウリョウ</t>
    </rPh>
    <rPh sb="11" eb="13">
      <t>ヒヅケ</t>
    </rPh>
    <phoneticPr fontId="2"/>
  </si>
  <si>
    <t>得意先名</t>
    <rPh sb="0" eb="3">
      <t>トクイサキ</t>
    </rPh>
    <rPh sb="3" eb="4">
      <t>メイ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</si>
  <si>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</si>
  <si>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</si>
  <si>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</si>
  <si>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</si>
  <si>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</si>
  <si>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請求開始日付from</t>
    <rPh sb="0" eb="2">
      <t>セイキュウ</t>
    </rPh>
    <rPh sb="2" eb="4">
      <t>カイシ</t>
    </rPh>
    <rPh sb="4" eb="6">
      <t>ヒヅケ</t>
    </rPh>
    <phoneticPr fontId="2"/>
  </si>
  <si>
    <t>請求開始日付to</t>
    <rPh sb="0" eb="2">
      <t>セイキュウ</t>
    </rPh>
    <rPh sb="2" eb="4">
      <t>カイシ</t>
    </rPh>
    <rPh sb="4" eb="6">
      <t>ヒヅケ</t>
    </rPh>
    <phoneticPr fontId="2"/>
  </si>
  <si>
    <t>sdt_disabled</t>
    <phoneticPr fontId="2"/>
  </si>
  <si>
    <t>〇</t>
    <phoneticPr fontId="2"/>
  </si>
  <si>
    <t>　主キー設定</t>
    <phoneticPr fontId="2"/>
  </si>
  <si>
    <t>$(document).on('change', '#Results_ClassA, #Results_DateA', function () {
    var A = $('#Results_ClassA').val();
    var B = $('#Results_DateA').val();
   $p.set($('#Results_Class100'), A + '__' + B);
})</t>
    <phoneticPr fontId="2"/>
  </si>
  <si>
    <t>当月残高計算</t>
    <phoneticPr fontId="2"/>
  </si>
  <si>
    <t>let Zan  //当月残高
$p.on('change', 'NumA', function () { //前月残高
    A = $p.getControl('NumA').val();
    B = parseInt(String(A).replace(/[^0-9]/g, ''), 10);
    $p.set($p.getControl('NumA'), EN(B)); 
    NUM();
})
$p.on('change', 'NumB', function () { //前月残高
    A = $p.getControl('NumB').val();
    B = parseInt(String(A).replace(/[^0-9]/g, ''), 10);
    $p.set($p.getControl('NumB'), EN(B));
    NUM();
})
$p.on('change', 'NumC', function () { //前月残高
    A = $p.getControl('NumC').val();
    B = parseInt(String(A).replace(/[^0-9]/g, ''), 10);
    $p.set($p.getControl('NumC'), EN(B));
    NUM();
})
$p.on('change', 'NumD', function () { //前月残高
    A = $p.getControl('NumD').val();
    B = parseInt(String(A).replace(/[^0-9]/g, ''), 10);
    $p.set($p.getControl('NumD'), EN(B));
    NUM();
})
$p.on('change', 'NumE', function () { //前月残高
    A = $p.getControl('NumE').val();
    B = parseInt(String(A).replace(/[^0-9]/g, ''), 10);
    $p.set($p.getControl('NumE'), EN(B));
    NUM();
})
$p.on('change', 'NumE', function () { //前月残高
    A = $p.getControl('NumE').val();
    B = parseInt(String(A).replace(/[^0-9]/g, ''), 10);
    $p.set($p.getControl('NumE'), EN(B));
    NUM();
})
$p.on('change', 'NumF', function () { //前月残高
    A = $p.getControl('NumF').val();
    B = parseInt(String(A).replace(/[^0-9]/g, ''), 10);
    $p.set($p.getControl('NumF'), EN(B));
    NUM();
})
$p.on('change', 'NumG', function () { //前月残高
    A = $p.getControl('NumG').val();
    B = parseInt(String(A).replace(/[^0-9]/g, ''), 10);
    $p.set($p.getControl('NumG'), EN(B));
    NUM();
})
//取得した合計金額を数値に変換して計算する関数
function NUM() {
    A = $p.getControl('NumA').val();
    B = $p.getControl('NumB').val();
    C = $p.getControl('NumC').val();
    D = $p.getControl('NumD').val();
    E = $p.getControl('NumE').val();
    F = $p.getControl('NumF').val();
    G = $p.getControl('NumG').val();
    A1 = parseInt(String(A).replace(/[^0-9]/g, ''), 10);
    B1 = parseInt(String(B).replace(/[^0-9]/g, ''), 10);
    C1 = parseInt(String(C).replace(/[^0-9]/g, ''), 10);
    D1 = parseInt(String(D).replace(/[^0-9]/g, ''), 10);
    E1 = parseInt(String(E).replace(/[^0-9]/g, ''), 10);
    F1 = parseInt(String(F).replace(/[^0-9]/g, ''), 10);
    G1 = parseInt(String(G).replace(/[^0-9]/g, ''), 10);
    let H
    //当月残高=前月残高-入金金額-調整金額+売上金額+返品金額+訂正金額+消費税額
    H = A1 - B1 - C1 + D1 + E1 + F1 + G1;
    $p.set($p.getControl('NumH'), EN(H)); //(A)小計
}
//\マークと３桁区切りのカンマを追加する関数
function EN(x) {
    x = '\xA5' + Math.round(x).toLocaleString();
    return x;
}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</si>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</sst>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);[Red]\(0\)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77" fontId="3" fillId="2" borderId="5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2372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22</xdr:col>
      <xdr:colOff>96915</xdr:colOff>
      <xdr:row>29</xdr:row>
      <xdr:rowOff>190500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3782435" cy="59740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0</xdr:row>
          <xdr:rowOff>38100</xdr:rowOff>
        </xdr:from>
        <xdr:to>
          <xdr:col>24</xdr:col>
          <xdr:colOff>15240</xdr:colOff>
          <xdr:row>3</xdr:row>
          <xdr:rowOff>228600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1440" y="38100"/>
              <a:ext cx="125272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152400</xdr:colOff>
      <xdr:row>36</xdr:row>
      <xdr:rowOff>123825</xdr:rowOff>
    </xdr:from>
    <xdr:to>
      <xdr:col>10</xdr:col>
      <xdr:colOff>238125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51220" y="8795385"/>
          <a:ext cx="2943225" cy="576453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198120</xdr:colOff>
      <xdr:row>5</xdr:row>
      <xdr:rowOff>160020</xdr:rowOff>
    </xdr:from>
    <xdr:to>
      <xdr:col>23</xdr:col>
      <xdr:colOff>194739</xdr:colOff>
      <xdr:row>28</xdr:row>
      <xdr:rowOff>213360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1036320"/>
          <a:ext cx="12234339" cy="58369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8" t="s">
        <v>256</v>
      </c>
      <c r="D8" s="149"/>
      <c r="E8" s="148" t="s">
        <v>257</v>
      </c>
      <c r="F8" s="158"/>
      <c r="G8" s="158"/>
      <c r="H8" s="158"/>
      <c r="I8" s="158"/>
      <c r="J8" s="158"/>
      <c r="K8" s="158"/>
      <c r="L8" s="158"/>
      <c r="M8" s="158"/>
      <c r="N8" s="149"/>
      <c r="O8" s="148" t="s">
        <v>258</v>
      </c>
      <c r="P8" s="158"/>
      <c r="Q8" s="149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0">
        <f>ROW()-8</f>
        <v>1</v>
      </c>
      <c r="D9" s="151"/>
      <c r="E9" s="152" t="s">
        <v>17</v>
      </c>
      <c r="F9" s="153"/>
      <c r="G9" s="153"/>
      <c r="H9" s="153"/>
      <c r="I9" s="153"/>
      <c r="J9" s="153"/>
      <c r="K9" s="153"/>
      <c r="L9" s="153"/>
      <c r="M9" s="153"/>
      <c r="N9" s="154"/>
      <c r="O9" s="155" t="str">
        <f>HYPERLINK("#"&amp;E9&amp;"!A1","リンク")</f>
        <v>リンク</v>
      </c>
      <c r="P9" s="156"/>
      <c r="Q9" s="15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0">
        <f t="shared" ref="C10:C18" si="0">ROW()-8</f>
        <v>2</v>
      </c>
      <c r="D10" s="151"/>
      <c r="E10" s="152" t="s">
        <v>259</v>
      </c>
      <c r="F10" s="153"/>
      <c r="G10" s="153"/>
      <c r="H10" s="153"/>
      <c r="I10" s="153"/>
      <c r="J10" s="153"/>
      <c r="K10" s="153"/>
      <c r="L10" s="153"/>
      <c r="M10" s="153"/>
      <c r="N10" s="154"/>
      <c r="O10" s="155" t="str">
        <f t="shared" ref="O10:O15" si="1">HYPERLINK("#"&amp;E10&amp;"!A1","リンク")</f>
        <v>リンク</v>
      </c>
      <c r="P10" s="156"/>
      <c r="Q10" s="15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0">
        <f t="shared" si="0"/>
        <v>3</v>
      </c>
      <c r="D11" s="151"/>
      <c r="E11" s="152" t="s">
        <v>260</v>
      </c>
      <c r="F11" s="153"/>
      <c r="G11" s="153"/>
      <c r="H11" s="153"/>
      <c r="I11" s="153"/>
      <c r="J11" s="153"/>
      <c r="K11" s="153"/>
      <c r="L11" s="153"/>
      <c r="M11" s="153"/>
      <c r="N11" s="154"/>
      <c r="O11" s="155" t="str">
        <f t="shared" si="1"/>
        <v>リンク</v>
      </c>
      <c r="P11" s="156"/>
      <c r="Q11" s="1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0">
        <f t="shared" si="0"/>
        <v>4</v>
      </c>
      <c r="D12" s="151"/>
      <c r="E12" s="152" t="s">
        <v>261</v>
      </c>
      <c r="F12" s="153"/>
      <c r="G12" s="153"/>
      <c r="H12" s="153"/>
      <c r="I12" s="153"/>
      <c r="J12" s="153"/>
      <c r="K12" s="153"/>
      <c r="L12" s="153"/>
      <c r="M12" s="153"/>
      <c r="N12" s="154"/>
      <c r="O12" s="155" t="str">
        <f t="shared" si="1"/>
        <v>リンク</v>
      </c>
      <c r="P12" s="156"/>
      <c r="Q12" s="157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0">
        <f t="shared" si="0"/>
        <v>5</v>
      </c>
      <c r="D13" s="151"/>
      <c r="E13" s="152" t="s">
        <v>263</v>
      </c>
      <c r="F13" s="153"/>
      <c r="G13" s="153"/>
      <c r="H13" s="153"/>
      <c r="I13" s="153"/>
      <c r="J13" s="153"/>
      <c r="K13" s="153"/>
      <c r="L13" s="153"/>
      <c r="M13" s="153"/>
      <c r="N13" s="154"/>
      <c r="O13" s="155" t="str">
        <f t="shared" si="1"/>
        <v>リンク</v>
      </c>
      <c r="P13" s="156"/>
      <c r="Q13" s="157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0">
        <f t="shared" si="0"/>
        <v>6</v>
      </c>
      <c r="D14" s="151"/>
      <c r="E14" s="152" t="s">
        <v>264</v>
      </c>
      <c r="F14" s="153"/>
      <c r="G14" s="153"/>
      <c r="H14" s="153"/>
      <c r="I14" s="153"/>
      <c r="J14" s="153"/>
      <c r="K14" s="153"/>
      <c r="L14" s="153"/>
      <c r="M14" s="153"/>
      <c r="N14" s="154"/>
      <c r="O14" s="155" t="str">
        <f t="shared" si="1"/>
        <v>リンク</v>
      </c>
      <c r="P14" s="156"/>
      <c r="Q14" s="157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0">
        <f t="shared" si="0"/>
        <v>7</v>
      </c>
      <c r="D15" s="151"/>
      <c r="E15" s="152" t="s">
        <v>262</v>
      </c>
      <c r="F15" s="153"/>
      <c r="G15" s="153"/>
      <c r="H15" s="153"/>
      <c r="I15" s="153"/>
      <c r="J15" s="153"/>
      <c r="K15" s="153"/>
      <c r="L15" s="153"/>
      <c r="M15" s="153"/>
      <c r="N15" s="154"/>
      <c r="O15" s="155" t="str">
        <f t="shared" si="1"/>
        <v>リンク</v>
      </c>
      <c r="P15" s="156"/>
      <c r="Q15" s="157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0">
        <f t="shared" si="0"/>
        <v>8</v>
      </c>
      <c r="D16" s="151"/>
      <c r="E16" s="152" t="s">
        <v>265</v>
      </c>
      <c r="F16" s="153"/>
      <c r="G16" s="153"/>
      <c r="H16" s="153"/>
      <c r="I16" s="153"/>
      <c r="J16" s="153"/>
      <c r="K16" s="153"/>
      <c r="L16" s="153"/>
      <c r="M16" s="153"/>
      <c r="N16" s="154"/>
      <c r="O16" s="155" t="str">
        <f>HYPERLINK("#"&amp;E16&amp;"!A1","リンク")</f>
        <v>リンク</v>
      </c>
      <c r="P16" s="156"/>
      <c r="Q16" s="1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0">
        <f t="shared" si="0"/>
        <v>9</v>
      </c>
      <c r="D17" s="151"/>
      <c r="E17" s="152" t="s">
        <v>266</v>
      </c>
      <c r="F17" s="153"/>
      <c r="G17" s="153"/>
      <c r="H17" s="153"/>
      <c r="I17" s="153"/>
      <c r="J17" s="153"/>
      <c r="K17" s="153"/>
      <c r="L17" s="153"/>
      <c r="M17" s="153"/>
      <c r="N17" s="154"/>
      <c r="O17" s="155" t="str">
        <f>HYPERLINK("#"&amp;E17&amp;"!A1","リンク")</f>
        <v>リンク</v>
      </c>
      <c r="P17" s="156"/>
      <c r="Q17" s="157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0">
        <f t="shared" si="0"/>
        <v>10</v>
      </c>
      <c r="D18" s="151"/>
      <c r="E18" s="152" t="s">
        <v>294</v>
      </c>
      <c r="F18" s="153"/>
      <c r="G18" s="153"/>
      <c r="H18" s="153"/>
      <c r="I18" s="153"/>
      <c r="J18" s="153"/>
      <c r="K18" s="153"/>
      <c r="L18" s="153"/>
      <c r="M18" s="153"/>
      <c r="N18" s="154"/>
      <c r="O18" s="155" t="str">
        <f>HYPERLINK("#"&amp;E18&amp;"!A1","リンク")</f>
        <v>リンク</v>
      </c>
      <c r="P18" s="156"/>
      <c r="Q18" s="157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9" t="s">
        <v>0</v>
      </c>
      <c r="C2" s="160"/>
      <c r="D2" s="160"/>
      <c r="E2" s="160"/>
      <c r="F2" s="160"/>
      <c r="G2" s="160"/>
      <c r="H2" s="160" t="s">
        <v>351</v>
      </c>
      <c r="I2" s="160"/>
      <c r="J2" s="160"/>
      <c r="K2" s="160"/>
      <c r="L2" s="160" t="s">
        <v>350</v>
      </c>
      <c r="M2" s="160"/>
      <c r="N2" s="160"/>
      <c r="O2" s="160"/>
      <c r="P2" s="160"/>
      <c r="Q2" s="160"/>
      <c r="R2" s="160" t="s">
        <v>1</v>
      </c>
      <c r="S2" s="160"/>
      <c r="T2" s="160"/>
      <c r="U2" s="160"/>
      <c r="V2" s="160"/>
      <c r="W2" s="160"/>
      <c r="X2" s="161" t="s">
        <v>2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K2" s="161" t="s">
        <v>15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3"/>
      <c r="AX2" s="160" t="s">
        <v>4</v>
      </c>
      <c r="AY2" s="160"/>
      <c r="AZ2" s="160"/>
      <c r="BA2" s="160"/>
      <c r="BB2" s="160" t="s">
        <v>3</v>
      </c>
      <c r="BC2" s="160"/>
      <c r="BD2" s="160"/>
      <c r="BE2" s="160"/>
      <c r="BF2" s="160" t="s">
        <v>5</v>
      </c>
      <c r="BG2" s="160"/>
      <c r="BH2" s="160"/>
      <c r="BI2" s="160"/>
      <c r="BJ2" s="160" t="s">
        <v>6</v>
      </c>
      <c r="BK2" s="160"/>
      <c r="BL2" s="160"/>
      <c r="BM2" s="174"/>
      <c r="BN2" s="15"/>
    </row>
    <row r="3" spans="1:66" ht="20.100000000000001" customHeight="1" x14ac:dyDescent="0.45">
      <c r="A3" s="9"/>
      <c r="B3" s="164" t="s">
        <v>348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349</v>
      </c>
      <c r="M3" s="165"/>
      <c r="N3" s="165"/>
      <c r="O3" s="165"/>
      <c r="P3" s="165"/>
      <c r="Q3" s="165"/>
      <c r="R3" s="16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9" t="str">
        <f ca="1">REPLACE(LEFT(CELL("filename",$B$2),FIND(".x",CELL("filename",$B$2))-1),1,FIND("[",CELL("filename",$B$2)),)</f>
        <v>マスタ_請求金額マスタ_画面設計書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66"/>
      <c r="AK3" s="169" t="str">
        <f ca="1">MID($X$3,FIND("_",$X$3)+1,FIND("_",$X$3,FIND("_",$X$3)+1)-FIND("_",$X$3)-1)</f>
        <v>請求金額マスタ</v>
      </c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66"/>
      <c r="AX3" s="176">
        <v>45457</v>
      </c>
      <c r="AY3" s="165"/>
      <c r="AZ3" s="165"/>
      <c r="BA3" s="165"/>
      <c r="BB3" s="165" t="s">
        <v>352</v>
      </c>
      <c r="BC3" s="165"/>
      <c r="BD3" s="165"/>
      <c r="BE3" s="165"/>
      <c r="BF3" s="176">
        <v>45457</v>
      </c>
      <c r="BG3" s="165"/>
      <c r="BH3" s="165"/>
      <c r="BI3" s="165"/>
      <c r="BJ3" s="165" t="s">
        <v>352</v>
      </c>
      <c r="BK3" s="165"/>
      <c r="BL3" s="165"/>
      <c r="BM3" s="177"/>
      <c r="BN3" s="15"/>
    </row>
    <row r="4" spans="1:66" ht="20.100000000000001" customHeight="1" thickBot="1" x14ac:dyDescent="0.5">
      <c r="A4" s="9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5" t="s">
        <v>7</v>
      </c>
      <c r="D8" s="175"/>
      <c r="E8" s="175"/>
      <c r="F8" s="175"/>
      <c r="G8" s="175" t="s">
        <v>8</v>
      </c>
      <c r="H8" s="175"/>
      <c r="I8" s="175"/>
      <c r="J8" s="175"/>
      <c r="K8" s="175" t="s">
        <v>9</v>
      </c>
      <c r="L8" s="175"/>
      <c r="M8" s="175"/>
      <c r="N8" s="175"/>
      <c r="O8" s="175" t="s">
        <v>10</v>
      </c>
      <c r="P8" s="175"/>
      <c r="Q8" s="175"/>
      <c r="R8" s="175"/>
      <c r="S8" s="175"/>
      <c r="T8" s="175"/>
      <c r="U8" s="175"/>
      <c r="V8" s="175"/>
      <c r="W8" s="175"/>
      <c r="X8" s="175"/>
      <c r="Y8" s="175" t="s">
        <v>11</v>
      </c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8"/>
      <c r="BN8" s="15"/>
    </row>
    <row r="9" spans="1:66" ht="20.100000000000001" customHeight="1" x14ac:dyDescent="0.45">
      <c r="A9" s="9"/>
      <c r="B9" s="8"/>
      <c r="C9" s="178">
        <v>45457</v>
      </c>
      <c r="D9" s="179"/>
      <c r="E9" s="179"/>
      <c r="F9" s="180"/>
      <c r="G9" s="152" t="s">
        <v>18</v>
      </c>
      <c r="H9" s="153"/>
      <c r="I9" s="153"/>
      <c r="J9" s="154"/>
      <c r="K9" s="181" t="s">
        <v>352</v>
      </c>
      <c r="L9" s="179"/>
      <c r="M9" s="179"/>
      <c r="N9" s="18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8"/>
      <c r="D10" s="179"/>
      <c r="E10" s="179"/>
      <c r="F10" s="180"/>
      <c r="G10" s="152"/>
      <c r="H10" s="153"/>
      <c r="I10" s="153"/>
      <c r="J10" s="154"/>
      <c r="K10" s="181"/>
      <c r="L10" s="179"/>
      <c r="M10" s="179"/>
      <c r="N10" s="18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8"/>
      <c r="D11" s="179"/>
      <c r="E11" s="179"/>
      <c r="F11" s="180"/>
      <c r="G11" s="152"/>
      <c r="H11" s="153"/>
      <c r="I11" s="153"/>
      <c r="J11" s="154"/>
      <c r="K11" s="181"/>
      <c r="L11" s="179"/>
      <c r="M11" s="179"/>
      <c r="N11" s="18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8"/>
      <c r="D36" s="179"/>
      <c r="E36" s="179"/>
      <c r="F36" s="180"/>
      <c r="G36" s="152"/>
      <c r="H36" s="153"/>
      <c r="I36" s="153"/>
      <c r="J36" s="154"/>
      <c r="K36" s="181"/>
      <c r="L36" s="179"/>
      <c r="M36" s="179"/>
      <c r="N36" s="18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8"/>
      <c r="D37" s="179"/>
      <c r="E37" s="179"/>
      <c r="F37" s="180"/>
      <c r="G37" s="152"/>
      <c r="H37" s="153"/>
      <c r="I37" s="153"/>
      <c r="J37" s="154"/>
      <c r="K37" s="181"/>
      <c r="L37" s="179"/>
      <c r="M37" s="179"/>
      <c r="N37" s="18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8"/>
      <c r="D38" s="179"/>
      <c r="E38" s="179"/>
      <c r="F38" s="180"/>
      <c r="G38" s="152"/>
      <c r="H38" s="153"/>
      <c r="I38" s="153"/>
      <c r="J38" s="154"/>
      <c r="K38" s="181"/>
      <c r="L38" s="179"/>
      <c r="M38" s="179"/>
      <c r="N38" s="18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8"/>
      <c r="D39" s="179"/>
      <c r="E39" s="179"/>
      <c r="F39" s="180"/>
      <c r="G39" s="152"/>
      <c r="H39" s="153"/>
      <c r="I39" s="153"/>
      <c r="J39" s="154"/>
      <c r="K39" s="181"/>
      <c r="L39" s="179"/>
      <c r="M39" s="179"/>
      <c r="N39" s="18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8"/>
      <c r="D40" s="179"/>
      <c r="E40" s="179"/>
      <c r="F40" s="180"/>
      <c r="G40" s="152"/>
      <c r="H40" s="153"/>
      <c r="I40" s="153"/>
      <c r="J40" s="154"/>
      <c r="K40" s="181"/>
      <c r="L40" s="179"/>
      <c r="M40" s="179"/>
      <c r="N40" s="18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8"/>
      <c r="D41" s="179"/>
      <c r="E41" s="179"/>
      <c r="F41" s="180"/>
      <c r="G41" s="152"/>
      <c r="H41" s="153"/>
      <c r="I41" s="153"/>
      <c r="J41" s="154"/>
      <c r="K41" s="181"/>
      <c r="L41" s="179"/>
      <c r="M41" s="179"/>
      <c r="N41" s="18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8"/>
      <c r="D42" s="179"/>
      <c r="E42" s="179"/>
      <c r="F42" s="180"/>
      <c r="G42" s="152"/>
      <c r="H42" s="153"/>
      <c r="I42" s="153"/>
      <c r="J42" s="154"/>
      <c r="K42" s="181"/>
      <c r="L42" s="179"/>
      <c r="M42" s="179"/>
      <c r="N42" s="18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8"/>
      <c r="D43" s="179"/>
      <c r="E43" s="179"/>
      <c r="F43" s="180"/>
      <c r="G43" s="152"/>
      <c r="H43" s="153"/>
      <c r="I43" s="153"/>
      <c r="J43" s="154"/>
      <c r="K43" s="181"/>
      <c r="L43" s="179"/>
      <c r="M43" s="179"/>
      <c r="N43" s="18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8"/>
      <c r="D44" s="179"/>
      <c r="E44" s="179"/>
      <c r="F44" s="180"/>
      <c r="G44" s="152"/>
      <c r="H44" s="153"/>
      <c r="I44" s="153"/>
      <c r="J44" s="154"/>
      <c r="K44" s="181"/>
      <c r="L44" s="179"/>
      <c r="M44" s="179"/>
      <c r="N44" s="18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8"/>
      <c r="D45" s="179"/>
      <c r="E45" s="179"/>
      <c r="F45" s="180"/>
      <c r="G45" s="152"/>
      <c r="H45" s="153"/>
      <c r="I45" s="153"/>
      <c r="J45" s="154"/>
      <c r="K45" s="181"/>
      <c r="L45" s="179"/>
      <c r="M45" s="179"/>
      <c r="N45" s="18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8"/>
      <c r="D46" s="179"/>
      <c r="E46" s="179"/>
      <c r="F46" s="180"/>
      <c r="G46" s="152"/>
      <c r="H46" s="153"/>
      <c r="I46" s="153"/>
      <c r="J46" s="154"/>
      <c r="K46" s="181"/>
      <c r="L46" s="179"/>
      <c r="M46" s="179"/>
      <c r="N46" s="18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8"/>
      <c r="D47" s="179"/>
      <c r="E47" s="179"/>
      <c r="F47" s="180"/>
      <c r="G47" s="152"/>
      <c r="H47" s="153"/>
      <c r="I47" s="153"/>
      <c r="J47" s="154"/>
      <c r="K47" s="181"/>
      <c r="L47" s="179"/>
      <c r="M47" s="179"/>
      <c r="N47" s="18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318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304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305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306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307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308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309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319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310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 t="s">
        <v>311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 t="s">
        <v>312</v>
      </c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5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5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5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5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5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5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313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347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303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314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304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305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306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307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308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315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319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316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317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 t="s">
        <v>312</v>
      </c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2.5" style="7" bestFit="1" customWidth="1"/>
    <col min="30" max="31" width="3.59765625" style="7"/>
    <col min="32" max="32" width="5.796875" style="7" bestFit="1" customWidth="1"/>
    <col min="33" max="33" width="9.19921875" style="7" bestFit="1" customWidth="1"/>
    <col min="34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49" width="4.296875" style="7" bestFit="1" customWidth="1"/>
    <col min="50" max="50" width="13.19921875" style="7" customWidth="1"/>
    <col min="51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1.5" style="7" bestFit="1" customWidth="1"/>
    <col min="59" max="60" width="3.59765625" style="7"/>
    <col min="61" max="61" width="5.796875" style="7" bestFit="1" customWidth="1"/>
    <col min="62" max="62" width="13.19921875" style="7" bestFit="1" customWidth="1"/>
    <col min="63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5.5976562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333</v>
      </c>
      <c r="E10" s="100" t="s">
        <v>301</v>
      </c>
      <c r="F10" s="105" t="s">
        <v>38</v>
      </c>
      <c r="G10" s="105"/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42" t="s">
        <v>267</v>
      </c>
      <c r="R10" s="105"/>
      <c r="S10" s="42" t="s">
        <v>267</v>
      </c>
      <c r="T10" s="42"/>
      <c r="U10" s="42"/>
      <c r="V10" s="42"/>
      <c r="W10" s="42" t="s">
        <v>267</v>
      </c>
      <c r="X10" s="42"/>
      <c r="Y10" s="42"/>
      <c r="Z10" s="100"/>
      <c r="AA10" s="100"/>
      <c r="AB10" s="118"/>
      <c r="AC10" s="120" t="s">
        <v>320</v>
      </c>
      <c r="AE10" s="19">
        <v>1</v>
      </c>
      <c r="AF10" s="96" t="s">
        <v>333</v>
      </c>
      <c r="AG10" s="100" t="s">
        <v>322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 t="s">
        <v>52</v>
      </c>
      <c r="AR10" s="42"/>
      <c r="AS10" s="105"/>
      <c r="AT10" s="105"/>
      <c r="AU10" s="105"/>
      <c r="AV10" s="105"/>
      <c r="AW10" s="105">
        <v>0</v>
      </c>
      <c r="AX10" s="147">
        <v>999999999999</v>
      </c>
      <c r="AY10" s="105"/>
      <c r="AZ10" s="42"/>
      <c r="BA10" s="42" t="s">
        <v>267</v>
      </c>
      <c r="BB10" s="42"/>
      <c r="BC10" s="100"/>
      <c r="BD10" s="100"/>
      <c r="BE10" s="118"/>
      <c r="BF10" s="120" t="s">
        <v>324</v>
      </c>
      <c r="BH10" s="19">
        <v>1</v>
      </c>
      <c r="BI10" s="96" t="s">
        <v>343</v>
      </c>
      <c r="BJ10" s="100" t="s">
        <v>303</v>
      </c>
      <c r="BK10" s="105" t="s">
        <v>38</v>
      </c>
      <c r="BL10" s="105"/>
      <c r="BM10" s="42" t="s">
        <v>267</v>
      </c>
      <c r="BN10" s="42"/>
      <c r="BO10" s="42"/>
      <c r="BP10" s="42"/>
      <c r="BQ10" s="42"/>
      <c r="BR10" s="105" t="s">
        <v>44</v>
      </c>
      <c r="BS10" s="105"/>
      <c r="BT10" s="105"/>
      <c r="BU10" s="42"/>
      <c r="BV10" s="42" t="s">
        <v>267</v>
      </c>
      <c r="BW10" s="42"/>
      <c r="BX10" s="100"/>
      <c r="BY10" s="100"/>
      <c r="BZ10" s="118"/>
      <c r="CA10" s="120" t="s">
        <v>321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334</v>
      </c>
      <c r="E11" s="100" t="s">
        <v>302</v>
      </c>
      <c r="F11" s="105" t="s">
        <v>38</v>
      </c>
      <c r="G11" s="105"/>
      <c r="H11" s="105"/>
      <c r="I11" s="42"/>
      <c r="J11" s="42"/>
      <c r="K11" s="42"/>
      <c r="L11" s="42"/>
      <c r="M11" s="42" t="s">
        <v>267</v>
      </c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335</v>
      </c>
      <c r="AG11" s="100" t="s">
        <v>304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 t="s">
        <v>52</v>
      </c>
      <c r="AR11" s="42"/>
      <c r="AS11" s="105"/>
      <c r="AT11" s="105"/>
      <c r="AU11" s="105"/>
      <c r="AV11" s="105"/>
      <c r="AW11" s="105">
        <v>0</v>
      </c>
      <c r="AX11" s="147">
        <v>999999999999</v>
      </c>
      <c r="AY11" s="105"/>
      <c r="AZ11" s="42"/>
      <c r="BA11" s="42" t="s">
        <v>267</v>
      </c>
      <c r="BB11" s="42"/>
      <c r="BC11" s="100"/>
      <c r="BD11" s="100"/>
      <c r="BE11" s="118"/>
      <c r="BF11" s="120" t="s">
        <v>325</v>
      </c>
      <c r="BH11" s="19">
        <v>2</v>
      </c>
      <c r="BI11" s="96" t="s">
        <v>334</v>
      </c>
      <c r="BJ11" s="100" t="s">
        <v>353</v>
      </c>
      <c r="BK11" s="105" t="s">
        <v>38</v>
      </c>
      <c r="BL11" s="105"/>
      <c r="BM11" s="42" t="s">
        <v>267</v>
      </c>
      <c r="BN11" s="42"/>
      <c r="BO11" s="42"/>
      <c r="BP11" s="42"/>
      <c r="BQ11" s="42"/>
      <c r="BR11" s="105" t="s">
        <v>44</v>
      </c>
      <c r="BS11" s="105"/>
      <c r="BT11" s="105"/>
      <c r="BU11" s="42"/>
      <c r="BV11" s="42"/>
      <c r="BW11" s="42"/>
      <c r="BX11" s="100"/>
      <c r="BY11" s="100"/>
      <c r="BZ11" s="118"/>
      <c r="CA11" s="120" t="s">
        <v>345</v>
      </c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 t="s">
        <v>336</v>
      </c>
      <c r="AG12" s="100" t="s">
        <v>305</v>
      </c>
      <c r="AH12" s="105" t="s">
        <v>47</v>
      </c>
      <c r="AI12" s="105"/>
      <c r="AJ12" s="42"/>
      <c r="AK12" s="42"/>
      <c r="AL12" s="42"/>
      <c r="AM12" s="42"/>
      <c r="AN12" s="42"/>
      <c r="AO12" s="42"/>
      <c r="AP12" s="105"/>
      <c r="AQ12" s="105" t="s">
        <v>52</v>
      </c>
      <c r="AR12" s="42"/>
      <c r="AS12" s="105"/>
      <c r="AT12" s="105"/>
      <c r="AU12" s="105"/>
      <c r="AV12" s="105"/>
      <c r="AW12" s="105">
        <v>0</v>
      </c>
      <c r="AX12" s="147">
        <v>999999999999</v>
      </c>
      <c r="AY12" s="105"/>
      <c r="AZ12" s="42"/>
      <c r="BA12" s="42" t="s">
        <v>267</v>
      </c>
      <c r="BB12" s="42"/>
      <c r="BC12" s="100"/>
      <c r="BD12" s="100"/>
      <c r="BE12" s="118"/>
      <c r="BF12" s="120" t="s">
        <v>326</v>
      </c>
      <c r="BH12" s="19">
        <v>3</v>
      </c>
      <c r="BI12" s="96" t="s">
        <v>344</v>
      </c>
      <c r="BJ12" s="100" t="s">
        <v>354</v>
      </c>
      <c r="BK12" s="105" t="s">
        <v>38</v>
      </c>
      <c r="BL12" s="105"/>
      <c r="BM12" s="42" t="s">
        <v>267</v>
      </c>
      <c r="BN12" s="42"/>
      <c r="BO12" s="42"/>
      <c r="BP12" s="42"/>
      <c r="BQ12" s="42"/>
      <c r="BR12" s="105" t="s">
        <v>44</v>
      </c>
      <c r="BS12" s="105"/>
      <c r="BT12" s="105"/>
      <c r="BU12" s="42"/>
      <c r="BV12" s="42"/>
      <c r="BW12" s="42"/>
      <c r="BX12" s="100"/>
      <c r="BY12" s="100"/>
      <c r="BZ12" s="118"/>
      <c r="CA12" s="120" t="s">
        <v>346</v>
      </c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 t="s">
        <v>337</v>
      </c>
      <c r="AG13" s="100" t="s">
        <v>306</v>
      </c>
      <c r="AH13" s="105" t="s">
        <v>47</v>
      </c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 t="s">
        <v>52</v>
      </c>
      <c r="AR13" s="42" t="s">
        <v>20</v>
      </c>
      <c r="AS13" s="105"/>
      <c r="AT13" s="105"/>
      <c r="AU13" s="105"/>
      <c r="AV13" s="105"/>
      <c r="AW13" s="105">
        <v>0</v>
      </c>
      <c r="AX13" s="147">
        <v>999999999999</v>
      </c>
      <c r="AY13" s="105"/>
      <c r="AZ13" s="42" t="s">
        <v>20</v>
      </c>
      <c r="BA13" s="42" t="s">
        <v>267</v>
      </c>
      <c r="BB13" s="42" t="s">
        <v>20</v>
      </c>
      <c r="BC13" s="100"/>
      <c r="BD13" s="100"/>
      <c r="BE13" s="118"/>
      <c r="BF13" s="120" t="s">
        <v>327</v>
      </c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 t="s">
        <v>338</v>
      </c>
      <c r="AG14" s="100" t="s">
        <v>307</v>
      </c>
      <c r="AH14" s="105" t="s">
        <v>47</v>
      </c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 t="s">
        <v>52</v>
      </c>
      <c r="AR14" s="42" t="s">
        <v>20</v>
      </c>
      <c r="AS14" s="105"/>
      <c r="AT14" s="105"/>
      <c r="AU14" s="105"/>
      <c r="AV14" s="105"/>
      <c r="AW14" s="105">
        <v>0</v>
      </c>
      <c r="AX14" s="147">
        <v>999999999999</v>
      </c>
      <c r="AY14" s="105"/>
      <c r="AZ14" s="42" t="s">
        <v>20</v>
      </c>
      <c r="BA14" s="42" t="s">
        <v>267</v>
      </c>
      <c r="BB14" s="42" t="s">
        <v>20</v>
      </c>
      <c r="BC14" s="100"/>
      <c r="BD14" s="100"/>
      <c r="BE14" s="118"/>
      <c r="BF14" s="120" t="s">
        <v>328</v>
      </c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339</v>
      </c>
      <c r="AG15" s="100" t="s">
        <v>308</v>
      </c>
      <c r="AH15" s="105" t="s">
        <v>47</v>
      </c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 t="s">
        <v>52</v>
      </c>
      <c r="AR15" s="42" t="s">
        <v>20</v>
      </c>
      <c r="AS15" s="105"/>
      <c r="AT15" s="105"/>
      <c r="AU15" s="105"/>
      <c r="AV15" s="105"/>
      <c r="AW15" s="105">
        <v>0</v>
      </c>
      <c r="AX15" s="147">
        <v>999999999999</v>
      </c>
      <c r="AY15" s="105"/>
      <c r="AZ15" s="42" t="s">
        <v>20</v>
      </c>
      <c r="BA15" s="42" t="s">
        <v>267</v>
      </c>
      <c r="BB15" s="42" t="s">
        <v>20</v>
      </c>
      <c r="BC15" s="100"/>
      <c r="BD15" s="100"/>
      <c r="BE15" s="118"/>
      <c r="BF15" s="120" t="s">
        <v>329</v>
      </c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340</v>
      </c>
      <c r="AG16" s="100" t="s">
        <v>309</v>
      </c>
      <c r="AH16" s="105" t="s">
        <v>47</v>
      </c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 t="s">
        <v>52</v>
      </c>
      <c r="AR16" s="42" t="s">
        <v>20</v>
      </c>
      <c r="AS16" s="105"/>
      <c r="AT16" s="105"/>
      <c r="AU16" s="105"/>
      <c r="AV16" s="105"/>
      <c r="AW16" s="105">
        <v>0</v>
      </c>
      <c r="AX16" s="147">
        <v>999999999999</v>
      </c>
      <c r="AY16" s="105"/>
      <c r="AZ16" s="42" t="s">
        <v>20</v>
      </c>
      <c r="BA16" s="42" t="s">
        <v>267</v>
      </c>
      <c r="BB16" s="42" t="s">
        <v>20</v>
      </c>
      <c r="BC16" s="100"/>
      <c r="BD16" s="100"/>
      <c r="BE16" s="118"/>
      <c r="BF16" s="120" t="s">
        <v>330</v>
      </c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 t="s">
        <v>341</v>
      </c>
      <c r="AG17" s="100" t="s">
        <v>323</v>
      </c>
      <c r="AH17" s="105" t="s">
        <v>47</v>
      </c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/>
      <c r="AO17" s="42" t="s">
        <v>20</v>
      </c>
      <c r="AP17" s="105"/>
      <c r="AQ17" s="105" t="s">
        <v>52</v>
      </c>
      <c r="AR17" s="42" t="s">
        <v>20</v>
      </c>
      <c r="AS17" s="105"/>
      <c r="AT17" s="105"/>
      <c r="AU17" s="105"/>
      <c r="AV17" s="105"/>
      <c r="AW17" s="105">
        <v>0</v>
      </c>
      <c r="AX17" s="147">
        <v>999999999999</v>
      </c>
      <c r="AY17" s="105"/>
      <c r="AZ17" s="42" t="s">
        <v>20</v>
      </c>
      <c r="BA17" s="42" t="s">
        <v>267</v>
      </c>
      <c r="BB17" s="42" t="s">
        <v>20</v>
      </c>
      <c r="BC17" s="100" t="s">
        <v>356</v>
      </c>
      <c r="BD17" s="100"/>
      <c r="BE17" s="118"/>
      <c r="BF17" s="120" t="s">
        <v>331</v>
      </c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 t="s">
        <v>342</v>
      </c>
      <c r="AG18" s="100" t="s">
        <v>312</v>
      </c>
      <c r="AH18" s="105" t="s">
        <v>47</v>
      </c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>
        <v>0</v>
      </c>
      <c r="AX18" s="147">
        <v>999999999999</v>
      </c>
      <c r="AY18" s="105"/>
      <c r="AZ18" s="42" t="s">
        <v>20</v>
      </c>
      <c r="BA18" s="42" t="s">
        <v>267</v>
      </c>
      <c r="BB18" s="42" t="s">
        <v>20</v>
      </c>
      <c r="BC18" s="100"/>
      <c r="BD18" s="100"/>
      <c r="BE18" s="118"/>
      <c r="BF18" s="120" t="s">
        <v>332</v>
      </c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Q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BK10:BK19 KP10 CF10:CF19 DE10:DE19 DX10:DX19 FC10 EQ10 FN10 GK10 HI10:HJ10 IG10 JC10 JY10 AH10:AH19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357</v>
      </c>
      <c r="V10" s="146" t="s">
        <v>358</v>
      </c>
      <c r="X10" s="42"/>
      <c r="Y10" s="42" t="s">
        <v>267</v>
      </c>
      <c r="Z10" s="42" t="s">
        <v>267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359</v>
      </c>
      <c r="V11" s="146" t="s">
        <v>360</v>
      </c>
      <c r="W11" s="42"/>
      <c r="X11" s="42"/>
      <c r="Y11" s="42" t="s">
        <v>267</v>
      </c>
      <c r="Z11" s="42" t="s">
        <v>267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355</v>
      </c>
      <c r="V12" s="146" t="s">
        <v>361</v>
      </c>
      <c r="W12" s="42"/>
      <c r="X12" s="42"/>
      <c r="Y12" s="42" t="s">
        <v>267</v>
      </c>
      <c r="Z12" s="42" t="s">
        <v>267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2" t="s">
        <v>136</v>
      </c>
      <c r="B2" s="185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3"/>
      <c r="B3" s="186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3"/>
      <c r="B4" s="186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3"/>
      <c r="B5" s="186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4"/>
      <c r="B6" s="187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8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3"/>
      <c r="B8" s="189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3"/>
      <c r="B9" s="186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3"/>
      <c r="B10" s="187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3"/>
      <c r="B11" s="185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3"/>
      <c r="B12" s="186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3"/>
      <c r="B13" s="187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3"/>
      <c r="B14" s="189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3"/>
      <c r="B15" s="186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3"/>
      <c r="B16" s="187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3"/>
      <c r="B17" s="185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3"/>
      <c r="B18" s="186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3"/>
      <c r="B19" s="187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3"/>
      <c r="B20" s="185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3"/>
      <c r="B21" s="187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3"/>
      <c r="B22" s="185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4"/>
      <c r="B23" s="187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2025-05-24T04:44:25Z</dcterms:modified>
</cp:coreProperties>
</file>