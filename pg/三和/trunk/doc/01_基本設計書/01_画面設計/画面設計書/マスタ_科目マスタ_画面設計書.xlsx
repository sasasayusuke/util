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<sst xmlns="http://schemas.openxmlformats.org/spreadsheetml/2006/main" count="1601" uniqueCount="336">
  <si>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</si>
  <si>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</si>
  <si>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</si>
  <si>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</si>
  <si>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</si>
  <si>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</si>
  <si>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</si>
  <si>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</si>
  <si>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</si>
  <si>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</si>
  <si>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</si>
  <si>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</si>
  <si>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</si>
  <si>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</si>
  <si>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</si>
  <si>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</si>
  <si>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</si>
  <si>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</si>
  <si>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</si>
  <si>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</si>
  <si>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</si>
  <si>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</si>
  <si>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</si>
  <si>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</si>
  <si>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</si>
  <si>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</si>
  <si>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</si>
  <si>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</si>
  <si>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</si>
  <si>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</si>
  <si>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</si>
  <si>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</si>
  <si>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</si>
  <si>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</si>
  <si>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</si>
  <si>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</si>
  <si>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</si>
  <si>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</si>
  <si>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</si>
  <si>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</si>
  <si>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</si>
  <si>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</si>
  <si>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</si>
  <si>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</si>
  <si>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</si>
  <si>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</si>
  <si>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</si>
  <si>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</si>
  <si>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</si>
  <si>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</si>
  <si>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</si>
  <si>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</si>
  <si>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</si>
  <si>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</si>
  <si>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</si>
  <si>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</si>
  <si>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</si>
  <si>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</si>
  <si>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</si>
  <si>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</si>
  <si>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</si>
  <si>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</si>
  <si>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</si>
  <si>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</si>
  <si>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</si>
  <si>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</si>
  <si>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</si>
  <si>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</si>
  <si>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</si>
  <si>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</si>
  <si>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</si>
  <si>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</si>
  <si>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</si>
  <si>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</si>
  <si>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</si>
  <si>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</si>
  <si>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</si>
  <si>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</si>
  <si>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</si>
  <si>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</si>
  <si>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</si>
  <si>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</si>
  <si>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</si>
  <si>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</si>
  <si>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</si>
  <si>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</si>
  <si>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</si>
  <si>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</si>
  <si>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</si>
  <si>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</si>
  <si>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</si>
  <si>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</si>
  <si>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</si>
  <si>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</si>
  <si>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</si>
  <si>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</si>
  <si>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</si>
  <si>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</si>
  <si>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</si>
  <si>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</si>
  <si>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</si>
  <si>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</si>
  <si>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</si>
  <si>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</si>
  <si>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</si>
  <si>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</si>
  <si>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</si>
  <si>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</si>
  <si>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</si>
  <si>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</si>
  <si>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</si>
  <si>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</si>
  <si>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</si>
  <si>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</si>
  <si>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</si>
  <si>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</si>
  <si>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</si>
  <si>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</si>
  <si>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</si>
  <si>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</si>
  <si>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</si>
  <si>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</si>
  <si>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</si>
  <si>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</si>
  <si>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</si>
  <si>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</si>
  <si>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</si>
  <si>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</si>
  <si>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</si>
  <si>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</si>
  <si>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</si>
  <si>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</si>
  <si>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</si>
  <si>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</si>
  <si>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</si>
  <si>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</si>
  <si>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</si>
  <si>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</si>
  <si>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</si>
  <si>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</si>
  <si>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</si>
  <si>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</si>
  <si>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</si>
  <si>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</si>
  <si>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</si>
  <si>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</si>
  <si>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</si>
  <si>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</si>
  <si>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</si>
  <si>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</si>
  <si>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</si>
  <si>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</si>
  <si>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</si>
  <si>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</si>
  <si>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</si>
  <si>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</si>
  <si>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</si>
  <si>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</si>
  <si>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</si>
  <si>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</si>
  <si>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</si>
  <si>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</si>
  <si>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</si>
  <si>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</si>
  <si>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</si>
  <si>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</si>
  <si>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</si>
  <si>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</si>
  <si>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</si>
  <si>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</si>
  <si>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</si>
  <si>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</si>
  <si>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</si>
  <si>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</si>
  <si>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</si>
  <si>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</si>
  <si>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</si>
  <si>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</si>
  <si>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</si>
  <si>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</si>
  <si>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</si>
  <si>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</si>
  <si>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</si>
  <si>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</si>
  <si>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</si>
  <si>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</si>
  <si>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</si>
  <si>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</si>
  <si>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</si>
  <si>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</si>
  <si>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</si>
  <si>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</si>
  <si>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</si>
  <si>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</si>
  <si>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</si>
  <si>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</si>
  <si>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</si>
  <si>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</si>
  <si>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</si>
  <si>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</si>
  <si>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</si>
  <si>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</si>
  <si>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</si>
  <si>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</si>
  <si>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</si>
  <si>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</si>
  <si>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</si>
  <si>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</si>
  <si>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</si>
  <si>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</si>
  <si>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</si>
  <si>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</si>
  <si>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</si>
  <si>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</si>
  <si>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</si>
  <si>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</si>
  <si>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</si>
  <si>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</si>
  <si>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</si>
  <si>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</si>
  <si>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</si>
  <si>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</si>
  <si>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</si>
  <si>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</si>
  <si>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</si>
  <si>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</si>
  <si>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</si>
  <si>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</si>
  <si>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</si>
  <si>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</si>
  <si>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</si>
  <si>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</si>
  <si>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</si>
  <si>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</si>
  <si>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</si>
  <si>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</si>
  <si>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</si>
  <si>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</si>
  <si>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</si>
  <si>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</si>
  <si>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</si>
  <si>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</si>
  <si>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</si>
  <si>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</si>
  <si>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</si>
  <si>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</si>
  <si>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</si>
  <si>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</si>
  <si>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</si>
  <si>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</si>
  <si>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</si>
  <si>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</si>
  <si>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</si>
  <si>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</si>
  <si>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</si>
  <si>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</si>
  <si>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</si>
  <si>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</si>
  <si>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</si>
  <si>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</si>
  <si>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</si>
  <si>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</si>
  <si>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</si>
  <si>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</si>
  <si>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</si>
  <si>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</si>
  <si>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</si>
  <si>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</si>
  <si>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</si>
  <si>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</si>
  <si>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</si>
  <si>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</si>
  <si>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</si>
  <si>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</si>
  <si>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</si>
  <si>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</si>
  <si>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</si>
  <si>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</si>
  <si>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</si>
  <si>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</si>
  <si>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</si>
  <si>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</si>
  <si>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</si>
  <si>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</si>
  <si>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</si>
  <si>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</si>
  <si>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</si>
  <si>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</si>
  <si>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</si>
  <si>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</si>
  <si>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</si>
  <si>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</si>
  <si>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</si>
  <si>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</si>
  <si>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</si>
  <si>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</si>
  <si>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</si>
  <si>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</si>
  <si>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</si>
  <si>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</si>
  <si>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</si>
  <si>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</si>
  <si>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</si>
  <si>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順序</t>
    <rPh sb="0" eb="2">
      <t>ジュンジョ</t>
    </rPh>
    <phoneticPr fontId="2"/>
  </si>
  <si>
    <t>借方消費税区分</t>
    <rPh sb="0" eb="2">
      <t>カリカタ</t>
    </rPh>
    <rPh sb="2" eb="7">
      <t>ショウヒゼイクブン</t>
    </rPh>
    <phoneticPr fontId="2"/>
  </si>
  <si>
    <t>貸方消費税区分</t>
    <rPh sb="0" eb="2">
      <t>カシカタ</t>
    </rPh>
    <rPh sb="2" eb="7">
      <t>ショウヒゼイクブン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</si>
  <si>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</si>
  <si>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</si>
  <si>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借方消費税区分</t>
    <rPh sb="0" eb="2">
      <t>カリカタ</t>
    </rPh>
    <rPh sb="2" eb="5">
      <t>ショウヒゼイ</t>
    </rPh>
    <rPh sb="5" eb="7">
      <t>クブン</t>
    </rPh>
    <phoneticPr fontId="2"/>
  </si>
  <si>
    <t>貸方消費税区分</t>
    <rPh sb="0" eb="2">
      <t>カシカタ</t>
    </rPh>
    <rPh sb="2" eb="5">
      <t>ショウヒゼイ</t>
    </rPh>
    <rPh sb="5" eb="7">
      <t>クブン</t>
    </rPh>
    <phoneticPr fontId="2"/>
  </si>
  <si>
    <t>順序</t>
    <rPh sb="0" eb="2">
      <t>ジュンジョ</t>
    </rPh>
    <phoneticPr fontId="2"/>
  </si>
  <si>
    <t>集計CD</t>
    <rPh sb="0" eb="2">
      <t>シュウケイ</t>
    </rPh>
    <phoneticPr fontId="2"/>
  </si>
  <si>
    <t>按分区分</t>
    <rPh sb="0" eb="4">
      <t>アンブンクブン</t>
    </rPh>
    <phoneticPr fontId="2"/>
  </si>
  <si>
    <t>集計CD</t>
    <rPh sb="0" eb="2">
      <t>シュウケイ</t>
    </rPh>
    <phoneticPr fontId="2"/>
  </si>
  <si>
    <t>按分区分</t>
    <rPh sb="0" eb="2">
      <t>アンブン</t>
    </rPh>
    <rPh sb="2" eb="4">
      <t>クブン</t>
    </rPh>
    <phoneticPr fontId="2"/>
  </si>
  <si>
    <t>貸方消費税区分</t>
    <rPh sb="0" eb="2">
      <t>カシカタ</t>
    </rPh>
    <rPh sb="2" eb="5">
      <t>ショウヒゼイ</t>
    </rPh>
    <rPh sb="5" eb="7">
      <t>クブン</t>
    </rPh>
    <phoneticPr fontId="2"/>
  </si>
  <si>
    <t>TM科目_科目CD</t>
    <rPh sb="2" eb="4">
      <t>カモク</t>
    </rPh>
    <rPh sb="5" eb="7">
      <t>カモク</t>
    </rPh>
    <phoneticPr fontId="2"/>
  </si>
  <si>
    <t>TM科目_科目名</t>
    <rPh sb="2" eb="4">
      <t>カモク</t>
    </rPh>
    <rPh sb="5" eb="8">
      <t>カモクメイ</t>
    </rPh>
    <phoneticPr fontId="2"/>
  </si>
  <si>
    <t>TM科目_借方消費税区分</t>
    <rPh sb="2" eb="4">
      <t>カモク</t>
    </rPh>
    <rPh sb="5" eb="12">
      <t>カリカタショウヒゼイクブン</t>
    </rPh>
    <phoneticPr fontId="2"/>
  </si>
  <si>
    <t>TM科目_貸方消費税区分</t>
    <rPh sb="2" eb="4">
      <t>カモク</t>
    </rPh>
    <rPh sb="5" eb="12">
      <t>カシカタショウヒゼイクブン</t>
    </rPh>
    <phoneticPr fontId="2"/>
  </si>
  <si>
    <t>TM科目_順序</t>
    <rPh sb="2" eb="4">
      <t>カモク</t>
    </rPh>
    <rPh sb="5" eb="7">
      <t>ジュンジョ</t>
    </rPh>
    <phoneticPr fontId="2"/>
  </si>
  <si>
    <t>TM科目_集計CD</t>
    <rPh sb="2" eb="4">
      <t>カモク</t>
    </rPh>
    <rPh sb="5" eb="7">
      <t>シュウケイ</t>
    </rPh>
    <phoneticPr fontId="2"/>
  </si>
  <si>
    <t>TM科目_按分区分</t>
    <rPh sb="2" eb="4">
      <t>カモク</t>
    </rPh>
    <rPh sb="5" eb="9">
      <t>アンブンクブン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</si>
  <si>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</si>
  <si>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</si>
  <si>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</si>
  <si>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</si>
  <si>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</si>
  <si>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</si>
  <si>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〇</t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</si>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</sst>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89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15240</xdr:colOff>
      <xdr:row>30</xdr:row>
      <xdr:rowOff>120025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1"/>
          <a:ext cx="13982700" cy="61550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96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26473</xdr:colOff>
      <xdr:row>24</xdr:row>
      <xdr:rowOff>190500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1982253" cy="47167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7620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54" t="s">
        <v>256</v>
      </c>
      <c r="D8" s="156"/>
      <c r="E8" s="154" t="s">
        <v>257</v>
      </c>
      <c r="F8" s="155"/>
      <c r="G8" s="155"/>
      <c r="H8" s="155"/>
      <c r="I8" s="155"/>
      <c r="J8" s="155"/>
      <c r="K8" s="155"/>
      <c r="L8" s="155"/>
      <c r="M8" s="155"/>
      <c r="N8" s="156"/>
      <c r="O8" s="154" t="s">
        <v>258</v>
      </c>
      <c r="P8" s="155"/>
      <c r="Q8" s="156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46">
        <f>ROW()-8</f>
        <v>1</v>
      </c>
      <c r="D9" s="147"/>
      <c r="E9" s="148" t="s">
        <v>17</v>
      </c>
      <c r="F9" s="149"/>
      <c r="G9" s="149"/>
      <c r="H9" s="149"/>
      <c r="I9" s="149"/>
      <c r="J9" s="149"/>
      <c r="K9" s="149"/>
      <c r="L9" s="149"/>
      <c r="M9" s="149"/>
      <c r="N9" s="150"/>
      <c r="O9" s="151" t="str">
        <f>HYPERLINK("#"&amp;E9&amp;"!A1","リンク")</f>
        <v>リンク</v>
      </c>
      <c r="P9" s="152"/>
      <c r="Q9" s="153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46">
        <f t="shared" ref="C10:C18" si="0">ROW()-8</f>
        <v>2</v>
      </c>
      <c r="D10" s="147"/>
      <c r="E10" s="148" t="s">
        <v>259</v>
      </c>
      <c r="F10" s="149"/>
      <c r="G10" s="149"/>
      <c r="H10" s="149"/>
      <c r="I10" s="149"/>
      <c r="J10" s="149"/>
      <c r="K10" s="149"/>
      <c r="L10" s="149"/>
      <c r="M10" s="149"/>
      <c r="N10" s="150"/>
      <c r="O10" s="151" t="str">
        <f t="shared" ref="O10:O15" si="1">HYPERLINK("#"&amp;E10&amp;"!A1","リンク")</f>
        <v>リンク</v>
      </c>
      <c r="P10" s="152"/>
      <c r="Q10" s="153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46">
        <f t="shared" si="0"/>
        <v>3</v>
      </c>
      <c r="D11" s="147"/>
      <c r="E11" s="148" t="s">
        <v>260</v>
      </c>
      <c r="F11" s="149"/>
      <c r="G11" s="149"/>
      <c r="H11" s="149"/>
      <c r="I11" s="149"/>
      <c r="J11" s="149"/>
      <c r="K11" s="149"/>
      <c r="L11" s="149"/>
      <c r="M11" s="149"/>
      <c r="N11" s="150"/>
      <c r="O11" s="151" t="str">
        <f t="shared" si="1"/>
        <v>リンク</v>
      </c>
      <c r="P11" s="152"/>
      <c r="Q11" s="153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46">
        <f t="shared" si="0"/>
        <v>4</v>
      </c>
      <c r="D12" s="147"/>
      <c r="E12" s="148" t="s">
        <v>261</v>
      </c>
      <c r="F12" s="149"/>
      <c r="G12" s="149"/>
      <c r="H12" s="149"/>
      <c r="I12" s="149"/>
      <c r="J12" s="149"/>
      <c r="K12" s="149"/>
      <c r="L12" s="149"/>
      <c r="M12" s="149"/>
      <c r="N12" s="150"/>
      <c r="O12" s="151" t="str">
        <f t="shared" si="1"/>
        <v>リンク</v>
      </c>
      <c r="P12" s="152"/>
      <c r="Q12" s="153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46">
        <f t="shared" si="0"/>
        <v>5</v>
      </c>
      <c r="D13" s="147"/>
      <c r="E13" s="148" t="s">
        <v>263</v>
      </c>
      <c r="F13" s="149"/>
      <c r="G13" s="149"/>
      <c r="H13" s="149"/>
      <c r="I13" s="149"/>
      <c r="J13" s="149"/>
      <c r="K13" s="149"/>
      <c r="L13" s="149"/>
      <c r="M13" s="149"/>
      <c r="N13" s="150"/>
      <c r="O13" s="151" t="str">
        <f t="shared" si="1"/>
        <v>リンク</v>
      </c>
      <c r="P13" s="152"/>
      <c r="Q13" s="153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46">
        <f t="shared" si="0"/>
        <v>6</v>
      </c>
      <c r="D14" s="147"/>
      <c r="E14" s="148" t="s">
        <v>264</v>
      </c>
      <c r="F14" s="149"/>
      <c r="G14" s="149"/>
      <c r="H14" s="149"/>
      <c r="I14" s="149"/>
      <c r="J14" s="149"/>
      <c r="K14" s="149"/>
      <c r="L14" s="149"/>
      <c r="M14" s="149"/>
      <c r="N14" s="150"/>
      <c r="O14" s="151" t="str">
        <f t="shared" si="1"/>
        <v>リンク</v>
      </c>
      <c r="P14" s="152"/>
      <c r="Q14" s="153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46">
        <f t="shared" si="0"/>
        <v>7</v>
      </c>
      <c r="D15" s="147"/>
      <c r="E15" s="148" t="s">
        <v>262</v>
      </c>
      <c r="F15" s="149"/>
      <c r="G15" s="149"/>
      <c r="H15" s="149"/>
      <c r="I15" s="149"/>
      <c r="J15" s="149"/>
      <c r="K15" s="149"/>
      <c r="L15" s="149"/>
      <c r="M15" s="149"/>
      <c r="N15" s="150"/>
      <c r="O15" s="151" t="str">
        <f t="shared" si="1"/>
        <v>リンク</v>
      </c>
      <c r="P15" s="152"/>
      <c r="Q15" s="153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46">
        <f t="shared" si="0"/>
        <v>8</v>
      </c>
      <c r="D16" s="147"/>
      <c r="E16" s="148" t="s">
        <v>265</v>
      </c>
      <c r="F16" s="149"/>
      <c r="G16" s="149"/>
      <c r="H16" s="149"/>
      <c r="I16" s="149"/>
      <c r="J16" s="149"/>
      <c r="K16" s="149"/>
      <c r="L16" s="149"/>
      <c r="M16" s="149"/>
      <c r="N16" s="150"/>
      <c r="O16" s="151" t="str">
        <f>HYPERLINK("#"&amp;E16&amp;"!A1","リンク")</f>
        <v>リンク</v>
      </c>
      <c r="P16" s="152"/>
      <c r="Q16" s="153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46">
        <f t="shared" si="0"/>
        <v>9</v>
      </c>
      <c r="D17" s="147"/>
      <c r="E17" s="148" t="s">
        <v>266</v>
      </c>
      <c r="F17" s="149"/>
      <c r="G17" s="149"/>
      <c r="H17" s="149"/>
      <c r="I17" s="149"/>
      <c r="J17" s="149"/>
      <c r="K17" s="149"/>
      <c r="L17" s="149"/>
      <c r="M17" s="149"/>
      <c r="N17" s="150"/>
      <c r="O17" s="151" t="str">
        <f>HYPERLINK("#"&amp;E17&amp;"!A1","リンク")</f>
        <v>リンク</v>
      </c>
      <c r="P17" s="152"/>
      <c r="Q17" s="153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46">
        <f t="shared" si="0"/>
        <v>10</v>
      </c>
      <c r="D18" s="147"/>
      <c r="E18" s="148" t="s">
        <v>294</v>
      </c>
      <c r="F18" s="149"/>
      <c r="G18" s="149"/>
      <c r="H18" s="149"/>
      <c r="I18" s="149"/>
      <c r="J18" s="149"/>
      <c r="K18" s="149"/>
      <c r="L18" s="149"/>
      <c r="M18" s="149"/>
      <c r="N18" s="150"/>
      <c r="O18" s="151" t="str">
        <f>HYPERLINK("#"&amp;E18&amp;"!A1","リンク")</f>
        <v>リンク</v>
      </c>
      <c r="P18" s="152"/>
      <c r="Q18" s="153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9" t="s">
        <v>0</v>
      </c>
      <c r="C2" s="162"/>
      <c r="D2" s="162"/>
      <c r="E2" s="162"/>
      <c r="F2" s="162"/>
      <c r="G2" s="162"/>
      <c r="H2" s="162" t="s">
        <v>333</v>
      </c>
      <c r="I2" s="162"/>
      <c r="J2" s="162"/>
      <c r="K2" s="162"/>
      <c r="L2" s="162" t="s">
        <v>332</v>
      </c>
      <c r="M2" s="162"/>
      <c r="N2" s="162"/>
      <c r="O2" s="162"/>
      <c r="P2" s="162"/>
      <c r="Q2" s="162"/>
      <c r="R2" s="162" t="s">
        <v>1</v>
      </c>
      <c r="S2" s="162"/>
      <c r="T2" s="162"/>
      <c r="U2" s="162"/>
      <c r="V2" s="162"/>
      <c r="W2" s="162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15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4</v>
      </c>
      <c r="AY2" s="162"/>
      <c r="AZ2" s="162"/>
      <c r="BA2" s="162"/>
      <c r="BB2" s="162" t="s">
        <v>3</v>
      </c>
      <c r="BC2" s="162"/>
      <c r="BD2" s="162"/>
      <c r="BE2" s="162"/>
      <c r="BF2" s="162" t="s">
        <v>5</v>
      </c>
      <c r="BG2" s="162"/>
      <c r="BH2" s="162"/>
      <c r="BI2" s="162"/>
      <c r="BJ2" s="162" t="s">
        <v>6</v>
      </c>
      <c r="BK2" s="162"/>
      <c r="BL2" s="162"/>
      <c r="BM2" s="163"/>
      <c r="BN2" s="15"/>
    </row>
    <row r="3" spans="1:66" ht="20.100000000000001" customHeight="1" x14ac:dyDescent="0.45">
      <c r="A3" s="9"/>
      <c r="B3" s="177" t="s">
        <v>330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331</v>
      </c>
      <c r="M3" s="165"/>
      <c r="N3" s="165"/>
      <c r="O3" s="165"/>
      <c r="P3" s="165"/>
      <c r="Q3" s="165"/>
      <c r="R3" s="17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8" t="str">
        <f ca="1">REPLACE(LEFT(CELL("filename",$B$2),FIND(".x",CELL("filename",$B$2))-1),1,FIND("[",CELL("filename",$B$2)),)</f>
        <v>マスタ_科目マスタ_画面設計書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MID($X$3,FIND("_",$X$3)+1,FIND("_",$X$3,FIND("_",$X$3)+1)-FIND("_",$X$3)-1)</f>
        <v>科目マスタ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v>45435</v>
      </c>
      <c r="AY3" s="165"/>
      <c r="AZ3" s="165"/>
      <c r="BA3" s="165"/>
      <c r="BB3" s="165" t="s">
        <v>334</v>
      </c>
      <c r="BC3" s="165"/>
      <c r="BD3" s="165"/>
      <c r="BE3" s="165"/>
      <c r="BF3" s="164">
        <v>45435</v>
      </c>
      <c r="BG3" s="165"/>
      <c r="BH3" s="165"/>
      <c r="BI3" s="165"/>
      <c r="BJ3" s="165" t="s">
        <v>334</v>
      </c>
      <c r="BK3" s="165"/>
      <c r="BL3" s="165"/>
      <c r="BM3" s="167"/>
      <c r="BN3" s="15"/>
    </row>
    <row r="4" spans="1:66" ht="20.100000000000001" customHeight="1" thickBot="1" x14ac:dyDescent="0.5">
      <c r="A4" s="9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1" t="s">
        <v>7</v>
      </c>
      <c r="D8" s="161"/>
      <c r="E8" s="161"/>
      <c r="F8" s="161"/>
      <c r="G8" s="161" t="s">
        <v>8</v>
      </c>
      <c r="H8" s="161"/>
      <c r="I8" s="161"/>
      <c r="J8" s="161"/>
      <c r="K8" s="161" t="s">
        <v>9</v>
      </c>
      <c r="L8" s="161"/>
      <c r="M8" s="161"/>
      <c r="N8" s="161"/>
      <c r="O8" s="161" t="s">
        <v>10</v>
      </c>
      <c r="P8" s="161"/>
      <c r="Q8" s="161"/>
      <c r="R8" s="161"/>
      <c r="S8" s="161"/>
      <c r="T8" s="161"/>
      <c r="U8" s="161"/>
      <c r="V8" s="161"/>
      <c r="W8" s="161"/>
      <c r="X8" s="161"/>
      <c r="Y8" s="161" t="s">
        <v>11</v>
      </c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8"/>
      <c r="BN8" s="15"/>
    </row>
    <row r="9" spans="1:66" ht="20.100000000000001" customHeight="1" x14ac:dyDescent="0.45">
      <c r="A9" s="9"/>
      <c r="B9" s="8"/>
      <c r="C9" s="160">
        <v>45435</v>
      </c>
      <c r="D9" s="158"/>
      <c r="E9" s="158"/>
      <c r="F9" s="159"/>
      <c r="G9" s="148" t="s">
        <v>18</v>
      </c>
      <c r="H9" s="149"/>
      <c r="I9" s="149"/>
      <c r="J9" s="150"/>
      <c r="K9" s="157" t="s">
        <v>334</v>
      </c>
      <c r="L9" s="158"/>
      <c r="M9" s="158"/>
      <c r="N9" s="15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0"/>
      <c r="D10" s="158"/>
      <c r="E10" s="158"/>
      <c r="F10" s="159"/>
      <c r="G10" s="148"/>
      <c r="H10" s="149"/>
      <c r="I10" s="149"/>
      <c r="J10" s="150"/>
      <c r="K10" s="157"/>
      <c r="L10" s="158"/>
      <c r="M10" s="158"/>
      <c r="N10" s="15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0"/>
      <c r="D11" s="158"/>
      <c r="E11" s="158"/>
      <c r="F11" s="159"/>
      <c r="G11" s="148"/>
      <c r="H11" s="149"/>
      <c r="I11" s="149"/>
      <c r="J11" s="150"/>
      <c r="K11" s="157"/>
      <c r="L11" s="158"/>
      <c r="M11" s="158"/>
      <c r="N11" s="15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0"/>
      <c r="D36" s="158"/>
      <c r="E36" s="158"/>
      <c r="F36" s="159"/>
      <c r="G36" s="148"/>
      <c r="H36" s="149"/>
      <c r="I36" s="149"/>
      <c r="J36" s="150"/>
      <c r="K36" s="157"/>
      <c r="L36" s="158"/>
      <c r="M36" s="158"/>
      <c r="N36" s="15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0"/>
      <c r="D37" s="158"/>
      <c r="E37" s="158"/>
      <c r="F37" s="159"/>
      <c r="G37" s="148"/>
      <c r="H37" s="149"/>
      <c r="I37" s="149"/>
      <c r="J37" s="150"/>
      <c r="K37" s="157"/>
      <c r="L37" s="158"/>
      <c r="M37" s="158"/>
      <c r="N37" s="15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0"/>
      <c r="D38" s="158"/>
      <c r="E38" s="158"/>
      <c r="F38" s="159"/>
      <c r="G38" s="148"/>
      <c r="H38" s="149"/>
      <c r="I38" s="149"/>
      <c r="J38" s="150"/>
      <c r="K38" s="157"/>
      <c r="L38" s="158"/>
      <c r="M38" s="158"/>
      <c r="N38" s="15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0"/>
      <c r="D39" s="158"/>
      <c r="E39" s="158"/>
      <c r="F39" s="159"/>
      <c r="G39" s="148"/>
      <c r="H39" s="149"/>
      <c r="I39" s="149"/>
      <c r="J39" s="150"/>
      <c r="K39" s="157"/>
      <c r="L39" s="158"/>
      <c r="M39" s="158"/>
      <c r="N39" s="15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0"/>
      <c r="D40" s="158"/>
      <c r="E40" s="158"/>
      <c r="F40" s="159"/>
      <c r="G40" s="148"/>
      <c r="H40" s="149"/>
      <c r="I40" s="149"/>
      <c r="J40" s="150"/>
      <c r="K40" s="157"/>
      <c r="L40" s="158"/>
      <c r="M40" s="158"/>
      <c r="N40" s="15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0"/>
      <c r="D41" s="158"/>
      <c r="E41" s="158"/>
      <c r="F41" s="159"/>
      <c r="G41" s="148"/>
      <c r="H41" s="149"/>
      <c r="I41" s="149"/>
      <c r="J41" s="150"/>
      <c r="K41" s="157"/>
      <c r="L41" s="158"/>
      <c r="M41" s="158"/>
      <c r="N41" s="15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0"/>
      <c r="D42" s="158"/>
      <c r="E42" s="158"/>
      <c r="F42" s="159"/>
      <c r="G42" s="148"/>
      <c r="H42" s="149"/>
      <c r="I42" s="149"/>
      <c r="J42" s="150"/>
      <c r="K42" s="157"/>
      <c r="L42" s="158"/>
      <c r="M42" s="158"/>
      <c r="N42" s="15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0"/>
      <c r="D43" s="158"/>
      <c r="E43" s="158"/>
      <c r="F43" s="159"/>
      <c r="G43" s="148"/>
      <c r="H43" s="149"/>
      <c r="I43" s="149"/>
      <c r="J43" s="150"/>
      <c r="K43" s="157"/>
      <c r="L43" s="158"/>
      <c r="M43" s="158"/>
      <c r="N43" s="15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0"/>
      <c r="D44" s="158"/>
      <c r="E44" s="158"/>
      <c r="F44" s="159"/>
      <c r="G44" s="148"/>
      <c r="H44" s="149"/>
      <c r="I44" s="149"/>
      <c r="J44" s="150"/>
      <c r="K44" s="157"/>
      <c r="L44" s="158"/>
      <c r="M44" s="158"/>
      <c r="N44" s="15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0"/>
      <c r="D45" s="158"/>
      <c r="E45" s="158"/>
      <c r="F45" s="159"/>
      <c r="G45" s="148"/>
      <c r="H45" s="149"/>
      <c r="I45" s="149"/>
      <c r="J45" s="150"/>
      <c r="K45" s="157"/>
      <c r="L45" s="158"/>
      <c r="M45" s="158"/>
      <c r="N45" s="15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0"/>
      <c r="D46" s="158"/>
      <c r="E46" s="158"/>
      <c r="F46" s="159"/>
      <c r="G46" s="148"/>
      <c r="H46" s="149"/>
      <c r="I46" s="149"/>
      <c r="J46" s="150"/>
      <c r="K46" s="157"/>
      <c r="L46" s="158"/>
      <c r="M46" s="158"/>
      <c r="N46" s="15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0"/>
      <c r="D47" s="158"/>
      <c r="E47" s="158"/>
      <c r="F47" s="159"/>
      <c r="G47" s="148"/>
      <c r="H47" s="149"/>
      <c r="I47" s="149"/>
      <c r="J47" s="150"/>
      <c r="K47" s="157"/>
      <c r="L47" s="158"/>
      <c r="M47" s="158"/>
      <c r="N47" s="15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5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5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5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5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5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5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5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5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5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5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5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5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5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5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5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5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5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5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5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5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5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5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5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5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304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305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303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313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314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/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/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/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/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306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307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308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309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310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311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312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/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/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/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/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5.199218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43.0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3.5976562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49" width="4.296875" style="7" bestFit="1" customWidth="1"/>
    <col min="50" max="50" width="5" style="7" bestFit="1" customWidth="1"/>
    <col min="51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8" width="12.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323</v>
      </c>
      <c r="E10" s="100" t="s">
        <v>301</v>
      </c>
      <c r="F10" s="105" t="s">
        <v>38</v>
      </c>
      <c r="G10" s="105">
        <v>4</v>
      </c>
      <c r="H10" s="105"/>
      <c r="I10" s="42" t="s">
        <v>329</v>
      </c>
      <c r="J10" s="42"/>
      <c r="K10" s="42"/>
      <c r="L10" s="42"/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316</v>
      </c>
      <c r="AE10" s="19">
        <v>1</v>
      </c>
      <c r="AF10" s="96" t="s">
        <v>335</v>
      </c>
      <c r="AG10" s="100" t="s">
        <v>303</v>
      </c>
      <c r="AH10" s="105" t="s">
        <v>38</v>
      </c>
      <c r="AI10" s="105"/>
      <c r="AJ10" s="42"/>
      <c r="AK10" s="42"/>
      <c r="AL10" s="42"/>
      <c r="AM10" s="42"/>
      <c r="AN10" s="42"/>
      <c r="AO10" s="42"/>
      <c r="AP10" s="105"/>
      <c r="AQ10" s="105"/>
      <c r="AR10" s="42" t="s">
        <v>267</v>
      </c>
      <c r="AS10" s="105"/>
      <c r="AT10" s="105"/>
      <c r="AU10" s="105"/>
      <c r="AV10" s="105"/>
      <c r="AW10" s="105">
        <v>0</v>
      </c>
      <c r="AX10" s="105">
        <v>9999</v>
      </c>
      <c r="AY10" s="105"/>
      <c r="AZ10" s="42"/>
      <c r="BA10" s="42"/>
      <c r="BB10" s="42"/>
      <c r="BC10" s="100"/>
      <c r="BD10" s="100"/>
      <c r="BE10" s="118"/>
      <c r="BF10" s="120" t="s">
        <v>320</v>
      </c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324</v>
      </c>
      <c r="E11" s="100" t="s">
        <v>302</v>
      </c>
      <c r="F11" s="105" t="s">
        <v>38</v>
      </c>
      <c r="G11" s="105">
        <v>14</v>
      </c>
      <c r="H11" s="105"/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 t="s">
        <v>317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325</v>
      </c>
      <c r="E12" s="100" t="s">
        <v>304</v>
      </c>
      <c r="F12" s="105" t="s">
        <v>38</v>
      </c>
      <c r="G12" s="105">
        <v>2</v>
      </c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 t="s">
        <v>318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326</v>
      </c>
      <c r="E13" s="100" t="s">
        <v>315</v>
      </c>
      <c r="F13" s="105" t="s">
        <v>38</v>
      </c>
      <c r="G13" s="105">
        <v>2</v>
      </c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319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327</v>
      </c>
      <c r="E14" s="100" t="s">
        <v>311</v>
      </c>
      <c r="F14" s="105" t="s">
        <v>38</v>
      </c>
      <c r="G14" s="105">
        <v>1</v>
      </c>
      <c r="H14" s="105"/>
      <c r="I14" s="42" t="s">
        <v>267</v>
      </c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 t="s">
        <v>321</v>
      </c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328</v>
      </c>
      <c r="E15" s="100" t="s">
        <v>312</v>
      </c>
      <c r="F15" s="105" t="s">
        <v>38</v>
      </c>
      <c r="G15" s="105">
        <v>1</v>
      </c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 t="s">
        <v>267</v>
      </c>
      <c r="Y15" s="42"/>
      <c r="Z15" s="100"/>
      <c r="AA15" s="100"/>
      <c r="AB15" s="118"/>
      <c r="AC15" s="120" t="s">
        <v>322</v>
      </c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 t="s">
        <v>322</v>
      </c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I10:N19 AJ10:AO19 AR10:AR19 KG10:KI10 BM10:BQ19 CJ10:CP19 BU10:BW19 DG10:DK19 CT10:CV19 DY10:EC19 DM10:DO19 EH10:EJ19 EU10:EV10 ES10 FQ10:FV10 FF10:FG10 GO10:GU10 GB10:GD10 HM10:HQ10 GZ10:HB10 II10:IM10 HV10:HZ10 JE10:JI10 IR10:IV10 KA10:KE10 JN10:JR10 KR10:KT10 AZ10:BB19 S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AH10:AH19 BK10:BK19 CF10:CF19 DE10:DE19 DX10:DX19 FC10 EQ10 FN10 GK10 HI10:HJ10 IG10 JC10 JY10 F10:F19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AI11:AI19 JZ10 BL10:BL19 DF10:DF19 FD10 ER10 FP10 HL10 IH10 JD10 H10:H19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BZ10:BZ19 CY10:CY19 DR10:DR19 EM10:EM19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topLeftCell="B1" workbookViewId="0">
      <selection activeCell="E14" sqref="E1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0" t="s">
        <v>136</v>
      </c>
      <c r="B2" s="183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1"/>
      <c r="B3" s="184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1"/>
      <c r="B4" s="184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1"/>
      <c r="B5" s="184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2"/>
      <c r="B6" s="185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6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1"/>
      <c r="B8" s="187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1"/>
      <c r="B9" s="184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1"/>
      <c r="B10" s="185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1"/>
      <c r="B11" s="183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1"/>
      <c r="B12" s="184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1"/>
      <c r="B13" s="185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1"/>
      <c r="B14" s="187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1"/>
      <c r="B15" s="184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1"/>
      <c r="B16" s="185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1"/>
      <c r="B17" s="183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1"/>
      <c r="B18" s="184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1"/>
      <c r="B19" s="185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1"/>
      <c r="B20" s="183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1"/>
      <c r="B21" s="185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1"/>
      <c r="B22" s="183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2"/>
      <c r="B23" s="185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2025-05-24T04:15:03Z</dcterms:modified>
</cp:coreProperties>
</file>