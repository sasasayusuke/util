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1_基本設計書\01_画面設計\画面設計書\"/>
    </mc:Choice>
  </mc:AlternateContent>
  <bookViews>
    <workbookView xWindow="0" yWindow="0" windowWidth="23040" windowHeight="9096" firstSheet="1" activeTab="1"/>
  </bookViews>
  <sheets>
    <sheet name="目次" sheetId="20" state="hidden" r:id="rId1"/>
    <sheet name="変更履歴" sheetId="1" r:id="rId2"/>
    <sheet name="一覧_画面レイアウト" sheetId="2" r:id="rId3"/>
    <sheet name="一覧_一覧要素" sheetId="22" state="hidden" r:id="rId4"/>
    <sheet name="一覧_集計要素" sheetId="3" state="hidden" r:id="rId5"/>
    <sheet name="一覧_フィルタ要素" sheetId="21" state="hidden" r:id="rId6"/>
    <sheet name="一覧_その他要素" sheetId="16" state="hidden" r:id="rId7"/>
    <sheet name="詳細_画面レイアウト" sheetId="14" r:id="rId8"/>
    <sheet name="詳細_編集要素" sheetId="15" r:id="rId9"/>
    <sheet name="詳細_その他要素" sheetId="17" state="hidden" r:id="rId10"/>
    <sheet name="スクリプト要素" sheetId="23" r:id="rId11"/>
    <sheet name="課題事項" sheetId="24" r:id="rId12"/>
    <sheet name="雛形" sheetId="19" state="hidden" r:id="rId13"/>
    <sheet name="参照" sheetId="13" state="hidden" r:id="rId14"/>
  </sheets>
  <externalReferences>
    <externalReference r:id="rId15"/>
  </externalReferences>
  <definedNames>
    <definedName name="Pleasanter項目種別">参照!$C:$C</definedName>
    <definedName name="_xlnm.Print_Area" localSheetId="10">スクリプト要素!$A$1:$BB$22</definedName>
    <definedName name="_xlnm.Print_Area" localSheetId="6">一覧_その他要素!$A$1:$O$22</definedName>
    <definedName name="_xlnm.Print_Area" localSheetId="5">一覧_フィルタ要素!$A$1:$CV$41</definedName>
    <definedName name="_xlnm.Print_Area" localSheetId="3">一覧_一覧要素!$A$1:$DA$41</definedName>
    <definedName name="_xlnm.Print_Area" localSheetId="2">一覧_画面レイアウト!$A$1:$Z$63</definedName>
    <definedName name="_xlnm.Print_Area" localSheetId="4">一覧_集計要素!$A$1:$BG$41</definedName>
    <definedName name="_xlnm.Print_Area" localSheetId="9">詳細_その他要素!$A$1:$T$22</definedName>
    <definedName name="_xlnm.Print_Area" localSheetId="7">詳細_画面レイアウト!$A$1:$Z$63</definedName>
    <definedName name="_xlnm.Print_Area" localSheetId="8">詳細_編集要素!$A$1:$EN$45</definedName>
    <definedName name="エディタの書式" localSheetId="11">[1]参照!$U:$U</definedName>
    <definedName name="エディタの書式">参照!$U:$U</definedName>
    <definedName name="コントロール種別" localSheetId="11">[1]参照!$M:$M</definedName>
    <definedName name="コントロール種別">参照!$M:$M</definedName>
    <definedName name="コントロール種別_チェックフィルタ" localSheetId="11">[1]参照!$AC:$AC</definedName>
    <definedName name="コントロール種別_チェックフィルタ">参照!$AC:$AC</definedName>
    <definedName name="スタイル" localSheetId="11">[1]参照!$G:$G</definedName>
    <definedName name="スタイル">参照!$G:$G</definedName>
    <definedName name="スタイル_説明" localSheetId="11">[1]参照!$I:$I</definedName>
    <definedName name="スタイル_説明">参照!$I:$I</definedName>
    <definedName name="チェック" localSheetId="11">[1]参照!$K$1:$K$2</definedName>
    <definedName name="チェック">参照!$K$1:$K$2</definedName>
    <definedName name="ビュワー切替" localSheetId="11">[1]参照!$W:$W</definedName>
    <definedName name="ビュワー切替">参照!$W:$W</definedName>
    <definedName name="フィルタ要素">参照!$A:$A</definedName>
    <definedName name="フルテキストの種類" localSheetId="11">[1]参照!$O:$O</definedName>
    <definedName name="フルテキストの種類">参照!$O:$O</definedName>
    <definedName name="モード選択" localSheetId="11">[1]参照!$AA:$AA</definedName>
    <definedName name="モード選択">参照!$AA:$AA</definedName>
    <definedName name="一覧の書式" localSheetId="11">[1]参照!$AG:$AG</definedName>
    <definedName name="一覧の書式">参照!$AG:$AG</definedName>
    <definedName name="検索の種類" localSheetId="11">[1]参照!$Y:$Y</definedName>
    <definedName name="検索の種類">参照!$Y:$Y</definedName>
    <definedName name="集計種別" localSheetId="11">[1]参照!$AE:$AE</definedName>
    <definedName name="集計種別">参照!$AE:$AE</definedName>
    <definedName name="書式" localSheetId="11">[1]参照!$Q:$Q</definedName>
    <definedName name="書式">参照!$Q:$Q</definedName>
    <definedName name="端数処理種類" localSheetId="11">[1]参照!$S:$S</definedName>
    <definedName name="端数処理種類">参照!$S:$S</definedName>
    <definedName name="配置" localSheetId="11">[1]参照!$E:$E</definedName>
    <definedName name="配置">参照!$E:$E</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6" i="20" l="1"/>
  <c r="C18" i="20" l="1"/>
  <c r="O18" i="20"/>
  <c r="AH19" i="22" l="1"/>
  <c r="AH18" i="22"/>
  <c r="AH17" i="22"/>
  <c r="AH16" i="22"/>
  <c r="AH15" i="22"/>
  <c r="AH14" i="22"/>
  <c r="AH13" i="22"/>
  <c r="AH12" i="22"/>
  <c r="AH11" i="22"/>
  <c r="AH10" i="22"/>
  <c r="AB19" i="22"/>
  <c r="AB18" i="22"/>
  <c r="AB17" i="22"/>
  <c r="AB16" i="22"/>
  <c r="AB15" i="22"/>
  <c r="AB14" i="22"/>
  <c r="AB13" i="22"/>
  <c r="AB12" i="22"/>
  <c r="AB11" i="22"/>
  <c r="AB10" i="22"/>
  <c r="O17" i="20" l="1"/>
  <c r="C17" i="20"/>
  <c r="C16" i="20"/>
  <c r="O15" i="20" l="1"/>
  <c r="O14" i="20"/>
  <c r="O13" i="20"/>
  <c r="O12" i="20"/>
  <c r="O11" i="20"/>
  <c r="O10" i="20"/>
  <c r="O9" i="20"/>
  <c r="C15" i="20"/>
  <c r="C14" i="20"/>
  <c r="C13" i="20"/>
  <c r="C12" i="20"/>
  <c r="C11" i="20"/>
  <c r="C10" i="20"/>
  <c r="C9" i="20"/>
  <c r="C19" i="16"/>
  <c r="C18" i="16"/>
  <c r="C17" i="16"/>
  <c r="C16" i="16"/>
  <c r="C15" i="16"/>
  <c r="C14" i="16"/>
  <c r="C13" i="16"/>
  <c r="C12" i="16"/>
  <c r="C11" i="16"/>
  <c r="C10" i="16"/>
  <c r="X3" i="1" l="1"/>
  <c r="R3" i="1" l="1"/>
  <c r="H3" i="1"/>
  <c r="AK3" i="1"/>
</calcChain>
</file>

<file path=xl/sharedStrings.xml><?xml version="1.0" encoding="utf-8"?>
<sst xmlns="http://schemas.openxmlformats.org/spreadsheetml/2006/main" count="1437" uniqueCount="365">
  <si>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</si>
  <si>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</si>
  <si>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</si>
  <si>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</si>
  <si>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</si>
  <si>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</si>
  <si>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</si>
  <si>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</si>
  <si>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</si>
  <si>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</si>
  <si>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</si>
  <si>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</si>
  <si>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</si>
  <si>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</si>
  <si>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</si>
  <si>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画面名</t>
    <rPh sb="0" eb="2">
      <t>ガメン</t>
    </rPh>
    <rPh sb="2" eb="3">
      <t>メイ</t>
    </rPh>
    <phoneticPr fontId="2"/>
  </si>
  <si>
    <t>ボタン</t>
  </si>
  <si>
    <t>変更履歴</t>
    <rPh sb="0" eb="4">
      <t>ヘンコウリレキ</t>
    </rPh>
    <phoneticPr fontId="2"/>
  </si>
  <si>
    <t>1.0.0</t>
    <phoneticPr fontId="2"/>
  </si>
  <si>
    <t>表示名</t>
    <rPh sb="0" eb="3">
      <t>ヒョウジメイ</t>
    </rPh>
    <phoneticPr fontId="2"/>
  </si>
  <si>
    <t>　</t>
  </si>
  <si>
    <t>ボタン項目一覧</t>
    <rPh sb="3" eb="5">
      <t>コウモク</t>
    </rPh>
    <rPh sb="5" eb="7">
      <t>イチラン</t>
    </rPh>
    <phoneticPr fontId="2"/>
  </si>
  <si>
    <t>処理概要</t>
    <rPh sb="0" eb="2">
      <t>ショリ</t>
    </rPh>
    <rPh sb="2" eb="4">
      <t>ガイヨウ</t>
    </rPh>
    <phoneticPr fontId="2"/>
  </si>
  <si>
    <t>備考</t>
    <rPh sb="0" eb="2">
      <t>ビコウ</t>
    </rPh>
    <phoneticPr fontId="2"/>
  </si>
  <si>
    <t>検索の
種類</t>
    <rPh sb="0" eb="2">
      <t>ケンサク</t>
    </rPh>
    <rPh sb="4" eb="6">
      <t>シュルイ</t>
    </rPh>
    <phoneticPr fontId="1"/>
  </si>
  <si>
    <t>モード選択</t>
    <rPh sb="3" eb="5">
      <t>センタク</t>
    </rPh>
    <phoneticPr fontId="1"/>
  </si>
  <si>
    <t>最小</t>
    <rPh sb="0" eb="2">
      <t>サイショウ</t>
    </rPh>
    <phoneticPr fontId="1"/>
  </si>
  <si>
    <t>最大</t>
    <rPh sb="0" eb="2">
      <t>サイダイ</t>
    </rPh>
    <phoneticPr fontId="1"/>
  </si>
  <si>
    <t>ステップ</t>
    <phoneticPr fontId="1"/>
  </si>
  <si>
    <t>年度を使用</t>
    <rPh sb="0" eb="2">
      <t>ネンド</t>
    </rPh>
    <rPh sb="3" eb="5">
      <t>シヨウ</t>
    </rPh>
    <phoneticPr fontId="1"/>
  </si>
  <si>
    <t>半期を使用</t>
    <rPh sb="0" eb="2">
      <t>ハンキ</t>
    </rPh>
    <rPh sb="3" eb="5">
      <t>シヨウ</t>
    </rPh>
    <phoneticPr fontId="2"/>
  </si>
  <si>
    <t>四半期を使用</t>
    <rPh sb="0" eb="3">
      <t>シハンキ</t>
    </rPh>
    <rPh sb="4" eb="6">
      <t>シヨウ</t>
    </rPh>
    <phoneticPr fontId="2"/>
  </si>
  <si>
    <t>月を使用</t>
    <rPh sb="0" eb="1">
      <t>ツキ</t>
    </rPh>
    <rPh sb="2" eb="4">
      <t>シヨウ</t>
    </rPh>
    <phoneticPr fontId="2"/>
  </si>
  <si>
    <t>コントロール種別</t>
    <rPh sb="6" eb="8">
      <t>シュベツ</t>
    </rPh>
    <phoneticPr fontId="1"/>
  </si>
  <si>
    <t>集計種別</t>
    <rPh sb="0" eb="4">
      <t>シュウケイシュベツ</t>
    </rPh>
    <phoneticPr fontId="1"/>
  </si>
  <si>
    <t>カスタムデザインを使用</t>
    <rPh sb="9" eb="11">
      <t>シヨウ</t>
    </rPh>
    <phoneticPr fontId="1"/>
  </si>
  <si>
    <t>一覧の書式</t>
    <rPh sb="0" eb="2">
      <t>イチラン</t>
    </rPh>
    <rPh sb="3" eb="5">
      <t>ショシキ</t>
    </rPh>
    <phoneticPr fontId="1"/>
  </si>
  <si>
    <t>分類</t>
  </si>
  <si>
    <t>左寄せ</t>
  </si>
  <si>
    <t>ノーマル</t>
  </si>
  <si>
    <t>ドロップダウンリスト</t>
  </si>
  <si>
    <t>無し</t>
  </si>
  <si>
    <t>標準</t>
  </si>
  <si>
    <t>四捨五入</t>
  </si>
  <si>
    <t>年月日</t>
  </si>
  <si>
    <t>自動</t>
  </si>
  <si>
    <t>数値</t>
  </si>
  <si>
    <t>右寄せ</t>
  </si>
  <si>
    <t>ワイド</t>
  </si>
  <si>
    <t>〇</t>
    <phoneticPr fontId="2"/>
  </si>
  <si>
    <t>ラジオボタン</t>
  </si>
  <si>
    <t>表示名</t>
  </si>
  <si>
    <t>通貨</t>
  </si>
  <si>
    <t>切り上げ</t>
  </si>
  <si>
    <t>日付と時刻(分)</t>
  </si>
  <si>
    <t>手動</t>
  </si>
  <si>
    <t>日付</t>
  </si>
  <si>
    <t>マークダウン</t>
  </si>
  <si>
    <t>値</t>
  </si>
  <si>
    <t>桁区切り</t>
  </si>
  <si>
    <t>切り捨て</t>
  </si>
  <si>
    <t>日付と時刻(秒)</t>
  </si>
  <si>
    <t>無効</t>
  </si>
  <si>
    <t>説明</t>
  </si>
  <si>
    <t>値と表示名</t>
  </si>
  <si>
    <t>カスタム</t>
  </si>
  <si>
    <t>切り下げ</t>
  </si>
  <si>
    <t>チェック</t>
  </si>
  <si>
    <t>銀行家の丸め</t>
  </si>
  <si>
    <t>添付ファイル</t>
  </si>
  <si>
    <t>部分一致</t>
  </si>
  <si>
    <t>完全一致</t>
  </si>
  <si>
    <t>前方一致</t>
  </si>
  <si>
    <t>既定</t>
    <rPh sb="0" eb="2">
      <t>キテイ</t>
    </rPh>
    <phoneticPr fontId="2"/>
  </si>
  <si>
    <t>範囲指定</t>
    <rPh sb="0" eb="4">
      <t>ハンイシテイ</t>
    </rPh>
    <phoneticPr fontId="2"/>
  </si>
  <si>
    <t>オンのみ</t>
  </si>
  <si>
    <t>オンとオフ</t>
  </si>
  <si>
    <t>件数</t>
  </si>
  <si>
    <t>合計</t>
  </si>
  <si>
    <t>平均</t>
  </si>
  <si>
    <t>年月</t>
  </si>
  <si>
    <t>月日</t>
  </si>
  <si>
    <t>年月日曜</t>
  </si>
  <si>
    <t>日付と曜日と時刻(分)</t>
  </si>
  <si>
    <t>日付と曜日と時刻(秒)</t>
  </si>
  <si>
    <t>No.</t>
    <phoneticPr fontId="2"/>
  </si>
  <si>
    <t>フルテキストの種類</t>
    <rPh sb="7" eb="9">
      <t>シュルイ</t>
    </rPh>
    <phoneticPr fontId="2"/>
  </si>
  <si>
    <t>非表示</t>
    <rPh sb="0" eb="3">
      <t>ヒヒョウジ</t>
    </rPh>
    <phoneticPr fontId="2"/>
  </si>
  <si>
    <t>回り込みしない</t>
    <rPh sb="0" eb="1">
      <t>マワ</t>
    </rPh>
    <rPh sb="2" eb="3">
      <t>コ</t>
    </rPh>
    <phoneticPr fontId="2"/>
  </si>
  <si>
    <t>自動ポストバック</t>
    <rPh sb="0" eb="2">
      <t>ジドウ</t>
    </rPh>
    <phoneticPr fontId="2"/>
  </si>
  <si>
    <t>説明</t>
    <rPh sb="0" eb="2">
      <t>セツメイ</t>
    </rPh>
    <phoneticPr fontId="2"/>
  </si>
  <si>
    <t>全最容量制限(MB)</t>
    <rPh sb="0" eb="1">
      <t>ゼン</t>
    </rPh>
    <rPh sb="1" eb="2">
      <t>サイ</t>
    </rPh>
    <rPh sb="2" eb="4">
      <t>ヨウリョウ</t>
    </rPh>
    <rPh sb="4" eb="6">
      <t>セイゲン</t>
    </rPh>
    <phoneticPr fontId="2"/>
  </si>
  <si>
    <t>最容量制限(MB)</t>
    <rPh sb="0" eb="1">
      <t>サイ</t>
    </rPh>
    <rPh sb="1" eb="3">
      <t>ヨウリョウ</t>
    </rPh>
    <rPh sb="3" eb="5">
      <t>セイゲン</t>
    </rPh>
    <phoneticPr fontId="2"/>
  </si>
  <si>
    <t>ファイル数制限</t>
    <rPh sb="4" eb="5">
      <t>スウ</t>
    </rPh>
    <rPh sb="5" eb="7">
      <t>セイゲン</t>
    </rPh>
    <phoneticPr fontId="2"/>
  </si>
  <si>
    <t>同盟ファイルを上書きする</t>
    <rPh sb="0" eb="2">
      <t>ドウメイ</t>
    </rPh>
    <rPh sb="7" eb="9">
      <t>ウワガ</t>
    </rPh>
    <phoneticPr fontId="2"/>
  </si>
  <si>
    <t>添付ファイルの削除を許可</t>
    <rPh sb="0" eb="2">
      <t>テンプ</t>
    </rPh>
    <rPh sb="7" eb="9">
      <t>サクジョ</t>
    </rPh>
    <rPh sb="10" eb="12">
      <t>キョカ</t>
    </rPh>
    <phoneticPr fontId="2"/>
  </si>
  <si>
    <t>読取専用</t>
    <rPh sb="0" eb="1">
      <t>ヨ</t>
    </rPh>
    <rPh sb="1" eb="2">
      <t>ト</t>
    </rPh>
    <rPh sb="2" eb="4">
      <t>センヨウ</t>
    </rPh>
    <phoneticPr fontId="2"/>
  </si>
  <si>
    <t>入力必須</t>
    <rPh sb="0" eb="4">
      <t>ニュウリョクヒッス</t>
    </rPh>
    <phoneticPr fontId="1"/>
  </si>
  <si>
    <t>配置</t>
    <rPh sb="0" eb="2">
      <t>ハイチ</t>
    </rPh>
    <phoneticPr fontId="1"/>
  </si>
  <si>
    <t>No.</t>
    <phoneticPr fontId="2"/>
  </si>
  <si>
    <t>既定値</t>
    <rPh sb="0" eb="3">
      <t>キテイチ</t>
    </rPh>
    <phoneticPr fontId="2"/>
  </si>
  <si>
    <t>既定値でコピー</t>
    <rPh sb="0" eb="3">
      <t>キテイチ</t>
    </rPh>
    <phoneticPr fontId="2"/>
  </si>
  <si>
    <t>一括更新を許可</t>
    <rPh sb="0" eb="4">
      <t>イッカツコウシン</t>
    </rPh>
    <rPh sb="5" eb="7">
      <t>キョカ</t>
    </rPh>
    <phoneticPr fontId="2"/>
  </si>
  <si>
    <t>スタイル</t>
    <phoneticPr fontId="1"/>
  </si>
  <si>
    <t>No.</t>
    <phoneticPr fontId="2"/>
  </si>
  <si>
    <t>サムネイルサイズ</t>
    <phoneticPr fontId="2"/>
  </si>
  <si>
    <t>画像の登録を許可</t>
    <rPh sb="0" eb="2">
      <t>ガゾウ</t>
    </rPh>
    <rPh sb="3" eb="5">
      <t>トウロク</t>
    </rPh>
    <rPh sb="6" eb="8">
      <t>キョカ</t>
    </rPh>
    <phoneticPr fontId="2"/>
  </si>
  <si>
    <t>インポートのキー</t>
    <phoneticPr fontId="2"/>
  </si>
  <si>
    <t>重複禁止</t>
    <rPh sb="0" eb="4">
      <t>チョウフクキンシ</t>
    </rPh>
    <phoneticPr fontId="2"/>
  </si>
  <si>
    <t>No.</t>
    <phoneticPr fontId="2"/>
  </si>
  <si>
    <t>既定値</t>
    <rPh sb="0" eb="3">
      <t>キテイチ</t>
    </rPh>
    <phoneticPr fontId="1"/>
  </si>
  <si>
    <t>エディタの書式</t>
    <rPh sb="5" eb="7">
      <t>ショシキ</t>
    </rPh>
    <phoneticPr fontId="1"/>
  </si>
  <si>
    <t>最大</t>
    <rPh sb="0" eb="2">
      <t>サイダイ</t>
    </rPh>
    <phoneticPr fontId="2"/>
  </si>
  <si>
    <t>最小</t>
    <rPh sb="0" eb="2">
      <t>サイショウ</t>
    </rPh>
    <phoneticPr fontId="2"/>
  </si>
  <si>
    <t>コントロール種別</t>
    <rPh sb="6" eb="8">
      <t>シュベツ</t>
    </rPh>
    <phoneticPr fontId="2"/>
  </si>
  <si>
    <t>端数処理種類</t>
    <rPh sb="0" eb="6">
      <t>ハスウショリシュルイ</t>
    </rPh>
    <phoneticPr fontId="2"/>
  </si>
  <si>
    <t>書式</t>
    <rPh sb="0" eb="2">
      <t>ショシキ</t>
    </rPh>
    <phoneticPr fontId="2"/>
  </si>
  <si>
    <t>インポートのキー</t>
    <phoneticPr fontId="2"/>
  </si>
  <si>
    <t>スタイル</t>
    <phoneticPr fontId="1"/>
  </si>
  <si>
    <t>アンカー</t>
    <phoneticPr fontId="2"/>
  </si>
  <si>
    <t>選択肢にブランクを挿入しない</t>
    <rPh sb="0" eb="3">
      <t>センタクシ</t>
    </rPh>
    <rPh sb="9" eb="11">
      <t>ソウニュウ</t>
    </rPh>
    <phoneticPr fontId="2"/>
  </si>
  <si>
    <t>複数選択</t>
    <rPh sb="0" eb="4">
      <t>フクスウセンタク</t>
    </rPh>
    <phoneticPr fontId="2"/>
  </si>
  <si>
    <t>検索機能を使う</t>
    <rPh sb="0" eb="4">
      <t>ケンサクキノウ</t>
    </rPh>
    <rPh sb="5" eb="6">
      <t>ツカ</t>
    </rPh>
    <phoneticPr fontId="2"/>
  </si>
  <si>
    <t>選択肢一覧</t>
    <rPh sb="0" eb="5">
      <t>センタクシイチラン</t>
    </rPh>
    <phoneticPr fontId="2"/>
  </si>
  <si>
    <t>No.</t>
    <phoneticPr fontId="2"/>
  </si>
  <si>
    <t>フィルタ要素</t>
    <rPh sb="4" eb="6">
      <t>ヨウソ</t>
    </rPh>
    <phoneticPr fontId="2"/>
  </si>
  <si>
    <t>集計要素</t>
    <rPh sb="0" eb="2">
      <t>シュウケイ</t>
    </rPh>
    <rPh sb="2" eb="4">
      <t>ヨウソ</t>
    </rPh>
    <phoneticPr fontId="2"/>
  </si>
  <si>
    <t>一覧要素</t>
    <rPh sb="0" eb="2">
      <t>イチラン</t>
    </rPh>
    <rPh sb="2" eb="4">
      <t>ヨウソ</t>
    </rPh>
    <phoneticPr fontId="2"/>
  </si>
  <si>
    <t>その他要素</t>
    <rPh sb="2" eb="3">
      <t>タ</t>
    </rPh>
    <rPh sb="3" eb="5">
      <t>ヨウソ</t>
    </rPh>
    <phoneticPr fontId="2"/>
  </si>
  <si>
    <t>編集要素</t>
    <rPh sb="0" eb="2">
      <t>ヘンシュウ</t>
    </rPh>
    <rPh sb="2" eb="4">
      <t>ヨウソ</t>
    </rPh>
    <phoneticPr fontId="2"/>
  </si>
  <si>
    <t>リンク要素</t>
    <rPh sb="3" eb="5">
      <t>ヨウソ</t>
    </rPh>
    <phoneticPr fontId="2"/>
  </si>
  <si>
    <t>一覧要素</t>
    <rPh sb="2" eb="4">
      <t>ヨウソ</t>
    </rPh>
    <phoneticPr fontId="2"/>
  </si>
  <si>
    <t>　</t>
    <phoneticPr fontId="2"/>
  </si>
  <si>
    <t>編集可</t>
  </si>
  <si>
    <t>編集不可</t>
  </si>
  <si>
    <t>共通</t>
  </si>
  <si>
    <t>固有情報</t>
  </si>
  <si>
    <t>テナントID</t>
  </si>
  <si>
    <t>TenantId</t>
  </si>
  <si>
    <t>バージョン</t>
  </si>
  <si>
    <t>Version</t>
  </si>
  <si>
    <t>サーバ名</t>
  </si>
  <si>
    <t>Server</t>
  </si>
  <si>
    <t>作成者</t>
  </si>
  <si>
    <t>CreatorName</t>
  </si>
  <si>
    <t>パッケージタイム</t>
  </si>
  <si>
    <t>PackageTime</t>
  </si>
  <si>
    <t>サイト情報</t>
  </si>
  <si>
    <t>ID</t>
  </si>
  <si>
    <t>サイトID</t>
  </si>
  <si>
    <t>SiteID</t>
  </si>
  <si>
    <t>サイト説明欄</t>
  </si>
  <si>
    <t>内容</t>
  </si>
  <si>
    <t>Body</t>
  </si>
  <si>
    <t>一覧ガイド</t>
  </si>
  <si>
    <t>GridGuide</t>
  </si>
  <si>
    <t>編集ガイド</t>
  </si>
  <si>
    <t>EditorGuide</t>
  </si>
  <si>
    <t>権限</t>
  </si>
  <si>
    <t>サイト</t>
  </si>
  <si>
    <t>IncludeSitePermission</t>
  </si>
  <si>
    <t>行</t>
  </si>
  <si>
    <t>IncludeRecordPermission</t>
  </si>
  <si>
    <t>列</t>
  </si>
  <si>
    <t>IncludeColumnPermission</t>
  </si>
  <si>
    <t>設定</t>
  </si>
  <si>
    <t>公開</t>
  </si>
  <si>
    <t>Publish</t>
  </si>
  <si>
    <t>クロス集計</t>
  </si>
  <si>
    <t>DisableCrossSearch</t>
  </si>
  <si>
    <t>ファイル種別</t>
  </si>
  <si>
    <t>ReferenceType</t>
  </si>
  <si>
    <t>使用者一覧</t>
  </si>
  <si>
    <t>ユーザID</t>
  </si>
  <si>
    <t>UserId</t>
  </si>
  <si>
    <t>ログインID</t>
  </si>
  <si>
    <t>LoginId</t>
  </si>
  <si>
    <t>権限種別</t>
  </si>
  <si>
    <t>PermissionType</t>
  </si>
  <si>
    <t>スタイル一覧</t>
  </si>
  <si>
    <t>タイトル</t>
  </si>
  <si>
    <t>StyleTitle</t>
  </si>
  <si>
    <t>StyleContent</t>
  </si>
  <si>
    <t>スクリプト一覧</t>
  </si>
  <si>
    <t>ScriptTitle</t>
  </si>
  <si>
    <t>ScriptContent</t>
  </si>
  <si>
    <t>採番</t>
  </si>
  <si>
    <t>項目名</t>
  </si>
  <si>
    <t>型</t>
  </si>
  <si>
    <t>フォーマット</t>
  </si>
  <si>
    <t>エディタ</t>
  </si>
  <si>
    <t>リンク</t>
  </si>
  <si>
    <t>フィルタ</t>
  </si>
  <si>
    <t>一覧</t>
  </si>
  <si>
    <t>文字桁</t>
  </si>
  <si>
    <t>小数桁</t>
  </si>
  <si>
    <t>最小値</t>
  </si>
  <si>
    <t>最大値</t>
  </si>
  <si>
    <t>初期値</t>
  </si>
  <si>
    <t>単位</t>
  </si>
  <si>
    <t>必須</t>
  </si>
  <si>
    <t>重複禁止</t>
  </si>
  <si>
    <t>選択肢</t>
  </si>
  <si>
    <t>セルＣＳＳ</t>
  </si>
  <si>
    <t>複数選択可</t>
  </si>
  <si>
    <t>回り込みなし</t>
  </si>
  <si>
    <t>Index</t>
  </si>
  <si>
    <t>Name</t>
  </si>
  <si>
    <t>Type</t>
  </si>
  <si>
    <t>Format</t>
  </si>
  <si>
    <t>Editor</t>
  </si>
  <si>
    <t>Link</t>
  </si>
  <si>
    <t>Filter</t>
  </si>
  <si>
    <t>List</t>
  </si>
  <si>
    <t>Length</t>
  </si>
  <si>
    <t>Decimal</t>
  </si>
  <si>
    <t>Min</t>
  </si>
  <si>
    <t>Max</t>
  </si>
  <si>
    <t>Default</t>
  </si>
  <si>
    <t>Unit</t>
  </si>
  <si>
    <t>Required</t>
  </si>
  <si>
    <t>Duplicate</t>
  </si>
  <si>
    <t>Choise</t>
  </si>
  <si>
    <t>Description</t>
  </si>
  <si>
    <t>Cellcss</t>
  </si>
  <si>
    <t>Multiple</t>
  </si>
  <si>
    <t>Nowrap</t>
  </si>
  <si>
    <t>分類項目</t>
    <rPh sb="0" eb="2">
      <t>ブンルイ</t>
    </rPh>
    <rPh sb="2" eb="4">
      <t>コウモク</t>
    </rPh>
    <phoneticPr fontId="2"/>
  </si>
  <si>
    <t>数値項目</t>
    <rPh sb="0" eb="2">
      <t>スウチ</t>
    </rPh>
    <rPh sb="2" eb="4">
      <t>コウモク</t>
    </rPh>
    <phoneticPr fontId="2"/>
  </si>
  <si>
    <t>日付項目</t>
    <rPh sb="0" eb="2">
      <t>ヒヅケ</t>
    </rPh>
    <rPh sb="2" eb="4">
      <t>コウモク</t>
    </rPh>
    <phoneticPr fontId="2"/>
  </si>
  <si>
    <t>説明項目</t>
    <rPh sb="0" eb="2">
      <t>セツメイ</t>
    </rPh>
    <rPh sb="2" eb="4">
      <t>コウモク</t>
    </rPh>
    <phoneticPr fontId="2"/>
  </si>
  <si>
    <t>チェック項目</t>
    <rPh sb="4" eb="6">
      <t>コウモク</t>
    </rPh>
    <phoneticPr fontId="2"/>
  </si>
  <si>
    <t>添付ファイル項目</t>
    <rPh sb="0" eb="2">
      <t>テンプ</t>
    </rPh>
    <rPh sb="6" eb="8">
      <t>コウモク</t>
    </rPh>
    <phoneticPr fontId="2"/>
  </si>
  <si>
    <t>ID項目</t>
    <rPh sb="2" eb="4">
      <t>コウモク</t>
    </rPh>
    <phoneticPr fontId="2"/>
  </si>
  <si>
    <t>バージョン項目</t>
    <rPh sb="5" eb="7">
      <t>コウモク</t>
    </rPh>
    <phoneticPr fontId="2"/>
  </si>
  <si>
    <t>タイトル項目</t>
    <rPh sb="4" eb="6">
      <t>コウモク</t>
    </rPh>
    <phoneticPr fontId="2"/>
  </si>
  <si>
    <t>内容項目</t>
    <rPh sb="0" eb="2">
      <t>ナイヨウ</t>
    </rPh>
    <rPh sb="2" eb="4">
      <t>コウモク</t>
    </rPh>
    <phoneticPr fontId="2"/>
  </si>
  <si>
    <t>状況項目</t>
    <rPh sb="0" eb="2">
      <t>ジョウキョウ</t>
    </rPh>
    <rPh sb="2" eb="4">
      <t>コウモク</t>
    </rPh>
    <phoneticPr fontId="2"/>
  </si>
  <si>
    <t>管理者項目</t>
    <rPh sb="0" eb="3">
      <t>カンリシャ</t>
    </rPh>
    <rPh sb="3" eb="5">
      <t>コウモク</t>
    </rPh>
    <phoneticPr fontId="2"/>
  </si>
  <si>
    <t>担当者項目</t>
    <rPh sb="0" eb="3">
      <t>タントウシャ</t>
    </rPh>
    <rPh sb="3" eb="5">
      <t>コウモク</t>
    </rPh>
    <phoneticPr fontId="2"/>
  </si>
  <si>
    <t>ロック項目</t>
    <rPh sb="3" eb="5">
      <t>コウモク</t>
    </rPh>
    <phoneticPr fontId="2"/>
  </si>
  <si>
    <t>サイト項目</t>
    <rPh sb="3" eb="5">
      <t>コウモク</t>
    </rPh>
    <phoneticPr fontId="2"/>
  </si>
  <si>
    <t>作成者項目</t>
    <rPh sb="0" eb="3">
      <t>サクセイシャ</t>
    </rPh>
    <rPh sb="3" eb="5">
      <t>コウモク</t>
    </rPh>
    <phoneticPr fontId="2"/>
  </si>
  <si>
    <t>更新者項目</t>
    <rPh sb="0" eb="3">
      <t>コウシンシャ</t>
    </rPh>
    <rPh sb="3" eb="5">
      <t>コウモク</t>
    </rPh>
    <phoneticPr fontId="2"/>
  </si>
  <si>
    <t>作成日時項目</t>
    <rPh sb="0" eb="4">
      <t>サクセイニチジ</t>
    </rPh>
    <rPh sb="4" eb="6">
      <t>コウモク</t>
    </rPh>
    <phoneticPr fontId="2"/>
  </si>
  <si>
    <t>更新日時項目</t>
    <rPh sb="0" eb="2">
      <t>コウシン</t>
    </rPh>
    <rPh sb="2" eb="4">
      <t>ニチジ</t>
    </rPh>
    <rPh sb="4" eb="6">
      <t>コウモク</t>
    </rPh>
    <phoneticPr fontId="2"/>
  </si>
  <si>
    <t>サイトID項目</t>
    <rPh sb="5" eb="7">
      <t>コウモク</t>
    </rPh>
    <phoneticPr fontId="2"/>
  </si>
  <si>
    <t>タイトル/内容項目</t>
    <rPh sb="5" eb="7">
      <t>ナイヨウ</t>
    </rPh>
    <rPh sb="7" eb="9">
      <t>コウモク</t>
    </rPh>
    <phoneticPr fontId="2"/>
  </si>
  <si>
    <t>コメント項目</t>
    <rPh sb="4" eb="6">
      <t>コウモク</t>
    </rPh>
    <phoneticPr fontId="2"/>
  </si>
  <si>
    <t>更新日時項目</t>
    <rPh sb="0" eb="4">
      <t>コウシンニチジ</t>
    </rPh>
    <rPh sb="4" eb="6">
      <t>コウモク</t>
    </rPh>
    <phoneticPr fontId="2"/>
  </si>
  <si>
    <t>目次</t>
    <rPh sb="0" eb="2">
      <t>モクジ</t>
    </rPh>
    <phoneticPr fontId="2"/>
  </si>
  <si>
    <t>No</t>
    <phoneticPr fontId="2"/>
  </si>
  <si>
    <t>シート名</t>
    <rPh sb="3" eb="4">
      <t>メイ</t>
    </rPh>
    <phoneticPr fontId="2"/>
  </si>
  <si>
    <t>リンク</t>
    <phoneticPr fontId="2"/>
  </si>
  <si>
    <t>一覧_画面レイアウト</t>
    <phoneticPr fontId="2"/>
  </si>
  <si>
    <t>一覧_一覧要素</t>
    <phoneticPr fontId="2"/>
  </si>
  <si>
    <t>一覧_集計要素</t>
    <phoneticPr fontId="2"/>
  </si>
  <si>
    <t>詳細_画面レイアウト</t>
    <phoneticPr fontId="2"/>
  </si>
  <si>
    <t>一覧_フィルタ要素</t>
    <phoneticPr fontId="2"/>
  </si>
  <si>
    <t>一覧_その他要素</t>
    <phoneticPr fontId="2"/>
  </si>
  <si>
    <t>詳細_編集要素</t>
    <phoneticPr fontId="2"/>
  </si>
  <si>
    <t>詳細_その他要素</t>
    <phoneticPr fontId="2"/>
  </si>
  <si>
    <t>〇</t>
  </si>
  <si>
    <t>セルCSS</t>
    <phoneticPr fontId="2"/>
  </si>
  <si>
    <t>項目名</t>
    <rPh sb="0" eb="3">
      <t>コウモクメイ</t>
    </rPh>
    <phoneticPr fontId="2"/>
  </si>
  <si>
    <t>フィールドCSS</t>
    <phoneticPr fontId="2"/>
  </si>
  <si>
    <t>コントロールCSS</t>
    <phoneticPr fontId="2"/>
  </si>
  <si>
    <t>最大文字数</t>
    <rPh sb="0" eb="2">
      <t>サイダイ</t>
    </rPh>
    <rPh sb="2" eb="5">
      <t>モジスウ</t>
    </rPh>
    <phoneticPr fontId="2"/>
  </si>
  <si>
    <t>設定</t>
    <rPh sb="0" eb="2">
      <t>セッテイ</t>
    </rPh>
    <phoneticPr fontId="2"/>
  </si>
  <si>
    <t>タイトル</t>
    <phoneticPr fontId="2"/>
  </si>
  <si>
    <t>単位</t>
    <rPh sb="0" eb="2">
      <t>タンイ</t>
    </rPh>
    <phoneticPr fontId="2"/>
  </si>
  <si>
    <t>履歴に存在するファイルは削除しない</t>
    <phoneticPr fontId="2"/>
  </si>
  <si>
    <t>ビュワー切替</t>
    <rPh sb="4" eb="6">
      <t>キリカエ</t>
    </rPh>
    <phoneticPr fontId="1"/>
  </si>
  <si>
    <t>小数点以下桁数</t>
    <rPh sb="0" eb="3">
      <t>ショウスウテン</t>
    </rPh>
    <rPh sb="3" eb="5">
      <t>イカ</t>
    </rPh>
    <rPh sb="5" eb="7">
      <t>ケタスウ</t>
    </rPh>
    <phoneticPr fontId="2"/>
  </si>
  <si>
    <t>NULL許容</t>
    <rPh sb="4" eb="6">
      <t>キョヨウ</t>
    </rPh>
    <phoneticPr fontId="2"/>
  </si>
  <si>
    <t>表示名</t>
    <rPh sb="0" eb="3">
      <t>ヒョウジメイ</t>
    </rPh>
    <phoneticPr fontId="2"/>
  </si>
  <si>
    <t>ID</t>
    <phoneticPr fontId="2"/>
  </si>
  <si>
    <t>全て</t>
  </si>
  <si>
    <t>新規作成</t>
  </si>
  <si>
    <t>編集</t>
  </si>
  <si>
    <t>カレンダー</t>
  </si>
  <si>
    <t>ガントチャート</t>
  </si>
  <si>
    <t>バーンダウンチャート</t>
  </si>
  <si>
    <t>時系列チャート</t>
  </si>
  <si>
    <t>分析チャート</t>
  </si>
  <si>
    <t>カンバン</t>
  </si>
  <si>
    <t>画像ライブラリ</t>
  </si>
  <si>
    <t>HTML</t>
    <phoneticPr fontId="2"/>
  </si>
  <si>
    <t>スクリプト要素</t>
    <phoneticPr fontId="2"/>
  </si>
  <si>
    <t>スタイル要素</t>
    <rPh sb="4" eb="6">
      <t>ヨウソ</t>
    </rPh>
    <phoneticPr fontId="2"/>
  </si>
  <si>
    <t>スクリプト要素</t>
    <rPh sb="5" eb="7">
      <t>ヨウソ</t>
    </rPh>
    <phoneticPr fontId="2"/>
  </si>
  <si>
    <t>確認事項</t>
    <rPh sb="0" eb="4">
      <t>カクニンジコウ</t>
    </rPh>
    <phoneticPr fontId="2"/>
  </si>
  <si>
    <t>No.</t>
  </si>
  <si>
    <t>概要</t>
    <rPh sb="0" eb="2">
      <t>ガイヨウ</t>
    </rPh>
    <phoneticPr fontId="2"/>
  </si>
  <si>
    <t>確認済</t>
    <rPh sb="0" eb="3">
      <t>カクニ</t>
    </rPh>
    <phoneticPr fontId="2"/>
  </si>
  <si>
    <t>仕入先CD</t>
  </si>
  <si>
    <t>仕入先CD</t>
    <rPh sb="0" eb="2">
      <t>シイレ</t>
    </rPh>
    <rPh sb="2" eb="3">
      <t>サキ</t>
    </rPh>
    <phoneticPr fontId="2"/>
  </si>
  <si>
    <t>仕入先名</t>
  </si>
  <si>
    <t>仕入先名</t>
    <rPh sb="0" eb="2">
      <t>シイレ</t>
    </rPh>
    <rPh sb="2" eb="3">
      <t>サキ</t>
    </rPh>
    <rPh sb="3" eb="4">
      <t>メイ</t>
    </rPh>
    <phoneticPr fontId="2"/>
  </si>
  <si>
    <t>得意先CD</t>
  </si>
  <si>
    <t>得意先CD</t>
    <rPh sb="0" eb="3">
      <t>トクイサキ</t>
    </rPh>
    <phoneticPr fontId="2"/>
  </si>
  <si>
    <t>得意先名</t>
  </si>
  <si>
    <t>得意先名</t>
    <rPh sb="0" eb="3">
      <t>トクイサキ</t>
    </rPh>
    <rPh sb="3" eb="4">
      <t>メイ</t>
    </rPh>
    <phoneticPr fontId="2"/>
  </si>
  <si>
    <t>初期登録日</t>
    <rPh sb="0" eb="2">
      <t>ショキ</t>
    </rPh>
    <rPh sb="2" eb="4">
      <t>トウロク</t>
    </rPh>
    <rPh sb="4" eb="5">
      <t>ビ</t>
    </rPh>
    <phoneticPr fontId="2"/>
  </si>
  <si>
    <t>PC区分</t>
  </si>
  <si>
    <t>PC区分</t>
    <rPh sb="2" eb="4">
      <t>クブン</t>
    </rPh>
    <phoneticPr fontId="2"/>
  </si>
  <si>
    <t>製品No</t>
  </si>
  <si>
    <t>製品No</t>
    <rPh sb="0" eb="2">
      <t>セイヒン</t>
    </rPh>
    <phoneticPr fontId="2"/>
  </si>
  <si>
    <t>仕様No</t>
  </si>
  <si>
    <t>仕様No</t>
    <rPh sb="0" eb="2">
      <t>シヨウ</t>
    </rPh>
    <phoneticPr fontId="2"/>
  </si>
  <si>
    <t>名称</t>
  </si>
  <si>
    <t>名称</t>
    <rPh sb="0" eb="2">
      <t>メイショウ</t>
    </rPh>
    <phoneticPr fontId="2"/>
  </si>
  <si>
    <t>サイズ</t>
  </si>
  <si>
    <t>サイズ</t>
    <phoneticPr fontId="2"/>
  </si>
  <si>
    <t>大口売上単価</t>
  </si>
  <si>
    <t>大口売上単価</t>
    <rPh sb="0" eb="2">
      <t>オオグチ</t>
    </rPh>
    <rPh sb="2" eb="4">
      <t>ウリアゲ</t>
    </rPh>
    <rPh sb="4" eb="6">
      <t>タンカ</t>
    </rPh>
    <phoneticPr fontId="2"/>
  </si>
  <si>
    <t>大口仕入単価</t>
  </si>
  <si>
    <t>大口仕入単価</t>
    <rPh sb="0" eb="2">
      <t>オオグチ</t>
    </rPh>
    <rPh sb="2" eb="4">
      <t>シイレ</t>
    </rPh>
    <rPh sb="4" eb="6">
      <t>タンカ</t>
    </rPh>
    <phoneticPr fontId="2"/>
  </si>
  <si>
    <t>小口売上単価</t>
  </si>
  <si>
    <t>小口売上単価</t>
    <rPh sb="0" eb="2">
      <t>コグチ</t>
    </rPh>
    <rPh sb="2" eb="4">
      <t>ウリアゲ</t>
    </rPh>
    <rPh sb="4" eb="6">
      <t>タンカ</t>
    </rPh>
    <phoneticPr fontId="2"/>
  </si>
  <si>
    <t>小口仕入単価</t>
  </si>
  <si>
    <t>小口仕入単価</t>
    <rPh sb="0" eb="2">
      <t>コグチ</t>
    </rPh>
    <rPh sb="2" eb="4">
      <t>シイレ</t>
    </rPh>
    <rPh sb="4" eb="6">
      <t>タンカ</t>
    </rPh>
    <phoneticPr fontId="2"/>
  </si>
  <si>
    <t>丹羽</t>
    <rPh sb="0" eb="2">
      <t>ニワ</t>
    </rPh>
    <phoneticPr fontId="2"/>
  </si>
  <si>
    <t>TM売上仕入単価_得意先CD</t>
    <phoneticPr fontId="2"/>
  </si>
  <si>
    <t>TM売上仕入単価_大口売上単価</t>
    <phoneticPr fontId="2"/>
  </si>
  <si>
    <t>TM売上仕入単価_大口仕入単価</t>
    <phoneticPr fontId="2"/>
  </si>
  <si>
    <t>TM売上仕入単価_仕入先CD</t>
    <phoneticPr fontId="2"/>
  </si>
  <si>
    <t>TM売上仕入単価_小口売上単価</t>
    <phoneticPr fontId="2"/>
  </si>
  <si>
    <t>TM売上仕入単価_小口仕入単価</t>
    <phoneticPr fontId="2"/>
  </si>
  <si>
    <t>TM売上仕入単価_PC区分</t>
    <phoneticPr fontId="2"/>
  </si>
  <si>
    <t>TM売上仕入単価_製品NO</t>
    <phoneticPr fontId="2"/>
  </si>
  <si>
    <t>TM売上仕入単価_仕様NO</t>
    <phoneticPr fontId="2"/>
  </si>
  <si>
    <t>A</t>
  </si>
  <si>
    <t>B</t>
  </si>
  <si>
    <t>C</t>
  </si>
  <si>
    <t>D</t>
  </si>
  <si>
    <t>E</t>
  </si>
  <si>
    <t>F</t>
  </si>
  <si>
    <t>G</t>
  </si>
  <si>
    <t>H</t>
  </si>
  <si>
    <t>I</t>
  </si>
  <si>
    <t>受発注システム</t>
    <phoneticPr fontId="2"/>
  </si>
  <si>
    <t>受発注</t>
    <rPh sb="0" eb="3">
      <t>ジュハッチュウ</t>
    </rPh>
    <phoneticPr fontId="2"/>
  </si>
  <si>
    <t>システム分類</t>
    <phoneticPr fontId="2"/>
  </si>
  <si>
    <t>業務分類</t>
    <phoneticPr fontId="2"/>
  </si>
  <si>
    <t>丹羽</t>
    <rPh sb="0" eb="2">
      <t>ニワ</t>
    </rPh>
    <phoneticPr fontId="2"/>
  </si>
  <si>
    <t>〇</t>
    <phoneticPr fontId="2"/>
  </si>
  <si>
    <t>〇</t>
    <phoneticPr fontId="2"/>
  </si>
  <si>
    <t>　主キー設定</t>
    <phoneticPr fontId="2"/>
  </si>
  <si>
    <t>$(document).on('change', '#Results_ClassA', '#Results_ClassC','#Results_ClassE','#Results_ClassF','#Results_ClassG' function () {
    var A = $('#Results_ClassA').val();
    var C = $('#Results_ClassC').val();
    var E = $('#Results_ClassE').val();
    var F = $('#Results_ClassF').val();
    var G = $('#Results_ClassG').val();
   $p.set($('#Results_Class100'), A + '__' + C + '__' + E + '__' + F + '__' + G);
})</t>
    <phoneticPr fontId="2"/>
  </si>
  <si>
    <t>　sdt_disabled</t>
    <phoneticPr fontId="2"/>
  </si>
  <si>
    <t>// =================================================
// フィールドCSSに'sdt_disabled'クラスが設定されているフィールドを
// disabledにします。
// $p.set()は稼働しますが、手動での操作を制限します。
// -------------------------------------------------
// 引数：disabledにするかreadonlyにするか
// =================================================
function setDisabled(type){
  //該当の入力エリアをdisabled / readonlyにする
  $('.sdt_disabled input').prop(type, true); // 一般的なinput要素
  $('.sdt_disabled input[type="number"]').prop(type, true); // 数値用のinput要素
  $('.sdt_disabled textarea').prop(type, true); // textarea要素
  $('.sdt_disabled select').prop(type, true); // select要素
  // selectはreadonlyが効かないのでoptionをdisabledにする
  // $('.sdt_disabled option').prop('disabled', true);
  // $('.sdt_disabled option:selected').prop('disabled', false);
  //コントロールアイコンを削除する
  $('.sdt_disabled div.field-control div.ui-icon').remove();
}
$p.events.on_editor_load = function () {
  setDisabled('disabled');
}</t>
    <phoneticPr fontId="2"/>
  </si>
  <si>
    <t>00_共通.js</t>
  </si>
  <si>
    <t xml:space="preserve">// ＝＝＝＝＝＝＝＝＝＝＝＝＝＝＝＝＝＝＝＝＝＝＝＝＝＝＝＝＝＝＝＝コード値系＝＝＝＝＝＝＝＝＝＝＝＝＝＝＝＝＝＝＝＝＝＝＝＝＝＝＝＝＝＝＝＝
const SUCCESS_MESSAGE_CODE = {
    // 成功メッセージ
    'SUCCESS_CREATE_FILE': 'ファイルの作成に成功しました',
    'SUCCESS_UPDATE': '更新に成功しました',
    'SUCCESS_DELETE': '削除に成功しました',
    'SUCCESS_UPLOAD': 'アップロードに成功しました',
    'SUCCESS_DOWNLOAD': 'ダウンロードに成功しました',
    'SUCCESS_SAVE': '保存に成功しました',
    'SUCCESS_CHECK': 'チェックが完了しました',
    'NOT_FOUND': '該当データ無し',
}
// ＝＝＝＝＝＝＝＝＝＝＝＝＝＝＝＝＝＝＝＝＝＝＝＝＝＝＝＝＝＝＝＝判定系＝＝＝＝＝＝＝＝＝＝＝＝＝＝＝＝＝＝＝＝＝＝＝＝＝＝＝＝＝＝＝＝
/**
 * Null判定する関数です。
 * @param {object} obj オブジェクト
 * @returns {boolean} 判定結果
 * @throws {Error} 処理中に発生したエラー
 */
function commonIsNull(obj) {
    if (Array.isArray(obj)) {
        return obj.filter(v =&gt; String(v).trim() !== '').length == 0;
    } else if (typeof obj === 'object') {
        return !obj || Object.keys(obj).length === 0 &amp;&amp; obj.constructor === Object;
    } else {
        return !obj &amp;&amp; obj !== 0 || String(obj).trim() == '';
    }
}
/**
 * ステータスをチェックする関数です。
 * @param {Array|string} applyStatuses 適用するステータス
 * @returns {boolean} チェック結果
 * @throws {Error} 処理中に発生したエラー
 */
function commonCheckStatus(applyStatuses = "all") {
    if ($p.action() !== "edit" &amp;&amp; $p.action() !== "new") {
        let message = "編集画面で使用を想定"
        alert(message)
        throw new Error(message)
    }
    let allFlg = false;
    if (!Array.isArray(applyStatuses)) {
        if (applyStatuses === "all") {
            allFlg = true;
        } else {
            applyStatuses = [applyStatuses];
        }
    }
    return allFlg || applyStatuses.map(v =&gt; +v).includes(+commonGetValue("Status", false));
}
// ＝＝＝＝＝＝＝＝＝＝＝＝＝＝＝＝＝＝＝＝＝＝＝＝＝＝＝＝＝＝＝＝値取得&amp;値設定系＝＝＝＝＝＝＝＝＝＝＝＝＝＝＝＝＝＝＝＝＝＝＝＝＝＝＝＝＝＝＝
/**
 * 日付を出力する関数です。
 *
 * yyyy引数なしで現在日付
 * 月末はddに0を入力
 *
 * @param {Number} yyyy   年(またはDateオブジェクト)
 * @param {Number} mm     月
 * @param {Number} dd     日
 * @param {String} format フォーマット
 *
 * @return {String} フォーマット加工された日付文字列
 *
 * 例1. yyyy = 2022, mm = 4, dd = 18, format = 'YYYY-MM-DD'
 *            ⇓
 *     '2022-04-18'
 * 例2. yyyy = 2021, mm = 13, dd = 10, format = 'YYYY-MM-DD'
 *            ⇓
 *     '2022-01-10'
 * 例3. yyyy = 2021, mm = 11, dd = 0, format = 'YYYY-MM-DD'
 *            ⇓
 *     '2022-10-31'
 * 例4. yyyy = 2020
 *            ⇓
 *     '2020-01-01T00:00:00'
 * 例5. 引数なし
 *            ⇓
 *     現在日付の'YYYY-MM-DD'
 * 例6. yyyy = "", mm = "", dd = "", format = 'YYYYMM'
 *            ⇓
 *     現在日付の'YYYYMM'
 */
function commonGetDate(yyyy, mm = 1, dd = 1, format = 'YYYY-MM-DD') {
    let date
    if (typeof yyyy === 'undefined' || commonIsNull(yyyy)) {
        date = new Date()
    } else if (typeof yyyy === 'object') {
        date = yyyy
    } else {
        date = new Date(yyyy, mm - 1, dd)
    }
    return format
        .replace(/YYYY/, String(date.getFullYear()).padStart(4, "0"))
        .replace(/MM/, String(date.getMonth() + 1).padStart(2, "0"))
        .replace(/DD/, String(date.getDate()).padStart(2, "0"))
        .replace(/hh/, String(date.getHours()).padStart(2, "0"))
        .replace(/mm/, String(date.getMinutes()).padStart(2, "0"))
        .replace(/ss/, String(date.getSeconds()).padStart(2, "0"))
}
/**
 * 入力されたラベルに一致する項目の選択した値を返却する。
 * @param {String} label ラベル
 * @param {Boolean} valueFlg true : value値 false : display値
 * @returns {*} 選択された値または表示テキスト
 * @throws {Error} 処理中に発生したエラー
 */
function commonGetValue(label, valueFlg = true) {
    if ($p.action() !== "edit" &amp;&amp; $p.action() !== "new") {
        let message = "編集画面で使用を想定"
        alert(message)
        throw new Error(message)
    }
    const control = $p.getControl($p.getColumnName(label));
    const tagName = control.prop("tagName");
    let value;
    switch (tagName) {
        case "SELECT":
            value = commonHandleSelect(control, valueFlg);
            break;
        case "INPUT":
            value = commonHandleInput(control, label, valueFlg);
            break;
        case "TEXTAREA":
            value = document.getElementById(commonGetId(label) + ".viewer").innerText;
            break;
        default:
            value = commonHandleDefault(control, valueFlg);
    }
    return commonParseIfJson(value);
}
/**
 * 入力されたラベルに一致する項目の選択した値を入力する。
 * @param {String} label ラベル
 * @param {object} value 値
 */
function commonSetValue(label, value) {
    if ($p.action() !== "edit" &amp;&amp; $p.action() !== "new") {
        let message = "編集画面で使用を想定"
        alert(message)
        throw new Error(message)
    }
    // 値が変更されている場合
    if (commonGetValue(label, true) != value) {
        if ($p.getColumnName(label).startsWith("Check")) {
            // changeイベントを動かす
            $p.getControl(label).click()
        } else {
            value = (value == commonGetDateEmpty()) ? "" : value
            $p.set($p.getControl(label), value)
        }
    }
}
/**
 * 入力されたラベルのIDを返却する。
 * @param {String} label ラベル
 * @param {Boolean} [prefix=true] プレフィックス（テーブル名）を付けるかどうか
 * @param {Boolean} [suffix=false] サフィックス（'Field'）を付けるかどうか
 * @returns {String} 生成されたID
 * @throws {Error} ラベルが不正な場合やその他のエラー
 */
function commonGetId(label, prefix = true, suffix = false) {
    if ($p.action() !== "edit" &amp;&amp; $p.action() !== "new") {
        let message = "編集画面で使用を想定"
        alert(message)
        throw new Error(message)
    }
    let id = $p.getColumnName(label);
    if (commonIsNull(id)) {
        let message = `commonGetId ：ラベル不正。${label}`
        alert(message)
        throw new Error(message)
    }
    id = prefix ? `${$p.tableName()}_${id}` : id;
    id = suffix ? `${id}Field` : id;
    return id;
}
/**
 * SELECT要素の値を処理する。
 * @param {jQuery} control jQuery対象のSELECT要素
 * @param {Boolean} valueFlg true : value値 false : display値
 * @returns {*} 選択された値または表示テキスト
 * @throws {Error} 処理中に発生したエラー
 */
function commonHandleSelect(control, valueFlg) {
    if (control.attr("multiple")) {
        return valueFlg ? control.val() : control.next().children().last().text();
    }
    const selectedOption = control.children(':selected');
    return valueFlg ? selectedOption.val() : selectedOption.text();
}
/**
 * INPUT要素の値を処理する。
 * @param {jQuery} control jQuery対象のINPUT要素
 * @param {String} label ラベル
 * @param {Boolean} valueFlg true : value値 false : display値
 * @returns {*} 入力された値または表示テキスト
 * @throws {Error} 処理中に発生したエラー
 */
function commonHandleInput(control, label, valueFlg) {
    const inputId = commonGetId(label);
    if (inputId.indexOf("Check") &gt; 0) {
        const checked = document.getElementById(inputId).checked;
        return valueFlg ? +checked : checked;
    }
    let value = valueFlg ? control.attr('data-value') : control[0].innerHTML;
    return commonIsNull(value) ? control.val() : value;
}
/**
 * デフォルトの要素処理を行う。
 * @param {jQuery} control jQuery対象の要素
 * @param {Boolean} valueFlg true : value値 false : display値
 * @returns {*} 要素の値または表示テキスト
 * @throws {Error} 処理中に発生したエラー
 */
function commonHandleDefault(control, valueFlg) {
    let value = valueFlg ? (control.attr('data-value') ?? control[0].innerHTML) : control[0].innerHTML;
    return commonIsNull(value) ? control.val() : value;
}
/**
 * 空日付を出力する関数です。
 *
 * @return {String} 空日付
 */
function commonGetDateEmpty() {
    return '1899-12-30T00:00:00'
}
// ＝＝＝＝＝＝＝＝＝＝＝＝＝＝＝＝＝＝＝＝＝＝＝＝＝＝＝＝＝＝＝＝値変換系＝＝＝＝＝＝＝＝＝＝＝＝＝＝＝＝＝＝＝＝＝＝＝＝＝＝＝＝＝＝＝
/**
 * 値がJSON文字列の場合はパースし、そうでない場合は元の値を返す。
 * @param {*} value パース対象の値
 * @returns {*} パースされた値または元の値
 */
function commonParseIfJson(value) {
    if (typeof value !== 'string') return value;
    try {
        return JSON.parse(value);
    } catch (err) {
        return value;
    }
}
/**
 * file を Base64 文字列に変換する。
 * @param {ArrayBuffer} file 変換する file
 * @returns {string} Base64 エンコードされた文字列
 */
async function commonToBase64(file) {
    return new Promise((resolve, reject) =&gt; {
        const reader = new FileReader();
        reader.onload = () =&gt; {
            const base64String = reader.result.split(",")[1];
            resolve(base64String);
        };
        reader.onerror = (err) =&gt; reject(err);
        reader.readAsDataURL(file);
    });
}
/**
   * 引数の2次元配列をUTF-8のCSVに変換する関数です。
   * @param {Array} array 2次元配列
   *
   * @return {String} csvData
   * 例. [
   *      ['数量', '単価', '合計'],
   *      ['1', '2', '2'],
   *      ['4', '5', '20'],
   *      ['7', '8', '56'],
   *     ]
   *            ⇓
   * 'data:text/csvcharset=utf-8,"数量","単価","合計"\r\n"1","2","2"\r\n"4","5","20"\r\n"7","8","56"\r\n'
   */
function commonConvert2DToCsv(d2array) {
    // csvDataに出力方法を追加
    let csvOutput = 'data:text/csvcharset=utf-8,'
    let csvData = csvOutput
    d2array.forEach(v =&gt; {
        const row = '"' + v.join('","') + '"'
        csvData += row + '\r\n'
    })
    return csvData
}
/**
   * 引数の2次元配列をUTF-8のCSVに変換する関数です。
   * @param {String} csvData
   *
   * @return {Array} array 2次元配列
   * 例. 'data:text/csvcharset=utf-8,"数量","単価","合計"\r\n"1","2","2"\r\n"4","5","20"\r\n"7","8","56"\r\n'
   *            ⇓
   *     [
   *      ['数量', '単価', '合計'],
   *      ['1', '2', '2'],
   *      ['4', '5', '20'],
   *      ['7', '8', '56'],
   *     ]
   */
function commonConvertCsvTo2D(csvData) {
    // 行の分割
    let rows = csvData.split(/\r?\n/);
    // 空行の除去
    let filteredRows = rows.filter(row =&gt; row.trim() !== '');
    // 各行を処理
    let processedData = filteredRows.map(row =&gt; {
        // カラムに分割
        let columns = row.split(',');
        // 各値ごとに型変換処理
        return columns.map(value =&gt; {
            let trimmed = value.trim();
            let num = Number(trimmed);
            if (!isNaN(num) &amp;&amp; trimmed !== '') {
                return num;
            }
            return trimmed;
        });
    });
    return processedData;
}
// ＝＝＝＝＝＝＝＝＝＝＝＝＝＝＝＝＝＝＝＝＝＝＝＝＝＝＝＝＝＝＝＝要素追加&amp;要素編集系＝＝＝＝＝＝＝＝＝＝＝＝＝＝＝＝＝＝＝＝＝＝＝＝＝＝＝＝＝＝＝
/**
 * 指定された文言と完全に一致する最初のリンクを検索し、href属性を'#'に変更して、クリック時にカスタム関数を実行する関数
 * @param {string} searchText - リンクを検索するための文言（完全一致）
 * @param {function} customClickHandler - クリック時に実行されるカスタム関数
 * @returns {boolean} - リンクが見つかって修正されたかどうか
 * @throws {Error} 処理中に発生したエラー
 */
function commonModifyLink(searchText, customClickHandler) {
    const link = Array.from(document.getElementsByTagName('a')).find(a =&gt;
        a.textContent.trim() === searchText.trim()
    );
    if (link) {
        const dataValue = link.closest('[data-value]')?.getAttribute('data-value');
        link.setAttribute('href', '#');
        link.style.color = 'black';
        link.style.textDecoration = 'none';
        link.onclick = function (event) {
            event.preventDefault();
            customClickHandler(dataValue, link.textContent);
            return false;
        };
        return true;
    } else {
        console.warn(`"${searchText}" と完全に一致するリンクが見つかりませんでした。`);
        return false;
    }
}
/**
 * メインコマンドエリアにボタンを追加する関数です。
 * @param {String} buttonId     ボタンID
 * @param {String} buttonLabel  ラベル
 * @param {Function} clickFunc  click時関数
 * @param {String} icon         アイコン（empty指定でアイコンなし）
 * @throws {Error}              処理中に発生したエラー
 */
function commonAddButtonToMainCommands(buttonId, buttonLabel, clickFunc, icon = "ui-icon-disk") {
    const target = document.getElementById("MainCommands");
    const elem = document.createElement('button');
    elem.id = buttonId;
    elem.className = 'button button-icon ui-button ui-corner-all ui-widget applied customized';
    elem.onclick = clickFunc;
    elem.innerText = buttonLabel;
    if (icon !== "empty") {
        const span = document.createElement('span');
        span.className = `ui-button-icon ui-icon ${icon}`;
        elem.appendChild(span);
    }
    const space = document.createElement('span');
    space.className = "ui-button-icon-space";
    elem.appendChild(space);
    target.appendChild(elem);
}
/**
 * 指定項目横にボタンを追加する関数です。
 * @param {String} buttonId     ボタンID
 * @param {String} buttonLabel  ラベル
 * @param {Function} clickFunc  click時関数
 * @param {String} icon         アイコン（empty指定でアイコンなし）
 * @param {Array} applys        適用するステータス
 * @throws {Error}              処理中に発生したエラー
 */
function commonAddButtonToNextField(ItemLabel, buttonId, buttonLabel, clickFunc, icon = "ui-icon-disk", applys = "all") {
    if (!commonCheckStatus(applys)) return;
    // 対象のフィールドを取得
    const targetField = document.getElementById(commonGetId(ItemLabel));
    if (!targetField) {
        let message = `commonAddButtonToNextField :対象項目が見つかりません。${ItemLabel}`
        alert(message)
        throw new Error(message)
    }
    // container-normal クラスを持つ親要素を見つける
    const containerElement = targetField.closest('.container-normal');
    if (!containerElement) {
        let message = `commonAddButtonToNextField :container-normalクラスを持つ親要素が見つかりません。`
        alert(message)
        throw new Error(message)
    }
    // 新しいボタン要素を作成
    const elem = document.createElement('button');
    elem.id = buttonId;
    elem.className = 'button button-icon ui-button ui-corner-all ui-widget applied customized';
    elem.onclick = clickFunc;
    if (icon !== "empty") {
        const span = document.createElement('span');
        span.className = `ui-button-icon ui-icon ${icon}`;
        elem.insertBefore(span, elem.firstChild);
    }
    const space = document.createElement('span');
    space.className = "ui-button-icon-space";
    elem.appendChild(space);
    const textNode = document.createTextNode(buttonLabel);
    elem.appendChild(textNode);
    // ボタンをcontainer-normal要素内に挿入
    containerElement.appendChild(elem);
    // レイアウトとスタイルを調整
    containerElement.style.display = 'flex';
    containerElement.style.alignItems = 'center';
    containerElement.style.flexWrap = 'nowrap';
    targetField.style.flexGrow = '1';
    targetField.style.flexShrink = '1';
    targetField.style.flexBasis = 'auto';
    targetField.style.minWidth = '0';
    elem.style.flexGrow = '0';
    elem.style.flexShrink = '0';
    elem.style.flexBasis = 'auto';
    elem.style.marginLeft = '10px';
    elem.style.whiteSpace = 'nowrap';
}
// ＝＝＝＝＝＝＝＝＝＝＝＝＝＝＝＝＝＝＝＝＝＝＝＝＝＝＝＝＝＝＝＝API系＝＝＝＝＝＝＝＝＝＝＝＝＝＝＝＝＝＝＝＝＝＝＝＝＝＝＝＝＝＝＝
let API_VERSION = "1.0"
/**
 * 取得APIを呼び出す関数です。
 *
 * @param {Number}    id テーブルID
 * @param {Array}     columns 取得列
 * @param {Object}    filterHash フィルター条件
 * @param {Object}    sorterHash ソート条件
 * @param {Object}    filterSearchTypes 検索条件
 * @param {Boolean}   keyFlg true : 表示名 false : カラム名
 * @param {Boolean}   valueFlg true : value値 false : display値
 * @param {Function}  addFunc 最後に実行したい関数
 */
async function commonGetData(id = $p.siteId(), columns = ["ClassA", "NumA"], filterHash = {}, sorterHash = { "ResultId": "asc" }, filterSearchTypes = {}, keyFlg = true, valueFlg = true, addFunc) {
    let offset = 0
    let data = []
    let temp = {}
    do {
        temp = await commonGetInnner(id, columns, filterHash, sorterHash, filterSearchTypes, keyFlg, valueFlg, offset, addFunc)
        data = [...data, ...temp.Response.Data]
        offset += temp.Response.PageSize
    } while (offset &lt; temp.Response.TotalCount)
    return data
    /**
     * 取得APIを呼び出す関数内関数です。(TotalCount 200)
     *
     * @param {Number}    id テーブルID
     * @param {Array}     columns 取得列
     * @param {Object}    filterHash フィルター条件
     * @param {Object}    sorterHash ソート条件
     * @param {Object}    filterSearchTypes 検索条件
     * @param {Boolean}   keyFlg true : 表示名 false : カラム名
     * @param {Boolean}   valueFlg true : value値 false : display値
     * @param {Number}    offset オフセット条件
     * @param {Function}  addFunc 最後に実行したい関数
     */
    async function commonGetInnner(id, columns, filterHash, sorterHash, filterSearchTypes, keyFlg, valueFlg, offset, addFunc) {
        let payload = {
            'id': id,
            'data': {
                'Offset': offset,
                'View': {
                    'ApiDataType': "KeyValues",
                    'ApiColumnKeyDisplayType': keyFlg ? 'LabelText' : 'ColumnName',
                    'ApiColumnValueDisplayType': valueFlg ? "Value" : "DisplayValue",
                    "ColumnFilterHash": filterHash,
                    "ColumnSorterHash": sorterHash,
                    "ColumnFilterSearchTypes": filterSearchTypes,
                }
            },
            'done': function (data) {
                if (addFunc &amp;&amp; typeof addFunc === 'function') {
                    // 渡されたオブジェクトが関数なら実行する
                    addFunc(data)
                }
                return data.Response.Data
            }
        }
        if (!Array.isArray(columns)) {
            columns = [columns]
        }
        if (columns.length &gt; 0) {
            payload['data']['View']['GridColumns'] = columns
        }
        return await $p.apiGet(payload)
    }
}
/**
 * エクスポートAPIを呼び出す関数です。
 *
 * @param {String}    tableId 取得テーブルID
 * @param {Array}     columns 取得列
 * @param {Object}    filterHash フィルター条件
 * @param {Object}    sorterHash ソート条件
 * @param {Object}    filterSearchTypes 検索条件
 * @param {Boolean}   jsonFlg trueならjson　falseならcsvで取得
 * @param {Boolean}   headerFlg trueならheaderも取得
 * @param {Boolean}   overFlg trueなら超過分のみ取得
 * @param {Function}  addFunc 最後に実行したい関数
 */
async function commonExportData(tableId = $p.siteId(), columns = ["ClassA", "NumA"], filterHash = {}, sorterHash = { "ResultId": "asc" }, filterSearchTypes = {}, jsonFlg = true, headerFlg = true, overFlg = false, addFunc) {
    if (!Array.isArray(columns)) {
        columns = [columns]
    }
    columns.unshift("ResultId")
    let data = await commonExportInner(tableId, columns, filterHash, sorterHash, filterSearchTypes, jsonFlg, headerFlg, overFlg, addFunc)
    if (jsonFlg) {
        // json整形
        data = JSON.parse(data.Response.Content)
    } else {
        // csv整形
        data = commonConvertCsvTo2D(data.Response.Content)
    }
    return data
    /**
     * エクスポートAPIを呼び出す関数内関数です。
     *
     * @param {String}    tableId 取得テーブルID
     * @param {Array}     columns 取得列
     * @param {Object}    filterHash フィルター条件
     * @param {Object}    sorterHash ソート条件
     * @param {Object}    filterSearchTypes 検索条件
     * @param {Boolean}   jsonFlg trueならjson　falseならcsvで取得
     * @param {Boolean}   headerFlg trueならheaderも取得
     * @param {Boolean}   overFlg trueなら超過分のみ取得
     * @param {Function}  addFunc 最後に実行したい関数
     */
    async function commonExportInner(tableId, columns, filterHash, sorterHash, filterSearchTypes, jsonFlg, headerFlg, overFlg, addFunc) {
        let col = []
        columns.forEach(v =&gt; col.push({ "ColumnName": v }))
        let data = JSON.stringify({
            "ApiVersion": API_VERSION,
            "Export": {
                "Columns": col,
                "Header": headerFlg,
                "Type": jsonFlg ? "json" : "csv"
            },
            "View": {
                "Overdue": overFlg,
                "ColumnFilterHash": filterHash,
                "ColumnSorterHash": sorterHash,
                "ColumnFilterSearchTypes": filterSearchTypes,
            }
        })
        return new Promise((resolve, reject) =&gt; {
            $.ajax({
                type: "POST",
                url: `/api/items/${tableId}/export`,
                contentType: 'application/json',
                data: data
            }).then(
                function (result) {
                    if (addFunc &amp;&amp; typeof addFunc === 'function') {
                        // 渡されたオブジェクトが関数なら実行する
                        addFunc(data)
                    }
                    // 正常終了
                    resolve(result)
                },
                function () {
                    // エラー
                    reject()
                }
            )
        })
    }
}
/**
 * 登録APIを呼び出す関数です。
 *
 * @param {String}    tableId 登録テーブルID
 * @param {Object}    Hash 更新項目
 * @param {String}    Status 登録ステータス
 * @param {String}    Comments 登録コメント
 * @param {Function}  addFunc 最後に実行したい関数
 */
async function commonCreate(tableId, Hash = {}, Status, Comments, addFunc) {
    // 登録項目
    let ClassHash = {}
    let NumHash = {}
    let DateHash = {}
    let DescriptionHash = {}
    let CheckHash = {}
    for (let key in Hash) {
        if (key.includes("Class")) ClassHash[key] = Hash[key]
        else if (key.includes("Num")) NumHash[key] = commonConvertCTo1(Hash[key])
        else if (key.includes("Date")) DateHash[key] = commonIsNull(Hash[key]) ? commonGetDateEmpty() : Hash[key]
        else if (key.includes("Description")) DescriptionHash[key] = Hash[key]
        else if (key.includes("Check")) CheckHash[key] = Hash[key]
    }
    let data = JSON.stringify({
        "ApiVersion": API_VERSION,
        Status,
        Comments,
        ClassHash,
        NumHash,
        DateHash,
        DescriptionHash,
        CheckHash
    })
    if (!commonIsNull(Status)) {
        delete data["Status"]
    }
    if (!commonIsNull(Comments)) {
        delete data["Comments"]
    }
    return new Promise((resolve, reject) =&gt; {
        $.ajax({
            type: "POST",
            url: `/api/items/${tableId}/create`,
            contentType: 'application/json',
            data: data
        }).then(
            function (result) {
                if (addFunc &amp;&amp; typeof addFunc === 'function') {
                    // 渡されたオブジェクトが関数なら実行する
                    addFunc(data)
                }
                // 正常終了
                resolve(result)
            },
            function () {
                // エラー
                reject()
            }
        )
    })
}
/**
 * 更新APIを呼び出す関数です。
 *
 * @param {String}    recordId 更新レコードID
 * @param {Object}    Hash 更新項目
 * @param {String}    Status 更新ステータス
 * @param {String}    Comments 更新コメント
 * @param {Function}  addFunc 最後に実行したい関数
 */
async function commonUpdate(recordId, Hash = {}, Status, Comments, addFunc) {
    // 更新項目
    let ClassHash = {}
    let NumHash = {}
    let DateHash = {}
    let DescriptionHash = {}
    let CheckHash = {}
    for (let key in Hash) {
        if (key.includes("Class")) ClassHash[key] = Hash[key]
        else if (key.includes("Num")) NumHash[key] = commonConvertCTo1(Hash[key])
        else if (key.includes("Date")) DateHash[key] = commonIsNull(Hash[key]) ? commonGetDateEmpty() : Hash[key]
        else if (key.includes("Description")) DescriptionHash[key] = Hash[key]
        else if (key.includes("Check")) CheckHash[key] = Hash[key]
    }
    let data = JSON.stringify({
        "ApiVersion": API_VERSION,
        Status,
        Comments,
        ClassHash,
        NumHash,
        DateHash,
        DescriptionHash,
        CheckHash
    })
    if (!commonIsNull(Status)) {
        delete data["Status"]
    }
    if (!commonIsNull(Comments)) {
        delete data["Comments"]
    }
    return new Promise((resolve, reject) =&gt; {
        $.ajax({
            type: "POST",
            url: `/api/items/${recordId}/update`,
            contentType: 'application/json',
            data: data
        }).then(
            function (result) {
                if (addFunc &amp;&amp; typeof addFunc === 'function') {
                    // 渡されたオブジェクトが関数なら実行する
                    addFunc(data)
                }
                // 正常終了
                resolve(result)
            },
            function () {
                // エラー
                reject()
            }
        )
    })
}
/**
 * ユーザー取得APIを呼び出す関数です。
 *
 * @param {Array}     userIds 取得UserId
 * @param {Function}  addFunc 最後に実行したい関数
 */
async function commonExportUser(userIds, addFunc) {
    let users = []
    if (Array.isArray(userIds)) {
        users = userIds
    } else {
        users = [userIds]
    }
    let data = JSON.stringify({
        "ApiVersion": API_VERSION,
        "View": {
            "ColumnFilterHash": {
                "UserId": JSON.stringify(users)
            }
        }
    })
    return new Promise((resolve, reject) =&gt; {
        $.ajax({
            type: "POST",
            url: "/api/users/get",
            contentType: 'application/json',
            data: data
        }).then(
            function (result) {
                if (addFunc &amp;&amp; typeof addFunc === 'function') {
                    // 渡されたオブジェクトが関数なら実行する
                    addFunc(data)
                }
                // 正常終了
                resolve(result)
            },
            function () {
                // エラー
                reject()
            }
        )
    })
}
/**
 * グループ取得APIを呼び出す関数です。
 *
 * @param {Array}     groupIds 取得GroupId
 * @param {Function}  addFunc 最後に実行したい関数
 */
async function commonExportGroup(groupIds, addFunc) {
    let groups = []
    if (Array.isArray(groupIds)) {
        groups = groupIds
    } else {
        groups = [groupIds]
    }
    let data = JSON.stringify({
        "ApiVersion": API_VERSION,
        "View": {
            "ColumnFilterHash": {
                "GroupId": JSON.stringify(groups)
            }
        }
    })
    return new Promise((resolve, reject) =&gt; {
        $.ajax({
            type: "POST",
            url: "/api/groups/get",
            contentType: 'application/json',
            data: data
        }).then(
            function (result) {
                if (addFunc &amp;&amp; typeof addFunc === 'function') {
                    // 渡されたオブジェクトが関数なら実行する
                    addFunc(data)
                }
                // 正常終了
                resolve(result)
            },
            function () {
                // エラー
                reject()
            }
        )
    })
}
/**
 * 添付項目にExcelを添付し更新する共通関数です。
 *
 * @param {string} targetID 更新対象のアイテムID
 * @param {string} className 添付ファイルのクラス名
 * @param {Object} excel Excelワークブックオブジェクト
 * @param {string} filename 添付ファイルの名前
 */
async function commonUpdateExcel(targetID, className, workbook, filename) {
    const fileBuffer = await workbook.xlsx.writeBuffer()
    const base64 = commonToBase64(fileBuffer)
    let url = `/api/items/${targetID}/update`
    let method_name = "POST"
    let data = {
        "ApiVersion": API_VERSION,
        "AttachmentsHash": {
            [className]: [
                {
                    "ContentType": "application/vnd.openxmlformats-officedocument.spreadsheetml.sheet",
                    "Name": filename,
                    "Base64": base64
                }
            ]
        }
    }
    await $.ajax({
        type: method_name,
        url: url,
        data: JSON.stringify(data),
        contentType: 'application/json',
        dataType: 'json',
        scriptCharset: 'utf-8',
        success: function (data) {
            // Success
            console.log("success")
            console.log(JSON.stringify(data))
        },
        error: function (data) {
            // Error
            console.log("error")
            console.log(JSON.stringify(data))
        }
    })
}
</t>
    <phoneticPr fontId="2"/>
  </si>
  <si>
    <t>01_ローカル向け共通変数.js</t>
  </si>
  <si>
    <t xml:space="preserve">// Pleasanter用URL
const HOME_URL     = "http://192.168.10.54"
//　API用URL
const BASE_URL     = "http://localhost:8000"
const RENDER_FORM_URL  = `${BASE_URL}/render-form`;
const STORED_PROCEDURE_URL = `${BASE_URL}/execute-stored-procedure`;
const SQL_URL     = `${BASE_URL}/execute-sql`;
const SERVICE_URL    = `${BASE_URL}/execute-service`;
// マスターデータの定義
const MASTER_TABLES = {
 '物件入力': 1921406,
 'ヤオコー製品交換マスタ': 1841975,
 '三研実績入力': 1841976,
 '仕入先マスタ': 1841977,
 '会社マスタ': 1841978,
 '担当者マスタ': 1841979,
 '科目マスタ': 1841980,
 '税率マスタ': 1841981,
 '請求金額マスタ': 1841982,
 '配送先マスタ': 1841983,
 'ウエルシア物件内容マスタ': 1841984,
 '売上仕入単価マスタ': 1841985,
 '売掛金額マスタ': 1841986,
 '得意先マスタ': 1841987,
 '支払金額マスタ': 1841988,
 '棚番マスタ': 1841989,
 '納入先マスタ': 1841990,
 '補助科目マスタ': 1841991,
 '郵便番号マスタ': 1480503,
 '製品マスタ': 1841992,
 '買掛金額マスタ': 1841993,
 '工事担当マスタ': 1841994,
 '業種按分マスタ': 1841995,
 '三和サービス実績入力': 1841996,
 'ウエルシア物件区分マスタ': 1841997,
 '権限設定': 2191995,
};
// 値からキーを取得する関数
const getTableName = (value) =&gt; {
 return Object.entries(MASTER_TABLES).find(([_, val]) =&gt; val === value)?.[0] || null;
};
</t>
    <phoneticPr fontId="2"/>
  </si>
  <si>
    <t>20_ダイアログテンプレート.js</t>
  </si>
  <si>
    <t>image
新規作成
管理
ヘルプ
Administrator
検索
トップ&gt;フォルダ&gt;マスタ&gt;売上仕入単価マスタ&gt;
売上仕入単価マスタ - 管理
作成日時Administrator2024/10/31 木 16:30:393 ヶ月前更新日時Administrator2025/01/29 水 19:50:0921 時間前
コメント
全般ガイドサイト画像一覧フィルタ集計エディタリンク履歴移動サマリ計算式プロセス状況による制御ビュー通知リマインダーインポートエクスポートカレンダークロス集計時系列チャート分析チャートカンバン画像ライブラリ検索メールサイト統合スタイルスクリプトHTMLサーバスクリプトサイトのアクセス制御レコードのアクセス制御項目のアクセス制御変更履歴の一覧
 ID タイトル 無効 全て 新規作成 編集 一覧 カレンダー クロス集計 ガントチャート バーンダウンチャート 時系列チャート 分析チャート カンバン 画像ライブラリ
 1 主キー設定             
 2 sdt_disabled             
 10 00_共通.js             
 11 01_ローカル向け共通変数.js             
 12 20_ダイアログテンプレート.js             
 13 21_検索ダイアログテンプレート.js             
 14 22_ダイアログ共通.js             
 15 62_製品検索マスタダイアログ.js             
 16 売上仕入単価マスタ.js             
スクリプト
ID
12
タイトル
20_ダイアログテンプレート.js
スクリプト
// ダイアログを作成し、ページに追加する関数
htmls = {};
function createAndAddDialog(dialogId, title, fields, btnFields = [], submitHandler) {
    if (document.getElementById(dialogId)) {
        let message = `ダイアログID "${dialogId}" は既に存在します。一意のIDを使用してください。`;
        alert(message)
        throw new Error(message);
    }
    // 何行になるかを計算し、配列に格納
    let columnCountArr = [];
    let rowCount = 0;
    let newLineFlg = false;
    for(let field of fields){
        if(typeof(field.options) == 'object' &amp;&amp; 'newLine' in field.options &amp;&amp; field.options.newLine){
            newLineFlg = true;
            rowCount++;
        }
        else if(typeof(field.options) == 'object' &amp;&amp; "newLine" in field.options &amp;&amp; !field.options.newLine){
            if(newLineFlg){
                columnCountArr.push(rowCount);
                rowCount = 0;
            }
            else{
                newLineFlg = true;
            }
        }
    }
    let content = '';
    newLineFlg = false;
    let arrCount = 0;
    for(let field of fields){
        sqlArrayPush(field,dialogId);
        if(typeof(field.options) == 'object' &amp;&amp; 'newLine' in field.options &amp;&amp; field.options.newLine){
            if(newLineFlg){
                content += "&lt;/div&gt;";
            }
            let conteiner_width = Math.floor(100 / columnCountArr[arrCount]);
            content += `&lt;div style="display: inline-block;width: ${conteiner_width}%;vertical-align: top;"&gt;`;
            content += createField(dialogId, field.type, field.id, field.label, field.options);
            newLineFlg = true;
        }
        else if(typeof(field.options) == 'object' &amp;&amp; "newLine" in field.options &amp;&amp; !field.options.newLine){
            if(newLineFlg){
                content += "&lt;/div&gt;";
                content += `&lt;div style="display: block;"&gt;`;
                content += createField(dialogId, field.type, field.id, field.label, field.options);
                newLineFlg = true;
                arrCount++;
            }
        }
        else{
            content += createField(dialogId, field.type, field.id, field.label, field.options);
        }
    }
    if(newLineFlg)content += "&lt;/div&gt;";
    let btnContent = '';
    if(btnFields.length &gt; 0){
        btnContent = btnFields.map(e =&gt; createButton(e.label,e.options.onclick ? e.options.onclick : '',e.options.icon,dialogId,e.id,e.options.hidden ? true:false)).join('');
    }
    const dialogHTML = createDialogHTML(dialogId, title, content,btnContent);
    $('#Application').append(dialogHTML);
    htmls[dialogId] = dialogHTML;
    // バリデーションイベント登録
    // for(let field of fields){
    //     create_varidate_event(dialogId,field.id,field.type,field.options);
    // }
    createLookups(dialogId, title, fields);
    // submitHandlerを設定
    $(`#${dialogId}_submit`).on('click', function() {
        submitDialog(dialogId, submitHandler);
    });
    // searchArr作成
    let search_items = fields.filter(e =&gt; e.type == 'search-table');
    if(search_items.length == 0)return;
    for(item of search_items){
        let tmp_searchObj = {dialogId:dialogId,tableId:item.id,searchTableId:item.options.searchTableId,multiple:item.options.multiple ? true:false};
        // toColumns作成
        tmp_searchObj.toColumns = item.options.t_heads.map(e =&gt;{
            tmp = {ColumnName:e.ColumnName};
            if('specialTerms'in e)tmp["specialTerms"] = e.specialTerms;
            if('alignment' in e)tmp["alignment"] = e.alignment;
            if(e.hidden)tmp["hidden"] = true;
            if(e.type)tmp["type"] = e.type;
            return tmp;
        });
        // options作成
        tmp_searchObj.options = [];
        let tmpArr;
        fields.forEach(e =&gt; {
            if('forColumnName' in e){
                tmpArr = {searchColumn:e.forColumnName,type:e.type,id:e.id};
                if("digitsNum" in e.options)tmpArr["digitsNum"] = e.options.digitsNum;
                if("alignment" in e.options)tmpArr["alignment"] = e.options.alignment;
                tmp_searchObj.options.push(tmpArr);
            }
        });
        searchArr.push(tmp_searchObj);
    }
    $(`#${dialogId}_searchButton`).on('click',function(e){
        create_searchList($(this));
    })
}
// ダイアログのベース構造を定義
const createDialogHTML = (dialogId, title, content, btnContent) =&gt; `
    &lt;div id="${dialogId}" class="dialog" title="${title}"&gt;
        ${content}
        &lt;div class="command-center"&gt;
            ${btnContent}
            &lt;button id="${dialogId}_close" class="button button-icon ui-button ui-corner-all ui-widget applied customized" type="button" onclick="closeDialog('${dialogId}',true);"style='position:relative;'&gt;
                &lt;span class="ui-button-icon ui-icon ui-icon-cancel"&gt;&lt;/span&gt;
                &lt;span class="ui-button-icon-space"&gt; &lt;/span&gt;終了
            &lt;/button&gt;
        &lt;/div&gt;
    &lt;/div&gt;
`;
function createButton(label,onclick,icon,dialogId,id,hiddenFlg){
    return `
        &lt;button id="${dialogId}_${id}" style="${hiddenFlg ? "display:none":''}" class="button button-icon ui-button ui-corner-all ui-widget applied customized" type="button" onclick="${onclick == '' ? '':onclick}"&gt;
                    &lt;span class="ui-button-icon ui-icon ui-icon-${icon}"&gt;&lt;/span&gt;
                    &lt;span class="ui-icon-${icon}"&gt; &lt;/span&gt;${label}
        &lt;/button&gt;
    `
}
// ダイアログを開く関数
function openDialog(dialogId,width='550',unit = 'px',func = null) {
    $(`#${dialogId}`).dialog({
        modal:true,
        width: `${width}${unit}`,
        resizable: true,
        closeOnEscape:false,
    })
    $(`#${dialogId}`).css('max-height',"90vh");
    dialog_openTime = getJPISOTime()
    if(typeof func == 'function'){
        func();
    }
}
// ダイアログ固有の送信処理を格納するオブジェクト
const dialogSubmitHandlers = {};
// ダイアログ内のフォームをSubmitする関数
function submitDialog(dialogId, submitHandler) {
    // バリデーションを実行
    if (!validateDialog(dialogId)) {
        return;
    }
    // 送信ハンドラを設定
    if (typeof submitHandler === 'function') {
        dialogSubmitHandlers[dialogId] = submitHandler;
    }
    // ダイアログ固有の送信処理を実行
    if (dialogSubmitHandlers[dialogId]) {
        dialogSubmitHandlers[dialogId](dialogId);
    }
    closeDialog(dialogId);
}
// ダイアログのバリデーションを行う関数
function validateDialog(dialogId) {
    let isValid = true;
    $(`#${dialogId} [required]`).each(function() {
        const field = $(this);
        const errorElement = $(`#${field.attr('id').replace(/(From|To)$/, '')}-error`);
        if (!field.val()) {
            isValid = false;
            field.addClass('error');
            errorElement.text('この項目は必須です');
        } else {
            field.removeClass('error');
            errorElement.text('');
        }
    });
    return isValid;
}
function editMarkdown(dialogId, id) {
    const fullId = `${dialogId}_${id}`;
    $(`#${fullId}`).show().focus();
    $(`#${fullId}_viewer`).hide();
}
// フィールドの有効/無効を切り替える関数
function toggleFieldDisabled(fieldId, disabled) {
    const field = $(`#${fieldId}`);
    field.prop('disabled', disabled);
    if (disabled) {
        field.addClass('disabled');
    } else {
        field.removeClass('disabled');
    }
}
function sqlArrayPush(field,dialogId){
    if(field.type == 'search-table' &amp;&amp; field.options.sql)useSqlDialogs.push(dialogId);
    if(field.type == 'search-table' &amp;&amp; field.options.individualSql)useIndividualSqlDialogs.push(dialogId);
}
/**
 * 現在の日本時間を ISO 8601 形式 (YYYY-MM-DDTHH:mm:ss) で取得する
 * @returns {string} 日本時間の ISO 8601 形式の文字列 (例: "2024-12-11T01:41:33")
 */
function getJPISOTime() {
    const now = new Date();
    const jpISOTime = new Date(now.getTime() - now.getTimezoneOffset() * 60000)
        .toISOString()
        .slice(0, 19);  // 秒まで切り取り
    return jpISOTime;
}
/**
 * 前回出力履歴を取得する
 * @param {string} listName     帳票名
 * @param {number} number       番号（見積番号等）
 * @param {string} id           結果を入力するid
 *  */
async function get_history(listName,number,id){
    try{
        const sql = `
            SELECT CreateDate, PCName
            From TW見積出力履歴
            WHERE ListName = '${listName}'
            AND Number = ${number}
        `;
        let res = await fetchSql(sql);
        res = res.results;
        if(res.length == 0){
            $(`#${id} .input-container span`).text('');
            return;
        }
        // 入力
        let tmp = formatDate_for_japanese(res[0].CreateDate) + "　" + formatTime_for_japanese(res[0].CreateDate) + "　" + res[0].PCName;
        $(`#${id} .input-container span`).text(tmp);
    }catch(err){
        $(`#${id} .input-container span`).text('');
        console.error('前回出力情報取得処理',err);
        return;
    }
}
無効
出力先
全て
新規作成
編集
一覧
カレンダー
クロス集計
ガントチャート
バーンダウンチャート
時系列チャート
分析チャート
カンバン
画像ライブラリ
Copyright © Implem Inc. 2014 - 2025</t>
    <phoneticPr fontId="2"/>
  </si>
  <si>
    <t>/**
 * 検索ダイアログ
 * @param {string} dialogId 検索ダイアログID
 * @param {string} tableId 検索先テーブルID
 * @param {Array} fields 項目ごとのパラメータ
 * @param {Array} btnFields ダイアログ下部に表示するボタン
 * @param {string} width ダイアログのwidthを指定
 */
let useSqlDialogs = [];
let useIndividualSqlDialogs = [];
async function create_searchDialog(dialogId,tableId,fields,btnFields = [],width = '750px'){
    if (document.getElementById(dialogId)) {
        let message = `ダイアログID "${dialogId}" は既に存在します。一意のIDを使用してください。`;
        alert(message)
        throw new Error(message);
    }
    let multipleFlg = false;
    for(i = 0; i &lt; 2; i++){
        if(multipleFlg)dialogId += "_multiple";
        // 何行になるかを計算し、配列に格納
        let columnCountArr = [];
        let rowCount = 0;
        let newLineFlg = false;
        for(let field of fields){
            if(typeof(field.options) == 'object' &amp;&amp; 'newLine' in field.options &amp;&amp; field.options.newLine){
                newLineFlg = true;
                rowCount++;
            }
            else if(typeof(field.options) == 'object' &amp;&amp; "newLine" in field.options &amp;&amp; !field.options.newLine){
                if(newLineFlg){
                    columnCountArr.push(rowCount);
                    rowCount = 0;
                }
                else{
                    newLineFlg = true;
                }
            }
        }
        let filterHTML = '';
        newLineFlg = false;
        let arrCount = 0;
        for(let field of fields){
            if(field.type == 'search-table' &amp;&amp; field.options.sql)useSqlDialogs.push(dialogId);
            if(field.type == 'search-table' &amp;&amp; field.options.individualSql)useIndividualSqlDialogs.push(dialogId);
            if(typeof(field.options) == 'object' &amp;&amp; 'newLine' in field.options &amp;&amp; field.options.newLine){
                if(newLineFlg){
                    filterHTML += "&lt;/div&gt;";
                }
                let conteiner_width = Math.floor(100 / columnCountArr[arrCount]);
                filterHTML += `&lt;div style="display: inline-block;width: ${conteiner_width}%;vertical-align: top;"&gt;`;
                filterHTML += createField(dialogId, field.type, field.id, field.label, field.options,multipleFlg);
                newLineFlg = true;
            }
            else if(typeof(field.options) == 'object' &amp;&amp; "newLine" in field.options &amp;&amp; !field.options.newLine){
                if(newLineFlg){
                    filterHTML += "&lt;/div&gt;";
                    filterHTML += `&lt;div style="display: block;"&gt;`;
                    filterHTML += createField(dialogId, field.type, field.id, field.label, field.options,multipleFlg);
                    newLineFlg = true;
                    arrCount++;
                }
            }
            else{
                filterHTML += createField(dialogId, field.type, field.id, field.label, field.options,multipleFlg);
            }
        }
        if(newLineFlg)filterHTML += "&lt;/div&gt;";
        const btnHTML = btnFields.map(field =&gt; createField(dialogId, field.type, field.id, field.label, field.options,multipleFlg)).join('');
        const dialogHTML      = searchDialogTemplate(dialogId,filterHTML,multipleFlg,btnHTML);
        $('#Application').append(dialogHTML);
        // 検索用のイベント登録
        $(`#${dialogId}_searchButton`).on('click',function(e){
            create_searchList($(this));
        })
        // searchArr作成（検索に必要な情報を格納）
        const searchTable_items = fields.filter(e =&gt; e.type == 'search-table');
        for(item of searchTable_items){
            let tmp_searchObj = {dialogId:dialogId,searchTableId:tableId,tableId:item.id,width:width};
            // toColumns作成
            tmp_searchObj.toColumns = item.options.t_heads.map(e =&gt;{
                tmp = {ColumnName:e.ColumnName};
                if('specialTerms'in e)tmp["specialTerms"] = e.specialTerms;
                if('alignment' in e)tmp["alignment"] = e.alignment;
                if(e.hidden)tmp["hidden"] = true;
                if(e.type)tmp['type'] = e.type;
                return tmp;
            });
            // options作成
            tmp_searchObj.options = [];
            let tmpArr;
            fields.forEach(e =&gt; {
                if('forColumnName' in e){
                    tmpArr = {searchColumn:e.forColumnName,type:e.type,id:e.id};
                    if("digitsNum" in e.options)tmpArr["digitsNum"] = e.options.digitsNum;
                    if("alignment" in e.options)tmpArr["alignment"] = e.options.alignment;
                    tmp_searchObj.options.push(tmpArr);
                }
            });
            searchArr.push(tmp_searchObj);
        }
        // lookups作成
        createLookups(dialogId,'',fields);
        multipleFlg = true;
    }
}
// ダイアログテンプレート
function searchDialogTemplate(id,filterHTML,multipleFlg,btnHTML){
    return `
        &lt;div id="${id}Dialog" class="searchDialog" style="display: none; margin-top: 10px;"&gt;
            ${filterHTML}
            &lt;div class="command-center"&gt;
                ${multipleFlg ? btnHTML : ''}
                &lt;button id="${id}_close" class="button button-icon ui-button ui-corner-all ui-widget applied customized" type="button" onclick="closeDialog('${id}Dialog',false);"style='position:relative;'&gt;
                    &lt;span class="ui-button-icon ui-icon ui-icon-cancel"&gt;&lt;/span&gt;
                    &lt;span class="ui-button-icon-space"&gt; &lt;/span&gt;終了
                &lt;/button&gt;
            &lt;/div&gt;
        &lt;/div&gt;
    `;
}
// ③ダイアログを表示する
$(document).on('click','.dialogSearch',function(){
    // テーブルの検索機能は各ダイアログファイルに記載
    if($(this).parent().prop('tagName') == 'TD')return;
    let id = $(this).prev().attr('id');
    const parentClass = $(this).parent().attr('class');
    let type = '';
    if(parentClass == 'text-set'){
        id = id.slice(0,-2);
        type = 'text-set';
    }
    else if(parentClass == 'range-text-container'){
        id = id.slice(-2) == 'om' ? id.slice(0,-4) : id.slice(0,-2);
        type = 'range-text';
    }
    let lookup = lookups.find(e =&gt; e.id == id);
    let dialogId = lookup.searchDialog.id;
    if(dialogId == "recipientNoSearch")return;  //納入先CD検索は個別処理
    if(lookup.searchDialog.multiple)dialogId += "_multiple";
    let title = lookup.searchDialog.title;
    const width = searchArr.find(e =&gt; dialogId == e.dialogId).width;
    if(parentClass == 'text-set'){
        id += 'From';
    }
    else if(parentClass == 'range-text-container'){
        id = $(this).prev().attr('id');
    }
    openDialog_for_searchDialog(dialogId,id,width,title)
})
function openDialog_for_searchDialog(dialogId,id,width,title){
    searchOutputId.push({id:id,dialogId:dialogId});
    $(`#${dialogId}Dialog td`).remove();
    $(`#${dialogId}Dialog input`).val('');
    $(`#${dialogId}Dialog`).dialog({
        modal: true,
        width: width,
        resizable: true,
        title:title,
    });
    $(`#${dialogId}Dialog`).css('max-height',"90vh");
    $(`#${dialogId}Dialog`).focus();
}
// 検索ボタンが押されたら検索し、tableに表示
async function create_searchList(event){
    showLoading()
    let dialogId = '';
    if(searchOutputId.length == 0){
        dialogId = $(event).closest('div.dialog').attr('id');
    }else{
        dialogId = searchOutputId[searchOutputId.length -1].dialogId;
    }
    // アクティブな検索ダイアログの情報を取得
    let searchDialogData = searchArr.find(e =&gt; e.dialogId == dialogId);
    let arr = [];
    // 簡単なSQL・joinなど複雑なSQL・Pleasanterのテーブルに取得できる処理で分け
    if(useSqlDialogs.includes(dialogId)){
        try{
            arr = await requestSQL(searchDialogData);
        }catch{
            return;
        }
    }
    else if(useIndividualSqlDialogs.includes(dialogId)){
        arr = await requestIndividualSQL(searchDialogData);
        if(arr == null)return;
    }
    else{
    // それ以外の場合
        // 検索対象テーブルID
        let tableId = searchDialogData.searchTableId;
        if(tableId == ''){
            alert('検索先IDが指定されていません。');
            return;
        }
        let columns = [];
        let filter = {};
        let filterSearchType = {};
        // 複数回Getしなきゃいけないテーブルは処理を分ける
        if(searchDialogData.dialogId == 'auxiliarySubjectSearch'){
            let tmpData = await commonGetData(MASTER_TABLES["科目マスタ"],['ResultId'],{ClassA:$(`#auxiliarySubjectSearch_subjectCD`).val()},{},{ClassA:'ExactMatch'},false,false);
            if(tmpData.length != 1){
                alert('科目CDを入力してください。');
                return;
            }
            let KAMOKUCD_resultId = tmpData[0].ResultId;
            columns = ['ClassC','ClassD'];
            filter = {
                ClassA:JSON.stringify([KAMOKUCD_resultId]),
                ClassC:$('#auxiliarySubjectSearch_auxiliarySubjectCD').val(),
                ClassD:$('#auxiliarySubjectSearch_teamName').val()
            };
            filterSearchType = {
                ClassA:'ExactMatch',
                ClassC:'ExactMatch',
                ClassD:'PartialMatchMultiple',
            }
        }
        else if(searchDialogData.dialogId == 'recipientNoSearch'){
            let tmpData = await commonGetData(MASTER_TABLES["得意先マスタ"],['ResultId'],{ClassA:$(`#recipientNoSearch_custmerFrom`).val()},{},{ClassA:'ExactMatch'},false,false);
            if(tmpData.length != 1){
                alert('得意先CDを入力してください。');
                return;
            }
            columns = ['ClassD','ClassE','ClassF'];
            const custmerResultId = tmpData[0].ResultId;
            const receptNo = $('#recipientNoSearch_recipientCD').val();
            const receptName = $('#recipientNoSearch_recipientName1').val();
            const furigana = $('#recipientNoSearch_furigana').val();
            filter = {
                // ClassA:JSON.stringify(custmerResultId)
                ClassA:"223515"
            };
            if(receptNo != "")filter["ClassD"] = receptNo;
            if(receptName != "")filter["ClassE"] = receptName;
            if(furigana != "")filter["ClassI"] = furigana;
            filterSearchType = {
                ClassA:'ExactMatch',
                ClassD:'PartialMatch',
                ClassE:'PartialMatch',
                ClassI:'PartialMatch',
            }
        }
        else{
            // gridColumns作成
            columns = searchDialogData.toColumns.map(e =&gt; e.ColumnName);
            // ColumnFilterHashとColumnFilterSearchTypes作成
            searchDialogData.options.forEach(e =&gt; {
                let res = create_filter(e,dialogId);
                // res = {column:'ClassA',text:''}見本
                if(Object.keys(res).length == 0){
                    hideLoading();
                    return;
                }
                filter[res.column] = res.text;
                filterSearchType[res.column] = res.searchType;
            });
        }
        tableData = await commonGetData(tableId,columns,filter,{},filterSearchType,false,false);
        tableData.sort((a,b) =&gt; a.ClassA-b.ClassA)
        if(tableData.length == 0){
            alert('フィルター条件に合致するデータがありません。');
            hideLoading();
            return;
        }
        for(record of tableData){
            // 日付はyyyy/mm/dd形式にして代入、Numでnullの場合は0に置換して代入
            columns.forEach(e =&gt;{
                switch(e.substring(0,3)){
                    case 'Num':
                        record[e] = record[e] == null ? 0:record[e].toLocaleString();
                        break;
                    case 'Dat':
                        // 1899-12-30だったら空文字を返し、それ以外なyyyy/mm/dd形式に置換
                        if(record[e].substring(0,10) == ''){
                            record[e] = '';
                        }else{
                            let dt = new Date(record[e]);
                            record[e] = new Intl.DateTimeFormat('ja-JP', { year: 'numeric', month: '2-digit', day: '2-digit' }).format(dt);
                        }
                        break;
                    default:
                        record[e] = record[e];
                }
            });
        }
        arr = tableData;
    }
    let html = '';
    for(item of arr){
        if(searchDialogData.multiple  || searchDialogData.dialogId.includes('_multiple')){
            html += '&lt;tr tabindex="0"&gt;&lt;td class="searchTd bgc"&gt;&lt;input type="checkbox" &gt;&lt;/td&gt;';
        }else{
            html += '&lt;tr tabindex="0"&gt;';
        }
        searchDialogData.toColumns.forEach((e,i) =&gt; {
            if('alignment' in e &amp;&amp; 'hidden' in e){
                html += `&lt;td class="searchTd bgc" style='display:none; text-align:${e.alignment}' &gt;${item[e.ColumnName]}&lt;/td&gt;`
            }
            else if('alignment' in e){
                html += `&lt;td class="searchTd bgc" style='text-align:${e.alignment}' &gt;${item[e.ColumnName]}&lt;/td&gt;`
            }
            else if('hidden' in e){
                html += `&lt;td class="searchTd bgc" style='display:none;' &gt;${item[e.ColumnName]}&lt;/td&gt;`
            }
            else{
                html += `&lt;td class="searchTd bgc"&gt;${item[e.ColumnName]}&lt;/td&gt;`
            }
        });
        html += "&lt;/tr&gt;";
    }
    // 追加する
    $(`#${dialogId}_${searchDialogData.tableId}_readTable tbody tr`).remove();
    $(`#${dialogId}_${searchDialogData.tableId}_readTable tbody`).append(html);
    $(`#${dialogId}_${searchDialogData.tableId}_readTable tbody`).children().eq(0).focus();
    hideLoading();
}
const fetchSql = async (query) =&gt; {
    try {
        showLoading()
        const response = await fetch(SQL_URL, {
            method: 'POST',
            headers: {
                "Content-Type": "application/json"
            },
            body: JSON.stringify({
                query: query
            })
        });
        if (!response.ok) {
            // レスポンスがエラーの場合
            throw new Error(`HTTP error! status: ${response.status}`);
        }
        const data = await response.json();
        return data;
    } catch (err) {
        alert('SQLでエラーが発生しました。' + err);
        console.error("SQLエラー:", err);
        return { err: "Failed to execute SQL query." };
    } finally {
        hideLoading();
    }
};
const fetchStored = async (param) =&gt;{
    try {
        showLoading()
        let response =  await fetch(STORED_PROCEDURE_URL,{
            method:"POST",
            headers:{
                "content-type":'application/json',
            },
            body:JSON.stringify(param)
        })
        if(!response.ok){
            throw new Error(`HTTP error! status: ${response.status}`);
        }
        response =  await response.json();
        return response
    } catch(err) {
        alert('ストアドプロシージャでエラーが発生しました。' + err);
        console.error("ストアドエラー:", err);
        return { err: "Failed to execute stored query." };
    } finally {
        hideLoading();
    }
}
const fetchRenderForm = async (param) =&gt; {
    try {
        showLoading()
        // クエリーパラメータに変換
        const queryString = new URLSearchParams(param).toString();
        const url = `${RENDER_FORM_URL}?${queryString}`;
        // APIの状態チェック
        const response = await fetch(url);
        if (!response.ok) {
            throw new Error(`API error: ${response.status}`);
        }
        // APIが正常な場合のみ新しいタブを開く
        window.open(url, '_blank');
    } catch (err) {
        alert('入力画面生成でエラーが発生しました。' + err);
        console.error("入力画面生成エラー:", err);
        return { err: "Failed to execute input form." };
    } finally {
        hideLoading();
    }
}
const createWhere = obj =&gt;{
    let whereStr = 'WHERE 0=0 ';
    Object.keys(obj).forEach(e =&gt;{
        if(obj[e] == '' || typeof(obj[e]) === "undefined"){
            return '';
        }
        else if(typeof(obj[e]) == 'object'){
            // fromよりtoのほうが大きい場合は入れ替え
            let from = obj[e]["from"];
            let to = obj[e]["to"];
            if(from != '' &amp;&amp; to != '' &amp;&amp; from &gt; to) [from,to] = [to,from];
            // from,toに値がある場合はbetween,片方の場合は比較演算子
            if(from != '' &amp;&amp; to != ''){
                whereStr += `AND ${e} BETWEEN '${from}' AND '${to}'`;
            }else if(from != ''){
                whereStr += `AND ${e} &gt;= '${from}'`;
            }else if(to != ''){
                whereStr += `AND ${e} &lt;= '${to}'`;
            }
        }
        else{
            whereStr += `AND ${e} LIKE '%${obj[e]}%'`;
        }
    })
    return whereStr;
}
const resMold = (res,dialogData) =&gt; {
    for(record of res){
        // 日付はyyyy/mm/dd形式にして代入、Numでnullの場合は0に置換して代入
        dialogData.toColumns.forEach(e =&gt;{
            if(record[e.ColumnName] === null){
                record[e.ColumnName] = '';
            }
            else if(typeof record[e.ColumnName] === "undefined"){
                record[e.ColumnName] = '';
            }
            else if(e.type == 'time'){
                record[e.ColumnName] = new Date(record[e.ColumnName]).toLocaleString('sv-SE').replaceAll('-','/');
            }
            else if(/^\d{4}-\d{2}-\d{2}T\d{2}:\d{2}:\d{2}(?:\.\d+)?$/.test(record[e.ColumnName])){
                let tmpDt = new Date(record[e.ColumnName]);
                record[e.ColumnName] = new Intl.DateTimeFormat('ja-JP', { year: 'numeric', month: '2-digit', day: '2-digit' }).format(tmpDt);
            }
            else if("alignment" in e){
                record[e.ColumnName] = record[e.ColumnName].toLocaleString();
                // record[e.ColumnName] = Number(record[e.ColumnName]).toLocaleString();
            }
            else{
                record[e.ColumnName] = record[e.ColumnName];
            }
        });
    }
    return res;
}
const createWhereParam = (dialogData) =&gt;{
    let tmp     = {};
    dialogData.options.forEach(e =&gt;{
        let fullId =  'fullId' in e ? e.fullId : dialogData.dialogId + "_" + e.id;
        if(e.type == 'range-text' &amp;&amp; "alignment" in e){
            let fromVal = $(`#${fullId}From`).val().replaceAll(',','');
            let toVal   = $(`#${fullId}To`).val().replaceAll(',','');
            if((fromVal == '' &amp;&amp; toVal == '') || !/^\d*$/.test(fromVal) || !/^\d*$/.test(toVal)){
                tmp[e.searchColumn] = '';
            }else{
                tmp[e.searchColumn] = {from:Number(fromVal),to:Number(toVal)};
            }
        }
        else if(e.type.slice(0,5) == 'range'){
            let fromVal = $(`#${fullId}From`).val();
            let toVal   = $(`#${fullId}To`).val();
            if(fromVal == '' &amp;&amp; toVal == ''){
                tmp[e.searchColumn] = '';
            }else{
                tmp[e.searchColumn] = {from:fromVal,to:toVal};
            }
        }
        else if(e.type == 'text-set'){
            tmp[e.searchColumn] = $(`#${fullId}From`).val();
        }
        else{
            tmp[e.searchColumn] = $(`#${fullId}`).val();
        }
    })
    return tmp;
}
// 簡単なsql用の変数（汎用）
async function requestSQL(dialogData){
    // sql文作成
    // 足し算やcase句など特殊な処理はspecialTermsというパラメータがあるのでそちらを使用
    let select  = 'selectStr' in dialogData ? dialogData.selectStr :dialogData.toColumns.map(e =&gt; {
        if('specialTerms' in e){
            return e.specialTerms;
        }else{
            return e.ColumnName;
        }
    }).join(',');
    let from    = 'fromStr' in dialogData ? dialogData.fromStr : dialogData.searchTableId;
    // where作成
    let tmp     = createWhereParam(dialogData);
    let where = createWhere(tmp);
    if(dialogData.dialogId.includes('estimateNoSearch')){
        where += "ORDER BY 見積日付 DESC, 見積番号 DESC";
    }
    let sql = `SELECT TOP 1000 ${select} FROM ${from} ${where}`;
    let res;
    try{
        res = await fetchSql(sql);
    }catch{
        return;
    }
    res = res.results;
    // 成形
    return resMold(res,dialogData);
}
// 複雑なsql用の関数（個別作成）
async function requestIndividualSQL(dialogData){
    // where作成
    let tmp     = createWhereParam(dialogData);
    let where = createWhere(tmp);
    let sql;
    // if('estimateNoSearch3'.includes(dialogData.dialogId)){
    if(['estimateNoSearch3','estimateNoSearch3_multiple'].includes(dialogData.dialogId)){
        let copy_dialogData = JSON.stringify(dialogData);
        copy_dialogData = JSON.parse(copy_dialogData);
        copy_dialogData.options = [
            {searchColumn: 'MS.仕入先CD', type: 'range-text', id: 'supplierCD'}
        ];
        where2_param = createWhereParam(copy_dialogData);
        let where2 = createWhere(where2_param);
        sql = estimateNoSearch3_baseSQL(where,where2).replaceAll('\n',' ').replaceAll(/\s{2,}/g, ' ');
    }
    else if(['estimateNoSearch4','estimateNoSearch4_multiple'].includes(dialogData.dialogId)){
        sql = estimateNoSearch4_baseSQL(where).replaceAll('\n',' ').replaceAll(/\s{2,}/g, ' ');
    }
    else if(['estimateNoSearch5','estimateNoSearch5_multiple'].includes(dialogData.dialogId)){
        sql = estimateNoSearch5_baseSQL(where).replaceAll('\n',' ').replaceAll(/\s{2,}/g, ' ');
    }
    else if(['mirrorSearch',"mirrorSearch_multiple"].includes(dialogData.dialogId)){
        sql = mirrorSearch_baseSQL(where).replaceAll('\n',' ').replaceAll(/\s{2,}/g, ' ');
    }
    else if(['urikakeKakuninSearch'].includes(dialogData.dialogId)){
        sql = urikakeKakunin_baseSQL(where).replaceAll('\n',' ').replaceAll(/\s{2,}/g, ' ');
    }
    else if(['productSearch1'].includes(dialogData.dialogId)){
        sql = productSearch1_baseSQL(where).replaceAll('\n',' ').replaceAll(/\s{2,}/g, ' ');
    }
    else if(['productSearch2'].includes(dialogData.dialogId)){
        sql = productSearch2_baseSQL(where).replaceAll('\n',' ').replaceAll(/\s{2,}/g, ' ');
    }
    else if('progressCheck'.includes(dialogData.dialogId)){
        // 売上種別
        let salesType = '';
        switch($('#progressCheck_processingCategoryFrom').val()){
            case '0':
                salesType = ' AND (MHK.発注書発行日付 IS NULL AND MT.仕入日付 IS NULL)';
                break;
            case '1':
                salesType = 'AND MHK.発注書発行日付 IS NOT NULL';
                break;
            case '2':
                salesType = "AND MT.売上日付 IS NOT NULL";
                break;
        }
        // 見積確定区分
        let finalClassification = '';
        switch($('#progressCheck_confirmationEstimateDatesFrom').val()){
            case '0':
                finalClassification = "AND ISNULL(MHK.見積確定区分,0) = 0";
                break;
            case '1':
                finalClassification = "AND ISNULL(MHK.見積確定区分,0) = 1";
        }
        where += salesType + finalClassification;
        sql = progressCheck_baseSQL(where).replaceAll('\n',' ').replaceAll(/\s{2,}/g, ' ');
    }
    // 入金消込入力はストアドのため特殊処理
    else if('ReceiptEntry'.includes(dialogData.dialogId)){
        await receiptEntry_stored();
        return null;
    }
    // 売上入力
    else if('salesInput'.includes(dialogData.dialogId)){
    }
    // 売掛消費税調整入力
    else if(['ReceivableSalesTaxAdjustmentEntrySearch'].includes(dialogData.dialogId)){
        sql = ReceivableSalesTaxAdjustmentEntrySearch_baseSQL(where).replaceAll('\n',' ').replaceAll(/\s{2,}/g, ' ');
    }
    // 売掛消費税調整入力
    else if(['ReceivableSalesTaxAdjustmentEntry'].includes(dialogData.dialogId)){
        sql = ReceivableSalesTaxAdjustmentEntry_baseSQL(where).replaceAll('\n',' ').replaceAll(/\s{2,}/g, ' ');
    }
    // 経費入力
    else if(['ExpenseEntrySearch'].includes(dialogData.dialogId)){
        let personCD = '';
        let personCDFrom = $('#ExpenseEntrySearch_personCDFrom').val();
        let personCDTo = $('#ExpenseEntrySearch_personCDTo').val();
        // 担当者Fromのみ入力
        if(!personCDFrom == '' &amp;&amp; personCDTo == ''){
            personCD = `AND KH.経費番号 IN (SELECT DISTINCT 経費番号 FROM TD経費明細 WHERE 担当者CD &gt;= '${personCDFrom}')`;
        }
        // 担当者Toのみ入力
        else if(personCDFrom == '' &amp;&amp; !personCDTo == ''){
            personCD = `AND KH.経費番号 IN (SELECT DISTINCT 経費番号 FROM TD経費明細 WHERE 担当者CD &lt;= '${personCDTo}')`;
        }
        // 担当者FromTo
        else if(!personCDFrom == '' &amp;&amp; !personCDTo == ''){
            personCD = `AND KH.経費番号 IN (SELECT DISTINCT 経費番号 FROM TD経費明細 WHERE 担当者CD BETWEEN '${personCDFrom}' AND '${personCDTo}')`;
        }
        where += personCD
        sql = ExpenseEntrySearch_baseSQL(where).replaceAll('\n',' ').replaceAll(/\s{2,}/g, ' ');
    }
    let res;
    try{
        res = await fetchSql(sql);
    }catch{
        return;
    }
    res = res.results;
    return resMold(res,dialogData);
}
// apiget用のColumnFilterHashとColumnFilterSearchTypesを作成する関数
function create_filter(e,dialogId){
    let res = {};
    switch(e.type){
        case 'text':
            let val = $(`#${dialogId}_${e.id}`).val();
            // エラー処理
            if(val == ''){
                return {};
            }
            res =  {column:e.searchColumn,text:val,searchType:'PartialMatch'};
            break;
        case 'number':
            num = $(`#${dialogId}_${e.id}`).val().replaceAll(',','');
            // エラー処理
            if(num == ''){
                return {};
            }
            res =  {column:e.searchColumn,text:num,searchType:'ExactMatch'};
            break;
        case 'range-text':
            let fromVal = $(`#${dialogId}_${e.id}From`).val();
            let toVal = $(`#${dialogId}_${e.id}To`).val();
            if(fromVal == '' &amp;&amp; toVal == ''){
                return {};
            }
            // 検索先項目がNumかどうかで処理を分ける
            let arr = [];
            if(e.searchColumn.substring(0,3) == 'Num'){
                arr = JSON.stringify([`${fromVal},${toVal}`]);
            }
            else{
                // 数値項目ではない場合。数値化して全パターン取得
                fromVal = fromVal == '' ? "0".repeat(e.digitsNum) : fromVal;
                toVal = toVal == '' ? "9".repeat(e.digitsNum):toVal;
                for(i = Number(fromVal); i &lt;= Number(toVal); i++){
                    arr.push(String(i).padStart(e.digitsNum,'0').slice(`-${e.digitsNum}`));
                }
                arr = JSON.stringify(arr);
            }
            res = {column:e.searchColumn,text:arr,searchType:'ExactMatchMultiple'}
            break;
        case 'range-number':
            let fromNum = $(`#${dialogId}_${e.id}From`).val();
            let toNum = $(`#${dialogId}_${e.id}To`).val();
            if(fromNum == '' &amp;&amp; toNum == ''){
                return {};
            }
            let numArr = JSON.stringify([`${fromNum},${toNum}`]);
            res = {column:e.searchColumn,text:numArr,searchType:'ExactMatchMultiple'}
            break;
        case 'datepicker':
            let dt = $(`#${dialogId}_${e.id}`).val();
            if(dt == ''){
                return {};
            }
            res = {column:e.searchColumn,text:JSON.stringify([dt.replace('-','/')]),searchType:'ExactMatch'}
            break;
        case 'range-date':
            let dtFrom = $(`#${dialogId}_${e.id}From`).val();
            let dtTo = $(`#${dialogId}_${e.id}To`).val();
            if(dtFrom == '' &amp;&amp; dtTo == ''){
                return {};
            }
            let dates = JSON.stringify([`${dtFrom.replaceAll('-','/')},${dtTo.replaceAll('-','/')}`]);
            res =  {column:e.searchColumn,text:dates,searchType:'ExactMatchMultiple'};
            break;
    }
    return res;
}
// 選択されたときの処理
$(document).on('click','tr:has(".searchTd")',function(e){
    let item = $(this);
    // ふくすう選択ダイアログなら処理終了
    if(item.children().eq(0).children().eq(0).attr('type')){
        // inputがクリックされていたら処理終了
        if($(e.target).is('input')){
            return;
        }
        item.find('input:first').prop('checked', function( index, prop ){
            return !prop;
        });
        return;
    }
    if(searchOutputId.length == 0 || searchOutputId[searchOutputId.length -1].id == "")return;
    if(searchOutputId[searchOutputId.length - 1].id == "changeProductDialog_productNo"){
        $(`#changeProductDialog_productNo`).val(item.children().eq(0).text().replaceAll(' ',''));
        $(`#changeProductDialog_methodNo`).val(item.children().eq(1).text().replaceAll(' ',''));
        $(`#changeProductDialog_productName`).val(item.children().eq(2).text().replaceAll(' ',''));
    }
    else if(searchOutputId[searchOutputId.length - 1].id == "changeProductDialog_AfterChangeNo" ){
        $(`#changeProductDialog_AfterChangeNo`).val(item.children().eq(0).text().replaceAll(' ',''));
        $(`#changeProductDialog_AfterMethodNo`).val(item.children().eq(1).text().replaceAll(' ',''));
        $(`#changeProductDialog_AfterProductName`).val(item.children().eq(2).text().replaceAll(' ',''));
    }
    else{
        $(`#${searchOutputId[searchOutputId.length -1].id}`).val(item.children()[0].textContent).trigger('input');
    }
    $(`#${searchOutputId[searchOutputId.length -1].dialogId}Dialog tbody`).html('');
    $(`#${searchOutputId[searchOutputId.length -1].dialogId}Dialog`).dialog('close');
    searchOutputId.pop();
})
// マウスオーバー時のイベント
$(document).on('mouseover','.bgc',function(){
    $('.bgc').parent().css('background-color','');
    $(this).parent().css('background-color','silver')
})
$(document).on('mouseout','.bgc',function(){
    $('.bgc').parent().css('background-color','');
})
// ダイアログを閉じるボタンが押された時の処理
$(document).on('click','.ui-dialog-titlebar-close',function(){
    let elem = $(this).parent().parent().next();
    var prevObjectElement = elem.prevObject[0];
    // prevObjectElementの子要素の中に'searchDialog'クラスを持つ要素があるかをチェック
    var hasSearchDialogClass = $(prevObjectElement).children().hasClass('searchDialog');
    if(hasSearchDialogClass){
        searchOutputId.pop();
    }
})
// エスケープで閉じる機能を廃止のためコメントアウト
// escapeが押されたらsearchOutputIdの末尾を削除
// $(document).keydown(async function(e){
//     const key = e.keyCode;
//     if(key != 27){
//         return;
//     }
//     // dialogでエスケープキーを閉じるときのバリデーション対策
//     now_varidate_flg = true;
//     await sleep(0);
//     now_varidate_flg = false;
//     searchOutputId.pop();
//     // 閉じたdialogを削除
// })
// 複数選択ダイアログで、チェックマークが入っている項目をカンマ区切りで呼出元項目に入力する関数
function resultInput(event){
    let items = Array.from($(`#${searchOutputId[searchOutputId.length-1].dialogId}Dialog tbody input[type="checkbox"]:checked`));
    if(items.length == 0){
        alert('選択されていません。');
        return;
    }
    let resText = items.map(e =&gt; $(e).parent().parent().children().eq(1).text()).join(',');
    $(`#${searchOutputId[searchOutputId.length -1].id}`).val(resText).trigger('input');
    $(`#${searchOutputId[searchOutputId.length -1].dialogId}Dialog`).dialog('close');
    searchOutputId.pop();
}
$(document).on('click','.ui-dialog-titlebar-close',function(){
    let element = $(this).parent().parent();
    element.find('table.searchTable tbody').html('');
})
$(document).on('keydown','tr:has(".searchTd")',function(e){
    if(e.which == 13){
        $(this).trigger('click');
    }
})</t>
    <phoneticPr fontId="2"/>
  </si>
  <si>
    <t>21_検索ダイアログテンプレート.js</t>
  </si>
  <si>
    <t>22_ダイアログ共通.js</t>
  </si>
  <si>
    <t>62_製品検索マスタダイアログ.js</t>
  </si>
  <si>
    <t xml:space="preserve">// 製品検索ダイアログ作成
{
    const dialogId = 'productSearch1';
    create_searchDialog(dialogId,'TM製品',[
        {type:'text',id:'productNo',label:'製品No',forColumnName:'製品NO',options:{
            width:'wide',
            newLine:true,
        }},
        {type:'text',id:'methodNo',label:'仕様No',forColumnName:'仕様NO',options:{
            width:'wide',
        }},
        {type:'text',id:'KANJIName',label:'漢字名称',forColumnName:'漢字名称',options:{
            width:'wide',
        }},
        {type:'text',id:'mainSupplier',label:'主仕入先',forColumnName:'主仕入先CD',options:{
            width:'wide',
        }},
        {type:'text',id:'W',label:'W',forColumnName:'W',options:{
            width:'wide',
            newLine:true,
        }},
        {type:'text',id:'D',label:'D',forColumnName:'D',options:{
            width:'wide',
        }},
        {type:'text',id:'H',label:'H',forColumnName:'H',options:{
            width:'wide',
        }},
        {type:'text',id:'D1',label:'D1',forColumnName:'D1',options:{
            width:'wide',
            newLine:true,
        }},
        {type:'text',id:'D2',label:'D2',forColumnName:'D2',options:{
            width:'wide',
        }},
        {type:'text',id:'H1',label:'H1',forColumnName:'H1',options:{
            width:'wide',
        }},
        {type:'text',id:'H2',label:'H2',forColumnName:'H2',options:{
            width:'wide',
        }},
        { type: 'search-table', id: 'searchTable', label: '', options: {
            newLine:false,
            individualSql:true,
            t_heads:[
                {label:"製品No",type:'',ColumnName:'製品NO'},
                {label:"仕様No",type:'',ColumnName:'仕様NO'},
                {label:"漢字名称",type:'',ColumnName:'漢字名称'},
                {label:"主仕入先",type:'',ColumnName:'主仕入先CD'},
                {label:"W",type:'',ColumnName:'W'},
                {label:"D",type:'',ColumnName:'D'},
                {label:"H",type:'',ColumnName:'H'},
                {label:"D1",type:'',ColumnName:'D1'},
                {label:"D2",type:'',ColumnName:'D2'},
                {label:"H1",type:'',ColumnName:'H1'},
                {label:"H2",type:'',ColumnName:'H2'},
                {label:"仕入先名",type:'',ColumnName:'仕入先名1'},
            ]
        }},
    ],
    [
        { type: 'button_inline', id: 'create', label: 'OK', options: {
            onclick:`resultInput('${dialogId}')`,
            icon:'disk'
        }},
    ],
    '1300px')
}
const productSearch1_baseSQL = (e) =&gt; {
    return `
        SELECT TOP 1000 SE.製品NO,SE.仕様NO,SE.漢字名称,SE.主仕入先CD,SE.W,SE.D,SE.H,SE.D1,SE.D2,SE.H1,SE.H2,SI.仕入先名1
        FROM TM製品 AS SE
        INNER JOIN
            TM仕入先 AS SI
        ON
            SE.主仕入先CD = SI.仕入先CD
        ${e} and 廃盤FLG = 0
        ORDER BY
        SE.製品NO ASC , SE.仕様NO ASC
    `
}
// 製品検索ダイアログ作成
{
    const dialogId = 'productSearch2';
    create_searchDialog(dialogId,'TM製品',[
        {type:'text',id:'productNo',label:'製品No',forColumnName:'製品NO',options:{
            width:'wide',
            newLine:true,
        }},
        {type:'text',id:'methodNo',label:'仕様No',forColumnName:'仕様NO',options:{
            width:'wide',
        }},
        {type:'text',id:'KANJIName',label:'漢字名称',forColumnName:'漢字名称',options:{
            width:'wide',
        }},
        {type:'text',id:'mainSupplier',label:'主仕入先',forColumnName:'主仕入先CD',options:{
            width:'wide',
        }},
        {type:'text',id:'W',label:'W',forColumnName:'W',options:{
            width:'wide',
            newLine:true,
        }},
        {type:'text',id:'D',label:'D',forColumnName:'D',options:{
            width:'wide',
        }},
        {type:'text',id:'H',label:'H',forColumnName:'H',options:{
            width:'wide',
        }},
        {type:'text',id:'D1',label:'D1',forColumnName:'D1',options:{
            width:'wide',
            newLine:true,
        }},
        {type:'text',id:'D2',label:'D2',forColumnName:'D2',options:{
            width:'wide',
        }},
        {type:'text',id:'H1',label:'H1',forColumnName:'H1',options:{
            width:'wide',
        }},
        {type:'text',id:'H2',label:'H2',forColumnName:'H2',options:{
            width:'wide',
        }},
        { type: 'search-table', id: 'searchTable', label: '', options: {
            newLine:false,
            individualSql:true,
            t_heads:[
                {label:"",ColumnName:'タイトル',hidden:true},
                {label:"製品No",type:'',ColumnName:'製品NO'},
                {label:"仕様No",type:'',ColumnName:'仕様NO'},
                {label:"漢字名称",type:'',ColumnName:'漢字名称'},
                {label:"主仕入先",type:'',ColumnName:'主仕入先CD'},
                {label:"W",type:'',ColumnName:'W'},
                {label:"D",type:'',ColumnName:'D'},
                {label:"H",type:'',ColumnName:'H'},
                {label:"D1",type:'',ColumnName:'D1'},
                {label:"D2",type:'',ColumnName:'D2'},
                {label:"H1",type:'',ColumnName:'H1'},
                {label:"H2",type:'',ColumnName:'H2'},
                {label:"仕入先名",type:'',ColumnName:'仕入先名1'},
            ]
        }},
    ],
    [
        { type: 'button_inline', id: 'create', label: 'OK', options: {
            onclick:`resultInput('${dialogId}')`,
            icon:'disk'
        }},
    ],
    '1300px')
}
const productSearch2_baseSQL = (e) =&gt; {
    return `
        SELECT TOP 1000 
            SE.製品NO + '___' + SE.仕様NO AS タイトル, 
            SE.製品NO,SE.仕様NO,SE.漢字名称,SE.主仕入先CD,SE.W,SE.D,SE.H,SE.D1,SE.D2,SE.H1,SE.H2,SI.仕入先名1
        FROM TM製品 AS SE
        INNER JOIN
            TM仕入先 AS SI
        ON
            SE.主仕入先CD = SI.仕入先CD
        ${e} and 廃盤FLG = 0
        ORDER BY
        SE.製品NO ASC , SE.仕様NO ASC
    `
}
</t>
    <phoneticPr fontId="2"/>
  </si>
  <si>
    <t>売上仕入単価マスタ.js</t>
  </si>
  <si>
    <t xml:space="preserve">const styleElement2 = document.createElement('style');
styleElement2.textContent = `
    .field-normal{
        width:340px ;
        max-width:340px ;
        height:45px ;
        padding:0 20px 10px 0 ;
    }
    .field-wide{
        width:100%;
        min-height:45px;
        float:left;
        padding:0 10px 10px 0;
        clear both;
            max-width:100%
    }
    .sdt_disabled input,
    .sdt_disabled select,
    .sdt_disabled textarea{
        background:#f5f5f5;
    }
    #productSearch{
        display:block;
        position:static;
        margin-left:320px;
        margin-top:6px;
        overflow:visible;
    }
    #productDelete{
        position:sticky;
        margin-left:335px;
        overflow:visible;
        margin-top:-50px;
    }
`;
document.head.appendChild(styleElement2);
lookups.push({
    id:"Results_ClassJ",
    searchDialog:{id:"productSearch2",title:'製品No検索',multiple:false}
})
$(document).on('input','#Results_ClassJ',async function(){
    try{
        const productNo = $('#Results_ClassJ');
        const siyouNo = $('#Results_ClassG');
        if(productNo.val() == ""){
            return;
        }
        const arr = productNo.val().split('___');
        $p.set($p.getControl('ClassJ'),arr[0]);
        $p.set($p.getControl('ClassG'),arr[1]);
        const data = await commonGetData(MASTER_TABLES["製品マスタ"],['ClassC','NumA','NumB','NumC','NumD','NumE','NumF','NumG'],{ClassA:productNo.val().replaceAll(' ',''),ClassB:siyouNo.val().replaceAll(' ','')},{},{ClassA:'ExactMatch',ClassB:'ExactMatch'},false,false);
        if(data.length ==0 ){
            alert('指定の製品Noは存在しません。');
            return;
        }
        $p.set($p.getControl('ClassH'),data[0].ClassC);
        $p.set($p.getControl('NumI'),null_to_zero(data[0].NumA,0));
        $p.set($p.getControl('NumJ'),null_to_zero(data[0].NumD,0));
        $p.set($p.getControl('NumK'),null_to_zero(data[0].NumG,0));
        $p.set($p.getControl('NumL'),null_to_zero(data[0].NumB,0));
        $p.set($p.getControl('NumE'),null_to_zero(data[0].NumE,0));
        $p.set($p.getControl('NumF'),null_to_zero(data[0].NumC,0));
        $p.set($p.getControl('NumG'),null_to_zero(data[0].NumF,0));
    }catch(e){
        alert('予期せぬエラーが発生しました。');
        console.error(e);
        return;
    }
})
function initialize(){
    $p.set($p.getControl('ClassJ'),"");
    $p.set($p.getControl('ClassG'),"");
    $p.set($p.getControl('ClassH'),"");
    $p.set($p.getControl('NumI'),"");
    $p.set($p.getControl('NumJ'),"");
    $p.set($p.getControl('NumK'),"");
    $p.set($p.getControl('NumL'),"");
    $p.set($p.getControl('NumE'),"");
    $p.set($p.getControl('NumF'),"");
    $p.set($p.getControl('NumG'),"");
}
$p.events.on_editor_load = function () {
    setDisabled('disabled');
    $('.dialogSearch').off('click');
    if($('#productSearch2Dialog').length == 0){
        $('#Application').append(productSearch_html);
    }
    $('#productSearch').on('click',function(){
        openDialog_for_searchDialog('productSearch2','Results_ClassJ','1300px','製品検索ダイアログ');
    })
}
const productSearch_html = `
&lt;div id="productSearch2Dialog" class="searchDialog ui-dialog-content ui-widget-content" style="display:none; margin-top: 10px; width: auto; min-height: 89.25px; max-height: 90vh; height: auto;"&gt;
        &lt;div style="display: inline-block;width: 33%;vertical-align: top;"&gt;
            &lt;div id="productSearch2_productNoField" class="field-wide both" style=""&gt;
                &lt;p class="field-label"&gt;&lt;label for="productSearch2_productNo" class=""&gt;製品No&lt;/label&gt;&lt;/p&gt;
                &lt;div class="field-control"&gt;
                    &lt;div class="container-normal"&gt;
                        &lt;div class="oneItem"&gt;
                            &lt;input id="productSearch2_productNo" name="productSearch2_productNo" class="control-textbox     " type="text" style=""&gt;
                    &lt;/div&gt;
                    &lt;/div&gt;
                &lt;/div&gt;
                &lt;div class="error-message" id="productSearch2_productNo-error"&gt;&lt;/div&gt;
            &lt;/div&gt;
            &lt;div id="productSearch2_methodNoField" class="field-wide both" style=""&gt;
                &lt;p class="field-label"&gt;&lt;label for="productSearch2_methodNo" class=""&gt;仕様No&lt;/label&gt;&lt;/p&gt;
                &lt;div class="field-control"&gt;
                    &lt;div class="container-normal"&gt;
                        &lt;div class="oneItem"&gt;
                            &lt;input id="productSearch2_methodNo" name="productSearch2_methodNo" class="control-textbox     " type="text" style=""&gt;
                    &lt;/div&gt;
                    &lt;/div&gt;
                &lt;/div&gt;
                &lt;div class="error-message" id="productSearch2_methodNo-error"&gt;&lt;/div&gt;
            &lt;/div&gt;
            &lt;div id="productSearch2_KANJINameField" class="field-wide both" style=""&gt;
                &lt;p class="field-label"&gt;&lt;label for="productSearch2_KANJIName" class=""&gt;漢字名称&lt;/label&gt;&lt;/p&gt;
                &lt;div class="field-control"&gt;
                    &lt;div class="container-normal"&gt;
                        &lt;div class="oneItem"&gt;
                            &lt;input id="productSearch2_KANJIName" name="productSearch2_KANJIName" class="control-textbox     " type="text" style=""&gt;
                    &lt;/div&gt;
                    &lt;/div&gt;
                &lt;/div&gt;
                &lt;div class="error-message" id="productSearch2_KANJIName-error"&gt;&lt;/div&gt;
            &lt;/div&gt;
            &lt;div id="productSearch2_mainSupplierField" class="field-wide both" style=""&gt;
                &lt;p class="field-label"&gt;&lt;label for="productSearch2_mainSupplier" class=""&gt;主仕入先&lt;/label&gt;&lt;/p&gt;
                &lt;div class="field-control"&gt;
                    &lt;div class="container-normal"&gt;
                        &lt;div class="oneItem"&gt;
                            &lt;input id="productSearch2_mainSupplier" name="productSearch2_mainSupplier" class="control-textbox     " type="text" style=""&gt;
                    &lt;/div&gt;
                    &lt;/div&gt;
                &lt;/div&gt;
                &lt;div class="error-message" id="productSearch2_mainSupplier-error"&gt;&lt;/div&gt;
            &lt;/div&gt;
        &lt;/div&gt;&lt;div style="display: inline-block;width: 33%;vertical-align: top;"&gt;
            &lt;div id="productSearch2_WField" class="field-wide both" style=""&gt;
                &lt;p class="field-label"&gt;&lt;label for="productSearch2_W" class=""&gt;W&lt;/label&gt;&lt;/p&gt;
                &lt;div class="field-control"&gt;
                    &lt;div class="container-normal"&gt;
                        &lt;div class="oneItem"&gt;
                            &lt;input id="productSearch2_W" name="productSearch2_W" class="control-textbox     " type="text" style=""&gt;
                    &lt;/div&gt;
                    &lt;/div&gt;
                &lt;/div&gt;
                &lt;div class="error-message" id="productSearch2_W-error"&gt;&lt;/div&gt;
            &lt;/div&gt;
            &lt;div id="productSearch2_DField" class="field-wide both" style=""&gt;
                &lt;p class="field-label"&gt;&lt;label for="productSearch2_D" class=""&gt;D&lt;/label&gt;&lt;/p&gt;
                &lt;div class="field-control"&gt;
                    &lt;div class="container-normal"&gt;
                        &lt;div class="oneItem"&gt;
                            &lt;input id="productSearch2_D" name="productSearch2_D" class="control-textbox     " type="text" style=""&gt;
                    &lt;/div&gt;
                    &lt;/div&gt;
                &lt;/div&gt;
                &lt;div class="error-message" id="productSearch2_D-error"&gt;&lt;/div&gt;
            &lt;/div&gt;
            &lt;div id="productSearch2_HField" class="field-wide both" style=""&gt;
                &lt;p class="field-label"&gt;&lt;label for="productSearch2_H" class=""&gt;H&lt;/label&gt;&lt;/p&gt;
                &lt;div class="field-control"&gt;
                    &lt;div class="container-normal"&gt;
                        &lt;div class="oneItem"&gt;
                            &lt;input id="productSearch2_H" name="productSearch2_H" class="control-textbox     " type="text" style=""&gt;
                    &lt;/div&gt;
                    &lt;/div&gt;
                &lt;/div&gt;
                &lt;div class="error-message" id="productSearch2_H-error"&gt;&lt;/div&gt;
            &lt;/div&gt;
        &lt;/div&gt;&lt;div style="display: inline-block;width: 33%;vertical-align: top;"&gt;
            &lt;div id="productSearch2_D1Field" class="field-wide both" style=""&gt;
                &lt;p class="field-label"&gt;&lt;label for="productSearch2_D1" class=""&gt;D1&lt;/label&gt;&lt;/p&gt;
                &lt;div class="field-control"&gt;
                    &lt;div class="container-normal"&gt;
                        &lt;div class="oneItem"&gt;
                            &lt;input id="productSearch2_D1" name="productSearch2_D1" class="control-textbox     " type="text" style=""&gt;
                    &lt;/div&gt;
                    &lt;/div&gt;
                &lt;/div&gt;
                &lt;div class="error-message" id="productSearch2_D1-error"&gt;&lt;/div&gt;
            &lt;/div&gt;
            &lt;div id="productSearch2_D2Field" class="field-wide both" style=""&gt;
                &lt;p class="field-label"&gt;&lt;label for="productSearch2_D2" class=""&gt;D2&lt;/label&gt;&lt;/p&gt;
                &lt;div class="field-control"&gt;
                    &lt;div class="container-normal"&gt;
                        &lt;div class="oneItem"&gt;
                            &lt;input id="productSearch2_D2" name="productSearch2_D2" class="control-textbox     " type="text" style=""&gt;
                    &lt;/div&gt;
                    &lt;/div&gt;
                &lt;/div&gt;
                &lt;div class="error-message" id="productSearch2_D2-error"&gt;&lt;/div&gt;
            &lt;/div&gt;
            &lt;div id="productSearch2_H1Field" class="field-wide both" style=""&gt;
                &lt;p class="field-label"&gt;&lt;label for="productSearch2_H1" class=""&gt;H1&lt;/label&gt;&lt;/p&gt;
                &lt;div class="field-control"&gt;
                    &lt;div class="container-normal"&gt;
                        &lt;div class="oneItem"&gt;
                            &lt;input id="productSearch2_H1" name="productSearch2_H1" class="control-textbox     " type="text" style=""&gt;
                    &lt;/div&gt;
                    &lt;/div&gt;
                &lt;/div&gt;
                &lt;div class="error-message" id="productSearch2_H1-error"&gt;&lt;/div&gt;
            &lt;/div&gt;
            &lt;div id="productSearch2_H2Field" class="field-wide both" style=""&gt;
                &lt;p class="field-label"&gt;&lt;label for="productSearch2_H2" class=""&gt;H2&lt;/label&gt;&lt;/p&gt;
                &lt;div class="field-control"&gt;
                    &lt;div class="container-normal"&gt;
                        &lt;div class="oneItem"&gt;
                            &lt;input id="productSearch2_H2" name="productSearch2_H2" class="control-textbox     " type="text" style=""&gt;
                    &lt;/div&gt;
                    &lt;/div&gt;
                &lt;/div&gt;
                &lt;div class="error-message" id="productSearch2_H2-error"&gt;&lt;/div&gt;
            &lt;/div&gt;
        &lt;/div&gt;&lt;div style="display: block;"&gt;
            &lt;div style="width:80%; display: flex;justify-content: end;"&gt;
                &lt;button id="productSearch2_searchTable_searchButton" class="button button-icon ui-button ui-corner-all ui-widget applied customized" data-icon="ui-icon-search" type="button" style="z-index: 9999;" onclick="create_searchList($(this));"&gt;
                    &lt;span class="ui-button-icon ui-icon ui-icon-search search" style="position: static;"&gt;&lt;/span&gt;
                    &lt;span class="ui-button-icon-space"&gt; &lt;/span&gt;検索
                &lt;/button&gt;
            &lt;/div&gt;
            &lt;div id="productSearch2_searchTable_readTable" class="ui-dialog-content ui-widget-content" style="display: inline-block; margin-top:20px; width: 98%;margin-left:1%;"&gt;
                &lt;div class="field-vertical " style="width: 100%;"&gt;
                    &lt;div class="field-control"&gt;
                        &lt;div class="container-selectable"&gt;
                            &lt;div class="wrapper h300"&gt;
                                &lt;table class="table searchTable"&gt;
                                    &lt;thead style="position: sticky; top:0; background-color: gold; z-index:9999"&gt;
                                        &lt;tr&gt;
                                            &lt;th style="text-align: center;border-collapse: collapse; display:none;"&gt;&lt;/th&gt;&lt;th style="text-align: center;border-collapse: collapse; "&gt;製品No&lt;/th&gt;&lt;th style="text-align: center;border-collapse: collapse; "&gt;仕様No&lt;/th&gt;&lt;th style="text-align: center;border-collapse: collapse; "&gt;漢字名称&lt;/th&gt;&lt;th style="text-align: center;border-collapse: collapse; "&gt;主仕入先&lt;/th&gt;&lt;th style="text-align: center;border-collapse: collapse; "&gt;W&lt;/th&gt;&lt;th style="text-align: center;border-collapse: collapse; "&gt;D&lt;/th&gt;&lt;th style="text-align: center;border-collapse: collapse; "&gt;H&lt;/th&gt;&lt;th style="text-align: center;border-collapse: collapse; "&gt;D1&lt;/th&gt;&lt;th style="text-align: center;border-collapse: collapse; "&gt;D2&lt;/th&gt;&lt;th style="text-align: center;border-collapse: collapse; "&gt;H1&lt;/th&gt;&lt;th style="text-align: center;border-collapse: collapse; "&gt;H2&lt;/th&gt;&lt;th style="text-align: center;border-collapse: collapse; "&gt;仕入先名&lt;/th&gt;
                                        &lt;/tr&gt;
                                    &lt;/thead&gt;
                                    &lt;tbody&gt;
                                    &lt;/tbody&gt;
                                &lt;/table&gt;
                            &lt;/div&gt;
                        &lt;/div&gt;
                    &lt;/div&gt;
                &lt;/div&gt;
            &lt;/div&gt;
        &lt;/div&gt;
        &lt;div class="command-center"&gt;
            &lt;button id="productSearch2_close" class="button button-icon ui-button ui-corner-all ui-widget applied customized" type="button" onclick="closeDialog('productSearch2Dialog',false);" style="position:relative;"&gt;
                &lt;span class="ui-button-icon ui-icon ui-icon-cancel"&gt;&lt;/span&gt;
                &lt;span class="ui-button-icon-space"&gt; &lt;/span&gt;終了
            &lt;/button&gt;
        &lt;/div&gt;
    &lt;/div&gt;
`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</si>
</sst>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 "/>
  </numFmts>
  <fonts count="20"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11"/>
      <color theme="1"/>
      <name val="游ゴシック"/>
      <family val="3"/>
      <charset val="128"/>
      <scheme val="minor"/>
    </font>
    <font>
      <u/>
      <sz val="11"/>
      <color theme="10"/>
      <name val="游ゴシック"/>
      <family val="2"/>
      <charset val="128"/>
      <scheme val="minor"/>
    </font>
    <font>
      <sz val="10"/>
      <color rgb="FF000000"/>
      <name val="游ゴシック"/>
      <family val="3"/>
      <charset val="128"/>
      <scheme val="minor"/>
    </font>
    <font>
      <sz val="10"/>
      <color rgb="FF000000"/>
      <name val="游ゴシック"/>
      <family val="2"/>
      <scheme val="minor"/>
    </font>
    <font>
      <sz val="10"/>
      <color theme="1"/>
      <name val="游ゴシック"/>
      <family val="2"/>
      <scheme val="minor"/>
    </font>
    <font>
      <sz val="10"/>
      <color rgb="FFFF0000"/>
      <name val="游ゴシック"/>
      <family val="2"/>
      <scheme val="minor"/>
    </font>
    <font>
      <sz val="11"/>
      <color rgb="FF000000"/>
      <name val="Arial"/>
      <family val="2"/>
    </font>
    <font>
      <sz val="10"/>
      <color rgb="FFEA4335"/>
      <name val="游ゴシック"/>
      <family val="2"/>
      <scheme val="minor"/>
    </font>
    <font>
      <sz val="10"/>
      <name val="Arial"/>
      <family val="2"/>
    </font>
    <font>
      <u/>
      <sz val="10"/>
      <color rgb="FF1155CC"/>
      <name val="Arial"/>
      <family val="2"/>
    </font>
    <font>
      <sz val="11"/>
      <color rgb="FF000000"/>
      <name val="游ゴシック"/>
      <family val="3"/>
      <charset val="128"/>
    </font>
    <font>
      <sz val="11"/>
      <color theme="1"/>
      <name val="Arial"/>
      <family val="2"/>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00FFFF"/>
        <bgColor rgb="FF00FFFF"/>
      </patternFill>
    </fill>
    <fill>
      <patternFill patternType="solid">
        <fgColor rgb="FFFFFF00"/>
        <bgColor rgb="FFFFFF00"/>
      </patternFill>
    </fill>
    <fill>
      <patternFill patternType="solid">
        <fgColor rgb="FFD0E0E3"/>
        <bgColor rgb="FFD0E0E3"/>
      </patternFill>
    </fill>
    <fill>
      <patternFill patternType="solid">
        <fgColor rgb="FFFCE5CD"/>
        <bgColor rgb="FFFCE5CD"/>
      </patternFill>
    </fill>
    <fill>
      <patternFill patternType="solid">
        <fgColor rgb="FFFFF2CC"/>
        <bgColor rgb="FFFFF2CC"/>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diagonal/>
    </border>
    <border>
      <left/>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right style="thick">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diagonal/>
    </border>
    <border>
      <left style="thick">
        <color rgb="FF000000"/>
      </left>
      <right style="thick">
        <color rgb="FF000000"/>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style="thin">
        <color rgb="FF000000"/>
      </right>
      <top/>
      <bottom/>
      <diagonal/>
    </border>
    <border>
      <left style="thin">
        <color rgb="FF000000"/>
      </left>
      <right style="thick">
        <color rgb="FF000000"/>
      </right>
      <top/>
      <bottom/>
      <diagonal/>
    </border>
    <border>
      <left style="thin">
        <color rgb="FF000000"/>
      </left>
      <right style="thin">
        <color rgb="FF000000"/>
      </right>
      <top style="thin">
        <color rgb="FF000000"/>
      </top>
      <bottom/>
      <diagonal/>
    </border>
    <border>
      <left style="thick">
        <color auto="1"/>
      </left>
      <right style="thick">
        <color auto="1"/>
      </right>
      <top/>
      <bottom/>
      <diagonal/>
    </border>
    <border>
      <left style="thick">
        <color auto="1"/>
      </left>
      <right/>
      <top style="thick">
        <color auto="1"/>
      </top>
      <bottom style="thin">
        <color auto="1"/>
      </bottom>
      <diagonal/>
    </border>
    <border>
      <left style="thick">
        <color auto="1"/>
      </left>
      <right/>
      <top style="thin">
        <color auto="1"/>
      </top>
      <bottom style="thick">
        <color auto="1"/>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ck">
        <color auto="1"/>
      </bottom>
      <diagonal/>
    </border>
  </borders>
  <cellStyleXfs count="4">
    <xf numFmtId="0" fontId="0" fillId="0" borderId="0">
      <alignment vertical="center"/>
    </xf>
    <xf numFmtId="0" fontId="4" fillId="0" borderId="0"/>
    <xf numFmtId="0" fontId="9" fillId="0" borderId="0" applyNumberFormat="0" applyFill="0" applyBorder="0" applyAlignment="0" applyProtection="0">
      <alignment vertical="center"/>
    </xf>
    <xf numFmtId="0" fontId="11" fillId="0" borderId="0"/>
  </cellStyleXfs>
  <cellXfs count="189">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pplyBorder="1">
      <alignmen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18" xfId="0" applyFont="1" applyFill="1" applyBorder="1" applyAlignment="1">
      <alignment vertical="center"/>
    </xf>
    <xf numFmtId="0" fontId="3" fillId="5" borderId="19" xfId="0" applyFont="1" applyFill="1" applyBorder="1" applyAlignment="1">
      <alignment horizontal="center" vertical="center"/>
    </xf>
    <xf numFmtId="0" fontId="3" fillId="5" borderId="17" xfId="0" applyFont="1" applyFill="1" applyBorder="1" applyAlignment="1">
      <alignment vertical="center"/>
    </xf>
    <xf numFmtId="0" fontId="3" fillId="5" borderId="22" xfId="0" applyFont="1" applyFill="1" applyBorder="1" applyAlignment="1">
      <alignment vertical="center"/>
    </xf>
    <xf numFmtId="0" fontId="6" fillId="2" borderId="0" xfId="0" applyFont="1" applyFill="1" applyBorder="1">
      <alignment vertical="center"/>
    </xf>
    <xf numFmtId="0" fontId="3" fillId="2" borderId="2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30" xfId="0" applyFont="1" applyFill="1" applyBorder="1">
      <alignment vertical="center"/>
    </xf>
    <xf numFmtId="0" fontId="3" fillId="2" borderId="31"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1" xfId="0" applyFont="1" applyFill="1" applyBorder="1" applyAlignment="1">
      <alignment vertical="center"/>
    </xf>
    <xf numFmtId="0" fontId="3" fillId="5" borderId="33" xfId="0" applyFont="1" applyFill="1" applyBorder="1" applyAlignment="1">
      <alignment vertical="center" wrapText="1"/>
    </xf>
    <xf numFmtId="0" fontId="3" fillId="0" borderId="15" xfId="0" applyFont="1" applyFill="1" applyBorder="1">
      <alignment vertical="center"/>
    </xf>
    <xf numFmtId="0" fontId="3" fillId="5" borderId="36" xfId="0" applyFont="1" applyFill="1" applyBorder="1" applyAlignment="1">
      <alignment vertical="center" wrapText="1"/>
    </xf>
    <xf numFmtId="0" fontId="3" fillId="2" borderId="37" xfId="0" applyFont="1" applyFill="1" applyBorder="1" applyAlignment="1">
      <alignment vertical="center"/>
    </xf>
    <xf numFmtId="0" fontId="3" fillId="2" borderId="35" xfId="0" applyFont="1" applyFill="1" applyBorder="1" applyAlignment="1">
      <alignment vertical="center"/>
    </xf>
    <xf numFmtId="0" fontId="8" fillId="0" borderId="0" xfId="0" applyFont="1">
      <alignment vertical="center"/>
    </xf>
    <xf numFmtId="0" fontId="7" fillId="2" borderId="0" xfId="0" applyFont="1" applyFill="1" applyBorder="1">
      <alignment vertical="center"/>
    </xf>
    <xf numFmtId="0" fontId="3" fillId="2" borderId="38" xfId="0" applyFont="1" applyFill="1" applyBorder="1" applyAlignment="1">
      <alignment vertical="center"/>
    </xf>
    <xf numFmtId="0" fontId="3" fillId="2" borderId="39" xfId="0" applyFont="1" applyFill="1" applyBorder="1" applyAlignment="1">
      <alignment vertical="center"/>
    </xf>
    <xf numFmtId="0" fontId="12" fillId="0" borderId="0" xfId="3" applyFont="1" applyAlignment="1"/>
    <xf numFmtId="0" fontId="12" fillId="6" borderId="0" xfId="3" applyFont="1" applyFill="1" applyAlignment="1"/>
    <xf numFmtId="0" fontId="13" fillId="7" borderId="0" xfId="3" applyFont="1" applyFill="1" applyAlignment="1"/>
    <xf numFmtId="0" fontId="10" fillId="0" borderId="0" xfId="3" applyFont="1" applyAlignment="1"/>
    <xf numFmtId="0" fontId="12" fillId="9" borderId="42" xfId="3" applyFont="1" applyFill="1" applyBorder="1" applyAlignment="1">
      <alignment vertical="top"/>
    </xf>
    <xf numFmtId="0" fontId="15" fillId="7" borderId="42" xfId="3" applyFont="1" applyFill="1" applyBorder="1" applyAlignment="1">
      <alignment vertical="top"/>
    </xf>
    <xf numFmtId="0" fontId="12" fillId="0" borderId="42" xfId="3" applyFont="1" applyBorder="1" applyAlignment="1">
      <alignment vertical="top"/>
    </xf>
    <xf numFmtId="0" fontId="12" fillId="0" borderId="42" xfId="3" applyFont="1" applyBorder="1"/>
    <xf numFmtId="0" fontId="12" fillId="0" borderId="43" xfId="3" applyFont="1" applyBorder="1"/>
    <xf numFmtId="0" fontId="12" fillId="9" borderId="46" xfId="3" applyFont="1" applyFill="1" applyBorder="1" applyAlignment="1">
      <alignment vertical="top"/>
    </xf>
    <xf numFmtId="0" fontId="15" fillId="7" borderId="46" xfId="3" applyFont="1" applyFill="1" applyBorder="1" applyAlignment="1">
      <alignment vertical="top"/>
    </xf>
    <xf numFmtId="0" fontId="12" fillId="0" borderId="46" xfId="3" applyFont="1" applyBorder="1" applyAlignment="1">
      <alignment vertical="top"/>
    </xf>
    <xf numFmtId="0" fontId="12" fillId="0" borderId="46" xfId="3" applyFont="1" applyBorder="1"/>
    <xf numFmtId="0" fontId="12" fillId="0" borderId="47" xfId="3" applyFont="1" applyBorder="1"/>
    <xf numFmtId="0" fontId="17" fillId="6" borderId="46" xfId="3" applyFont="1" applyFill="1" applyBorder="1" applyAlignment="1">
      <alignment vertical="top"/>
    </xf>
    <xf numFmtId="0" fontId="12" fillId="6" borderId="46" xfId="3" applyFont="1" applyFill="1" applyBorder="1" applyAlignment="1">
      <alignment vertical="top"/>
    </xf>
    <xf numFmtId="0" fontId="12" fillId="9" borderId="50" xfId="3" applyFont="1" applyFill="1" applyBorder="1" applyAlignment="1">
      <alignment vertical="top"/>
    </xf>
    <xf numFmtId="0" fontId="15" fillId="7" borderId="50" xfId="3" applyFont="1" applyFill="1" applyBorder="1" applyAlignment="1">
      <alignment vertical="top"/>
    </xf>
    <xf numFmtId="0" fontId="12" fillId="0" borderId="50" xfId="3" applyFont="1" applyBorder="1" applyAlignment="1">
      <alignment vertical="top"/>
    </xf>
    <xf numFmtId="0" fontId="12" fillId="0" borderId="50" xfId="3" applyFont="1" applyBorder="1"/>
    <xf numFmtId="0" fontId="12" fillId="0" borderId="51" xfId="3" applyFont="1" applyBorder="1"/>
    <xf numFmtId="0" fontId="18" fillId="9" borderId="52" xfId="3" applyFont="1" applyFill="1" applyBorder="1" applyAlignment="1">
      <alignment vertical="top"/>
    </xf>
    <xf numFmtId="0" fontId="18" fillId="9" borderId="53" xfId="3" applyFont="1" applyFill="1" applyBorder="1" applyAlignment="1">
      <alignment vertical="top"/>
    </xf>
    <xf numFmtId="0" fontId="12" fillId="9" borderId="53" xfId="3" applyFont="1" applyFill="1" applyBorder="1" applyAlignment="1">
      <alignment vertical="top"/>
    </xf>
    <xf numFmtId="0" fontId="12" fillId="6" borderId="53" xfId="3" applyFont="1" applyFill="1" applyBorder="1" applyAlignment="1">
      <alignment vertical="top"/>
    </xf>
    <xf numFmtId="0" fontId="12" fillId="0" borderId="53" xfId="3" applyFont="1" applyBorder="1" applyAlignment="1">
      <alignment vertical="top"/>
    </xf>
    <xf numFmtId="0" fontId="12" fillId="0" borderId="53" xfId="3" applyFont="1" applyBorder="1"/>
    <xf numFmtId="0" fontId="12" fillId="0" borderId="54" xfId="3" applyFont="1" applyBorder="1" applyAlignment="1">
      <alignment vertical="top"/>
    </xf>
    <xf numFmtId="0" fontId="18" fillId="9" borderId="42" xfId="3" applyFont="1" applyFill="1" applyBorder="1" applyAlignment="1">
      <alignment vertical="top"/>
    </xf>
    <xf numFmtId="0" fontId="12" fillId="6" borderId="42" xfId="3" applyFont="1" applyFill="1" applyBorder="1" applyAlignment="1">
      <alignment vertical="top"/>
    </xf>
    <xf numFmtId="0" fontId="12" fillId="0" borderId="43" xfId="3" applyFont="1" applyBorder="1" applyAlignment="1">
      <alignment vertical="top"/>
    </xf>
    <xf numFmtId="0" fontId="18" fillId="9" borderId="46" xfId="3" applyFont="1" applyFill="1" applyBorder="1" applyAlignment="1">
      <alignment vertical="top"/>
    </xf>
    <xf numFmtId="0" fontId="12" fillId="0" borderId="47" xfId="3" applyFont="1" applyBorder="1" applyAlignment="1">
      <alignment vertical="top"/>
    </xf>
    <xf numFmtId="0" fontId="18" fillId="9" borderId="50" xfId="3" applyFont="1" applyFill="1" applyBorder="1" applyAlignment="1">
      <alignment vertical="top"/>
    </xf>
    <xf numFmtId="0" fontId="12" fillId="6" borderId="50" xfId="3" applyFont="1" applyFill="1" applyBorder="1" applyAlignment="1">
      <alignment vertical="top"/>
    </xf>
    <xf numFmtId="0" fontId="12" fillId="0" borderId="51" xfId="3" applyFont="1" applyBorder="1" applyAlignment="1">
      <alignment vertical="top"/>
    </xf>
    <xf numFmtId="0" fontId="12" fillId="9" borderId="55" xfId="3" applyFont="1" applyFill="1" applyBorder="1" applyAlignment="1">
      <alignment vertical="top"/>
    </xf>
    <xf numFmtId="0" fontId="12" fillId="6" borderId="55" xfId="3" applyFont="1" applyFill="1" applyBorder="1" applyAlignment="1">
      <alignment vertical="top"/>
    </xf>
    <xf numFmtId="0" fontId="12" fillId="6" borderId="43" xfId="3" applyFont="1" applyFill="1" applyBorder="1" applyAlignment="1">
      <alignment vertical="top"/>
    </xf>
    <xf numFmtId="0" fontId="12" fillId="6" borderId="51" xfId="3" applyFont="1" applyFill="1" applyBorder="1" applyAlignment="1">
      <alignment vertical="top"/>
    </xf>
    <xf numFmtId="0" fontId="14" fillId="10" borderId="0" xfId="3" applyFont="1" applyFill="1" applyAlignment="1"/>
    <xf numFmtId="0" fontId="19" fillId="10" borderId="0" xfId="3" applyFont="1" applyFill="1" applyAlignment="1"/>
    <xf numFmtId="0" fontId="19" fillId="10" borderId="0" xfId="3" applyFont="1" applyFill="1"/>
    <xf numFmtId="0" fontId="1" fillId="2" borderId="0" xfId="0" applyFont="1" applyFill="1" applyBorder="1">
      <alignment vertical="center"/>
    </xf>
    <xf numFmtId="0" fontId="3" fillId="2" borderId="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 xfId="0" applyFont="1" applyFill="1" applyBorder="1" applyAlignment="1">
      <alignment horizontal="center" vertical="center"/>
    </xf>
    <xf numFmtId="0" fontId="3" fillId="5" borderId="18" xfId="0" applyFont="1" applyFill="1" applyBorder="1" applyAlignment="1">
      <alignment horizontal="center" vertical="center"/>
    </xf>
    <xf numFmtId="0" fontId="1" fillId="2" borderId="5" xfId="0" applyFont="1" applyFill="1" applyBorder="1" applyAlignment="1">
      <alignment vertical="center"/>
    </xf>
    <xf numFmtId="0" fontId="1" fillId="2" borderId="2" xfId="0" applyFont="1" applyFill="1" applyBorder="1" applyAlignment="1">
      <alignment vertical="center"/>
    </xf>
    <xf numFmtId="0" fontId="1" fillId="2" borderId="26" xfId="0" applyFont="1" applyFill="1" applyBorder="1" applyAlignment="1">
      <alignment vertical="center"/>
    </xf>
    <xf numFmtId="0" fontId="3" fillId="0" borderId="56" xfId="0" applyFont="1" applyFill="1" applyBorder="1">
      <alignment vertical="center"/>
    </xf>
    <xf numFmtId="0" fontId="3" fillId="5" borderId="17" xfId="0" applyFont="1" applyFill="1" applyBorder="1" applyAlignment="1">
      <alignment vertical="center" wrapText="1"/>
    </xf>
    <xf numFmtId="0" fontId="3" fillId="2" borderId="5" xfId="0" applyFont="1" applyFill="1" applyBorder="1" applyAlignment="1">
      <alignment vertical="center"/>
    </xf>
    <xf numFmtId="0" fontId="3" fillId="2" borderId="2" xfId="0" applyFont="1" applyFill="1" applyBorder="1" applyAlignment="1">
      <alignment vertical="center"/>
    </xf>
    <xf numFmtId="0" fontId="3" fillId="2" borderId="26" xfId="0" applyFont="1" applyFill="1" applyBorder="1" applyAlignment="1">
      <alignment vertical="center"/>
    </xf>
    <xf numFmtId="0" fontId="3" fillId="5" borderId="36" xfId="0" applyFont="1" applyFill="1" applyBorder="1" applyAlignment="1">
      <alignment vertical="center"/>
    </xf>
    <xf numFmtId="0" fontId="3" fillId="5" borderId="19" xfId="0" applyFont="1" applyFill="1" applyBorder="1" applyAlignment="1">
      <alignment horizontal="center" vertical="center" wrapText="1"/>
    </xf>
    <xf numFmtId="0" fontId="3" fillId="5" borderId="33" xfId="0" applyFont="1" applyFill="1" applyBorder="1" applyAlignment="1">
      <alignment vertical="center"/>
    </xf>
    <xf numFmtId="0" fontId="1" fillId="2" borderId="35" xfId="0" applyFont="1" applyFill="1" applyBorder="1" applyAlignment="1">
      <alignment vertical="center"/>
    </xf>
    <xf numFmtId="0" fontId="0" fillId="0" borderId="56" xfId="0" applyBorder="1">
      <alignment vertical="center"/>
    </xf>
    <xf numFmtId="0" fontId="0" fillId="0" borderId="0" xfId="0" applyBorder="1" applyAlignment="1">
      <alignment vertical="center"/>
    </xf>
    <xf numFmtId="0" fontId="0" fillId="0" borderId="0" xfId="0" applyAlignment="1">
      <alignment vertical="center"/>
    </xf>
    <xf numFmtId="0" fontId="0" fillId="0" borderId="56" xfId="0" applyBorder="1" applyAlignment="1">
      <alignment vertical="center"/>
    </xf>
    <xf numFmtId="0" fontId="1" fillId="2" borderId="38" xfId="0" applyFont="1" applyFill="1" applyBorder="1" applyAlignment="1">
      <alignment vertical="center"/>
    </xf>
    <xf numFmtId="0" fontId="3" fillId="2" borderId="5" xfId="0" applyFont="1" applyFill="1" applyBorder="1" applyAlignment="1">
      <alignment vertical="center" wrapText="1"/>
    </xf>
    <xf numFmtId="0" fontId="3" fillId="2" borderId="26" xfId="0" applyFont="1" applyFill="1" applyBorder="1" applyAlignment="1">
      <alignment vertical="center" wrapText="1"/>
    </xf>
    <xf numFmtId="0" fontId="1" fillId="2" borderId="37" xfId="0" applyFont="1" applyFill="1" applyBorder="1" applyAlignment="1">
      <alignment vertical="center"/>
    </xf>
    <xf numFmtId="0" fontId="3" fillId="5" borderId="19" xfId="0" applyFont="1" applyFill="1" applyBorder="1" applyAlignment="1">
      <alignment vertical="center"/>
    </xf>
    <xf numFmtId="0" fontId="1" fillId="2" borderId="27" xfId="0" applyFont="1" applyFill="1" applyBorder="1" applyAlignment="1">
      <alignment vertical="center"/>
    </xf>
    <xf numFmtId="0" fontId="3" fillId="5" borderId="57" xfId="0" applyFont="1" applyFill="1" applyBorder="1" applyAlignment="1">
      <alignment vertical="center"/>
    </xf>
    <xf numFmtId="0" fontId="1" fillId="2" borderId="58" xfId="0" applyFont="1" applyFill="1" applyBorder="1" applyAlignment="1">
      <alignment vertical="center"/>
    </xf>
    <xf numFmtId="0" fontId="3" fillId="5" borderId="19" xfId="0" applyFont="1" applyFill="1" applyBorder="1" applyAlignment="1">
      <alignment vertical="center" wrapText="1"/>
    </xf>
    <xf numFmtId="0" fontId="3" fillId="5" borderId="59" xfId="0" applyFont="1" applyFill="1" applyBorder="1" applyAlignment="1">
      <alignment vertical="center"/>
    </xf>
    <xf numFmtId="0" fontId="1" fillId="2" borderId="60" xfId="0" applyFont="1" applyFill="1" applyBorder="1" applyAlignment="1">
      <alignment vertical="center"/>
    </xf>
    <xf numFmtId="0" fontId="1" fillId="2" borderId="7" xfId="0" applyFont="1" applyFill="1" applyBorder="1" applyAlignment="1">
      <alignment horizontal="left" vertical="center"/>
    </xf>
    <xf numFmtId="0" fontId="1" fillId="2" borderId="37" xfId="0" applyFont="1" applyFill="1" applyBorder="1" applyAlignment="1">
      <alignment horizontal="left" vertical="center"/>
    </xf>
    <xf numFmtId="0" fontId="1" fillId="2" borderId="32" xfId="0" applyFont="1" applyFill="1" applyBorder="1" applyAlignment="1">
      <alignment horizontal="left" vertical="center"/>
    </xf>
    <xf numFmtId="0" fontId="1" fillId="2" borderId="35" xfId="0" applyFont="1" applyFill="1" applyBorder="1" applyAlignment="1">
      <alignment horizontal="left" vertical="center"/>
    </xf>
    <xf numFmtId="0" fontId="1" fillId="2" borderId="23" xfId="0" applyFont="1" applyFill="1" applyBorder="1" applyAlignment="1">
      <alignment horizontal="left" vertical="center"/>
    </xf>
    <xf numFmtId="0" fontId="1" fillId="2" borderId="34" xfId="0" applyFont="1" applyFill="1" applyBorder="1" applyAlignment="1">
      <alignment horizontal="left" vertical="center"/>
    </xf>
    <xf numFmtId="0" fontId="1" fillId="2" borderId="1" xfId="0" applyFont="1" applyFill="1" applyBorder="1" applyAlignment="1">
      <alignment vertical="center"/>
    </xf>
    <xf numFmtId="0" fontId="3" fillId="2" borderId="6" xfId="0" applyFont="1" applyFill="1" applyBorder="1" applyAlignment="1">
      <alignment horizontal="center" vertical="center"/>
    </xf>
    <xf numFmtId="0" fontId="6" fillId="0" borderId="0" xfId="0" applyFont="1" applyFill="1" applyBorder="1">
      <alignment vertical="center"/>
    </xf>
    <xf numFmtId="0" fontId="3" fillId="5" borderId="33"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36"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7" xfId="0" applyFont="1" applyFill="1" applyBorder="1" applyAlignment="1">
      <alignment horizontal="center" vertical="center"/>
    </xf>
    <xf numFmtId="0" fontId="0" fillId="0" borderId="5" xfId="0" applyBorder="1">
      <alignment vertical="center"/>
    </xf>
    <xf numFmtId="0" fontId="0" fillId="0" borderId="38" xfId="0" applyBorder="1">
      <alignment vertical="center"/>
    </xf>
    <xf numFmtId="0" fontId="0" fillId="0" borderId="26" xfId="0" applyBorder="1">
      <alignment vertical="center"/>
    </xf>
    <xf numFmtId="0" fontId="3" fillId="2" borderId="35" xfId="0" applyFont="1" applyFill="1" applyBorder="1" applyAlignment="1">
      <alignment horizontal="center" vertical="center"/>
    </xf>
    <xf numFmtId="0" fontId="1" fillId="2" borderId="10" xfId="0" applyFont="1" applyFill="1" applyBorder="1" applyAlignment="1">
      <alignment vertical="center"/>
    </xf>
    <xf numFmtId="0" fontId="1" fillId="2" borderId="1" xfId="0" applyFont="1" applyFill="1" applyBorder="1" applyAlignment="1">
      <alignment vertical="center" wrapText="1"/>
    </xf>
    <xf numFmtId="0" fontId="5" fillId="4" borderId="5" xfId="0" applyFont="1" applyFill="1" applyBorder="1" applyAlignment="1">
      <alignment horizontal="center" vertical="center"/>
    </xf>
    <xf numFmtId="0" fontId="5" fillId="4" borderId="7" xfId="0" applyFont="1" applyFill="1" applyBorder="1" applyAlignment="1">
      <alignment horizontal="center" vertical="center"/>
    </xf>
    <xf numFmtId="0" fontId="3" fillId="2" borderId="5"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9" fillId="0" borderId="5" xfId="2"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5" fillId="4"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8"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9"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14" fillId="8" borderId="40" xfId="3" applyFont="1" applyFill="1" applyBorder="1" applyAlignment="1">
      <alignment vertical="top"/>
    </xf>
    <xf numFmtId="0" fontId="16" fillId="0" borderId="44" xfId="3" applyFont="1" applyBorder="1"/>
    <xf numFmtId="0" fontId="16" fillId="0" borderId="48" xfId="3" applyFont="1" applyBorder="1"/>
    <xf numFmtId="0" fontId="12" fillId="9" borderId="41" xfId="3" applyFont="1" applyFill="1" applyBorder="1" applyAlignment="1">
      <alignment vertical="top"/>
    </xf>
    <xf numFmtId="0" fontId="16" fillId="0" borderId="45" xfId="3" applyFont="1" applyBorder="1"/>
    <xf numFmtId="0" fontId="16" fillId="0" borderId="49" xfId="3" applyFont="1" applyBorder="1"/>
    <xf numFmtId="0" fontId="12" fillId="8" borderId="40" xfId="3" applyFont="1" applyFill="1" applyBorder="1" applyAlignment="1">
      <alignment vertical="top"/>
    </xf>
    <xf numFmtId="0" fontId="18" fillId="9" borderId="41" xfId="3" applyFont="1" applyFill="1" applyBorder="1" applyAlignment="1">
      <alignment vertical="top"/>
    </xf>
  </cellXfs>
  <cellStyles count="4">
    <cellStyle name="ハイパーリンク" xfId="2" builtinId="8"/>
    <cellStyle name="標準" xfId="0" builtinId="0"/>
    <cellStyle name="標準 2" xfId="3"/>
    <cellStyle name="標準 2 2" xfId="1"/>
  </cellStyles>
  <dxfs count="0"/>
  <tableStyles count="0" defaultTableStyle="TableStyleMedium2" defaultPivotStyle="PivotStyleLight16"/>
  <colors>
    <mruColors>
      <color rgb="FF222A35"/>
      <color rgb="FFADB9CA"/>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image" Target="../media/image6.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65</xdr:col>
          <xdr:colOff>7620</xdr:colOff>
          <xdr:row>4</xdr:row>
          <xdr:rowOff>7620</xdr:rowOff>
        </xdr:to>
        <xdr:pic>
          <xdr:nvPicPr>
            <xdr:cNvPr id="3" name="図 2"/>
            <xdr:cNvPicPr>
              <a:picLocks noChangeAspect="1" noChangeArrowheads="1"/>
              <a:extLst>
                <a:ext uri="{84589F7E-364E-4C9E-8A38-B11213B215E9}">
                  <a14:cameraTool cellRange="変更履歴!$B$2:$BM$4" spid="_x0000_s4314"/>
                </a:ext>
              </a:extLst>
            </xdr:cNvPicPr>
          </xdr:nvPicPr>
          <xdr:blipFill>
            <a:blip xmlns:r="http://schemas.openxmlformats.org/officeDocument/2006/relationships" r:embed="rId1"/>
            <a:srcRect/>
            <a:stretch>
              <a:fillRect/>
            </a:stretch>
          </xdr:blipFill>
          <xdr:spPr bwMode="auto">
            <a:xfrm>
              <a:off x="83820" y="60960"/>
              <a:ext cx="18051780" cy="762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23</xdr:col>
          <xdr:colOff>266700</xdr:colOff>
          <xdr:row>4</xdr:row>
          <xdr:rowOff>0</xdr:rowOff>
        </xdr:to>
        <xdr:pic>
          <xdr:nvPicPr>
            <xdr:cNvPr id="3" name="図 2"/>
            <xdr:cNvPicPr>
              <a:picLocks noChangeAspect="1" noChangeArrowheads="1"/>
              <a:extLst>
                <a:ext uri="{84589F7E-364E-4C9E-8A38-B11213B215E9}">
                  <a14:cameraTool cellRange="変更履歴!$B$2:$BM$4" spid="_x0000_s1244"/>
                </a:ext>
              </a:extLst>
            </xdr:cNvPicPr>
          </xdr:nvPicPr>
          <xdr:blipFill>
            <a:blip xmlns:r="http://schemas.openxmlformats.org/officeDocument/2006/relationships" r:embed="rId1"/>
            <a:srcRect/>
            <a:stretch>
              <a:fillRect/>
            </a:stretch>
          </xdr:blipFill>
          <xdr:spPr bwMode="auto">
            <a:xfrm>
              <a:off x="83820" y="60960"/>
              <a:ext cx="1437894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104775</xdr:colOff>
      <xdr:row>37</xdr:row>
      <xdr:rowOff>19050</xdr:rowOff>
    </xdr:from>
    <xdr:to>
      <xdr:col>13</xdr:col>
      <xdr:colOff>152400</xdr:colOff>
      <xdr:row>59</xdr:row>
      <xdr:rowOff>133350</xdr:rowOff>
    </xdr:to>
    <xdr:sp macro="" textlink="">
      <xdr:nvSpPr>
        <xdr:cNvPr id="5" name="正方形/長方形 4"/>
        <xdr:cNvSpPr/>
      </xdr:nvSpPr>
      <xdr:spPr>
        <a:xfrm>
          <a:off x="8791575" y="8820150"/>
          <a:ext cx="2914650" cy="5562600"/>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機能なし</a:t>
          </a:r>
        </a:p>
      </xdr:txBody>
    </xdr:sp>
    <xdr:clientData/>
  </xdr:twoCellAnchor>
  <xdr:twoCellAnchor editAs="oneCell">
    <xdr:from>
      <xdr:col>2</xdr:col>
      <xdr:colOff>0</xdr:colOff>
      <xdr:row>6</xdr:row>
      <xdr:rowOff>0</xdr:rowOff>
    </xdr:from>
    <xdr:to>
      <xdr:col>19</xdr:col>
      <xdr:colOff>0</xdr:colOff>
      <xdr:row>34</xdr:row>
      <xdr:rowOff>193553</xdr:rowOff>
    </xdr:to>
    <xdr:pic>
      <xdr:nvPicPr>
        <xdr:cNvPr id="2" name="図 1"/>
        <xdr:cNvPicPr>
          <a:picLocks noChangeAspect="1"/>
        </xdr:cNvPicPr>
      </xdr:nvPicPr>
      <xdr:blipFill>
        <a:blip xmlns:r="http://schemas.openxmlformats.org/officeDocument/2006/relationships" r:embed="rId2"/>
        <a:stretch>
          <a:fillRect/>
        </a:stretch>
      </xdr:blipFill>
      <xdr:spPr>
        <a:xfrm>
          <a:off x="358140" y="1127760"/>
          <a:ext cx="12740640" cy="7234433"/>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37</xdr:col>
          <xdr:colOff>83820</xdr:colOff>
          <xdr:row>4</xdr:row>
          <xdr:rowOff>0</xdr:rowOff>
        </xdr:to>
        <xdr:pic>
          <xdr:nvPicPr>
            <xdr:cNvPr id="3" name="図 2"/>
            <xdr:cNvPicPr>
              <a:picLocks noChangeAspect="1" noChangeArrowheads="1"/>
              <a:extLst>
                <a:ext uri="{84589F7E-364E-4C9E-8A38-B11213B215E9}">
                  <a14:cameraTool cellRange="変更履歴!$B$2:$BM$4" spid="_x0000_s5342"/>
                </a:ext>
              </a:extLst>
            </xdr:cNvPicPr>
          </xdr:nvPicPr>
          <xdr:blipFill>
            <a:blip xmlns:r="http://schemas.openxmlformats.org/officeDocument/2006/relationships" r:embed="rId1"/>
            <a:srcRect/>
            <a:stretch>
              <a:fillRect/>
            </a:stretch>
          </xdr:blipFill>
          <xdr:spPr bwMode="auto">
            <a:xfrm>
              <a:off x="83820" y="60960"/>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219074</xdr:colOff>
      <xdr:row>6</xdr:row>
      <xdr:rowOff>219075</xdr:rowOff>
    </xdr:from>
    <xdr:to>
      <xdr:col>38</xdr:col>
      <xdr:colOff>133350</xdr:colOff>
      <xdr:row>20</xdr:row>
      <xdr:rowOff>71718</xdr:rowOff>
    </xdr:to>
    <xdr:sp macro="" textlink="">
      <xdr:nvSpPr>
        <xdr:cNvPr id="4" name="正方形/長方形 3"/>
        <xdr:cNvSpPr/>
      </xdr:nvSpPr>
      <xdr:spPr>
        <a:xfrm>
          <a:off x="304799" y="1343025"/>
          <a:ext cx="18297526" cy="4034118"/>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twoCellAnchor>
    <xdr:from>
      <xdr:col>38</xdr:col>
      <xdr:colOff>266699</xdr:colOff>
      <xdr:row>6</xdr:row>
      <xdr:rowOff>190500</xdr:rowOff>
    </xdr:from>
    <xdr:to>
      <xdr:col>104</xdr:col>
      <xdr:colOff>190499</xdr:colOff>
      <xdr:row>20</xdr:row>
      <xdr:rowOff>43143</xdr:rowOff>
    </xdr:to>
    <xdr:sp macro="" textlink="">
      <xdr:nvSpPr>
        <xdr:cNvPr id="5" name="正方形/長方形 4"/>
        <xdr:cNvSpPr/>
      </xdr:nvSpPr>
      <xdr:spPr>
        <a:xfrm>
          <a:off x="18735674" y="1314450"/>
          <a:ext cx="39957375" cy="4034118"/>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46</xdr:col>
          <xdr:colOff>159571</xdr:colOff>
          <xdr:row>4</xdr:row>
          <xdr:rowOff>1345</xdr:rowOff>
        </xdr:to>
        <xdr:pic>
          <xdr:nvPicPr>
            <xdr:cNvPr id="3" name="図 2"/>
            <xdr:cNvPicPr>
              <a:picLocks noChangeAspect="1" noChangeArrowheads="1"/>
              <a:extLst>
                <a:ext uri="{84589F7E-364E-4C9E-8A38-B11213B215E9}">
                  <a14:cameraTool cellRange="変更履歴!$B$2:$BM$4" spid="_x0000_s6364"/>
                </a:ext>
              </a:extLst>
            </xdr:cNvPicPr>
          </xdr:nvPicPr>
          <xdr:blipFill>
            <a:blip xmlns:r="http://schemas.openxmlformats.org/officeDocument/2006/relationships" r:embed="rId1"/>
            <a:srcRect/>
            <a:stretch>
              <a:fillRect/>
            </a:stretch>
          </xdr:blipFill>
          <xdr:spPr bwMode="auto">
            <a:xfrm>
              <a:off x="80682" y="62753"/>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145677</xdr:colOff>
      <xdr:row>6</xdr:row>
      <xdr:rowOff>190500</xdr:rowOff>
    </xdr:from>
    <xdr:to>
      <xdr:col>18</xdr:col>
      <xdr:colOff>179294</xdr:colOff>
      <xdr:row>20</xdr:row>
      <xdr:rowOff>100853</xdr:rowOff>
    </xdr:to>
    <xdr:sp macro="" textlink="">
      <xdr:nvSpPr>
        <xdr:cNvPr id="4" name="正方形/長方形 3"/>
        <xdr:cNvSpPr/>
      </xdr:nvSpPr>
      <xdr:spPr>
        <a:xfrm>
          <a:off x="235324" y="1311088"/>
          <a:ext cx="10197352" cy="4034118"/>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32</xdr:col>
          <xdr:colOff>356795</xdr:colOff>
          <xdr:row>4</xdr:row>
          <xdr:rowOff>1345</xdr:rowOff>
        </xdr:to>
        <xdr:pic>
          <xdr:nvPicPr>
            <xdr:cNvPr id="2" name="図 1"/>
            <xdr:cNvPicPr>
              <a:picLocks noChangeAspect="1" noChangeArrowheads="1"/>
              <a:extLst>
                <a:ext uri="{84589F7E-364E-4C9E-8A38-B11213B215E9}">
                  <a14:cameraTool cellRange="変更履歴!$B$2:$BM$4" spid="_x0000_s7387"/>
                </a:ext>
              </a:extLst>
            </xdr:cNvPicPr>
          </xdr:nvPicPr>
          <xdr:blipFill>
            <a:blip xmlns:r="http://schemas.openxmlformats.org/officeDocument/2006/relationships" r:embed="rId1"/>
            <a:srcRect/>
            <a:stretch>
              <a:fillRect/>
            </a:stretch>
          </xdr:blipFill>
          <xdr:spPr bwMode="auto">
            <a:xfrm>
              <a:off x="80682" y="62753"/>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35</xdr:col>
      <xdr:colOff>156882</xdr:colOff>
      <xdr:row>6</xdr:row>
      <xdr:rowOff>235324</xdr:rowOff>
    </xdr:from>
    <xdr:to>
      <xdr:col>99</xdr:col>
      <xdr:colOff>179293</xdr:colOff>
      <xdr:row>19</xdr:row>
      <xdr:rowOff>161365</xdr:rowOff>
    </xdr:to>
    <xdr:sp macro="" textlink="">
      <xdr:nvSpPr>
        <xdr:cNvPr id="3" name="正方形/長方形 2"/>
        <xdr:cNvSpPr/>
      </xdr:nvSpPr>
      <xdr:spPr>
        <a:xfrm>
          <a:off x="21515294" y="1355912"/>
          <a:ext cx="50661793" cy="3355041"/>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twoCellAnchor>
    <xdr:from>
      <xdr:col>1</xdr:col>
      <xdr:colOff>145677</xdr:colOff>
      <xdr:row>6</xdr:row>
      <xdr:rowOff>156882</xdr:rowOff>
    </xdr:from>
    <xdr:to>
      <xdr:col>35</xdr:col>
      <xdr:colOff>56030</xdr:colOff>
      <xdr:row>20</xdr:row>
      <xdr:rowOff>123264</xdr:rowOff>
    </xdr:to>
    <xdr:sp macro="" textlink="">
      <xdr:nvSpPr>
        <xdr:cNvPr id="4" name="正方形/長方形 3"/>
        <xdr:cNvSpPr/>
      </xdr:nvSpPr>
      <xdr:spPr>
        <a:xfrm>
          <a:off x="235324" y="1277470"/>
          <a:ext cx="21179118" cy="3641912"/>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12</xdr:col>
          <xdr:colOff>68580</xdr:colOff>
          <xdr:row>4</xdr:row>
          <xdr:rowOff>0</xdr:rowOff>
        </xdr:to>
        <xdr:pic>
          <xdr:nvPicPr>
            <xdr:cNvPr id="2" name="図 1"/>
            <xdr:cNvPicPr>
              <a:picLocks noChangeAspect="1" noChangeArrowheads="1"/>
              <a:extLst>
                <a:ext uri="{84589F7E-364E-4C9E-8A38-B11213B215E9}">
                  <a14:cameraTool cellRange="変更履歴!$B$2:$BM$4" spid="_x0000_s8409"/>
                </a:ext>
              </a:extLst>
            </xdr:cNvPicPr>
          </xdr:nvPicPr>
          <xdr:blipFill>
            <a:blip xmlns:r="http://schemas.openxmlformats.org/officeDocument/2006/relationships" r:embed="rId1"/>
            <a:srcRect/>
            <a:stretch>
              <a:fillRect/>
            </a:stretch>
          </xdr:blipFill>
          <xdr:spPr bwMode="auto">
            <a:xfrm>
              <a:off x="83820" y="60960"/>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171450</xdr:colOff>
      <xdr:row>6</xdr:row>
      <xdr:rowOff>133350</xdr:rowOff>
    </xdr:from>
    <xdr:to>
      <xdr:col>6</xdr:col>
      <xdr:colOff>133350</xdr:colOff>
      <xdr:row>20</xdr:row>
      <xdr:rowOff>5603</xdr:rowOff>
    </xdr:to>
    <xdr:sp macro="" textlink="">
      <xdr:nvSpPr>
        <xdr:cNvPr id="3" name="正方形/長方形 2"/>
        <xdr:cNvSpPr/>
      </xdr:nvSpPr>
      <xdr:spPr>
        <a:xfrm>
          <a:off x="257175" y="1257300"/>
          <a:ext cx="10172700" cy="3339353"/>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機能なし</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24</xdr:col>
          <xdr:colOff>7620</xdr:colOff>
          <xdr:row>4</xdr:row>
          <xdr:rowOff>0</xdr:rowOff>
        </xdr:to>
        <xdr:pic>
          <xdr:nvPicPr>
            <xdr:cNvPr id="3" name="図 2"/>
            <xdr:cNvPicPr>
              <a:picLocks noChangeAspect="1" noChangeArrowheads="1"/>
              <a:extLst>
                <a:ext uri="{84589F7E-364E-4C9E-8A38-B11213B215E9}">
                  <a14:cameraTool cellRange="変更履歴!$B$2:$BM$4" spid="_x0000_s2265"/>
                </a:ext>
              </a:extLst>
            </xdr:cNvPicPr>
          </xdr:nvPicPr>
          <xdr:blipFill>
            <a:blip xmlns:r="http://schemas.openxmlformats.org/officeDocument/2006/relationships" r:embed="rId1"/>
            <a:srcRect/>
            <a:stretch>
              <a:fillRect/>
            </a:stretch>
          </xdr:blipFill>
          <xdr:spPr bwMode="auto">
            <a:xfrm>
              <a:off x="83820" y="60960"/>
              <a:ext cx="1237488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114300</xdr:colOff>
      <xdr:row>36</xdr:row>
      <xdr:rowOff>123825</xdr:rowOff>
    </xdr:from>
    <xdr:to>
      <xdr:col>10</xdr:col>
      <xdr:colOff>200025</xdr:colOff>
      <xdr:row>59</xdr:row>
      <xdr:rowOff>104775</xdr:rowOff>
    </xdr:to>
    <xdr:sp macro="" textlink="">
      <xdr:nvSpPr>
        <xdr:cNvPr id="4" name="正方形/長方形 3"/>
        <xdr:cNvSpPr/>
      </xdr:nvSpPr>
      <xdr:spPr>
        <a:xfrm>
          <a:off x="5934075" y="8677275"/>
          <a:ext cx="2952750" cy="5676900"/>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機能なし</a:t>
          </a:r>
        </a:p>
      </xdr:txBody>
    </xdr:sp>
    <xdr:clientData/>
  </xdr:twoCellAnchor>
  <xdr:twoCellAnchor editAs="oneCell">
    <xdr:from>
      <xdr:col>2</xdr:col>
      <xdr:colOff>0</xdr:colOff>
      <xdr:row>6</xdr:row>
      <xdr:rowOff>0</xdr:rowOff>
    </xdr:from>
    <xdr:to>
      <xdr:col>23</xdr:col>
      <xdr:colOff>52009</xdr:colOff>
      <xdr:row>22</xdr:row>
      <xdr:rowOff>182880</xdr:rowOff>
    </xdr:to>
    <xdr:pic>
      <xdr:nvPicPr>
        <xdr:cNvPr id="5" name="図 4"/>
        <xdr:cNvPicPr>
          <a:picLocks noChangeAspect="1"/>
        </xdr:cNvPicPr>
      </xdr:nvPicPr>
      <xdr:blipFill>
        <a:blip xmlns:r="http://schemas.openxmlformats.org/officeDocument/2006/relationships" r:embed="rId2"/>
        <a:stretch>
          <a:fillRect/>
        </a:stretch>
      </xdr:blipFill>
      <xdr:spPr>
        <a:xfrm>
          <a:off x="358140" y="1127760"/>
          <a:ext cx="11870629" cy="4206240"/>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39</xdr:col>
          <xdr:colOff>265654</xdr:colOff>
          <xdr:row>4</xdr:row>
          <xdr:rowOff>1345</xdr:rowOff>
        </xdr:to>
        <xdr:pic>
          <xdr:nvPicPr>
            <xdr:cNvPr id="2" name="図 1"/>
            <xdr:cNvPicPr>
              <a:picLocks noChangeAspect="1" noChangeArrowheads="1"/>
              <a:extLst>
                <a:ext uri="{84589F7E-364E-4C9E-8A38-B11213B215E9}">
                  <a14:cameraTool cellRange="変更履歴!$B$2:$BM$4" spid="_x0000_s9486"/>
                </a:ext>
              </a:extLst>
            </xdr:cNvPicPr>
          </xdr:nvPicPr>
          <xdr:blipFill>
            <a:blip xmlns:r="http://schemas.openxmlformats.org/officeDocument/2006/relationships" r:embed="rId1"/>
            <a:srcRect/>
            <a:stretch>
              <a:fillRect/>
            </a:stretch>
          </xdr:blipFill>
          <xdr:spPr bwMode="auto">
            <a:xfrm>
              <a:off x="80682" y="62753"/>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17</xdr:col>
          <xdr:colOff>243840</xdr:colOff>
          <xdr:row>4</xdr:row>
          <xdr:rowOff>0</xdr:rowOff>
        </xdr:to>
        <xdr:pic>
          <xdr:nvPicPr>
            <xdr:cNvPr id="2" name="図 1"/>
            <xdr:cNvPicPr>
              <a:picLocks noChangeAspect="1" noChangeArrowheads="1"/>
              <a:extLst>
                <a:ext uri="{84589F7E-364E-4C9E-8A38-B11213B215E9}">
                  <a14:cameraTool cellRange="変更履歴!$B$2:$BM$4" spid="_x0000_s11481"/>
                </a:ext>
              </a:extLst>
            </xdr:cNvPicPr>
          </xdr:nvPicPr>
          <xdr:blipFill>
            <a:blip xmlns:r="http://schemas.openxmlformats.org/officeDocument/2006/relationships" r:embed="rId1"/>
            <a:srcRect/>
            <a:stretch>
              <a:fillRect/>
            </a:stretch>
          </xdr:blipFill>
          <xdr:spPr bwMode="auto">
            <a:xfrm>
              <a:off x="83820" y="60960"/>
              <a:ext cx="1804416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257734</xdr:colOff>
      <xdr:row>6</xdr:row>
      <xdr:rowOff>201705</xdr:rowOff>
    </xdr:from>
    <xdr:to>
      <xdr:col>6</xdr:col>
      <xdr:colOff>179293</xdr:colOff>
      <xdr:row>20</xdr:row>
      <xdr:rowOff>89646</xdr:rowOff>
    </xdr:to>
    <xdr:sp macro="" textlink="">
      <xdr:nvSpPr>
        <xdr:cNvPr id="3" name="正方形/長方形 2"/>
        <xdr:cNvSpPr/>
      </xdr:nvSpPr>
      <xdr:spPr>
        <a:xfrm>
          <a:off x="347381" y="1322293"/>
          <a:ext cx="9468971" cy="3339353"/>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機能なし</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21</xdr:col>
          <xdr:colOff>2790825</xdr:colOff>
          <xdr:row>4</xdr:row>
          <xdr:rowOff>0</xdr:rowOff>
        </xdr:to>
        <xdr:pic>
          <xdr:nvPicPr>
            <xdr:cNvPr id="2" name="図 1"/>
            <xdr:cNvPicPr>
              <a:picLocks noChangeAspect="1" noChangeArrowheads="1"/>
              <a:extLst>
                <a:ext uri="{84589F7E-364E-4C9E-8A38-B11213B215E9}">
                  <a14:cameraTool cellRange="変更履歴!$B$2:$BM$4" spid="_x0000_s14513"/>
                </a:ext>
              </a:extLst>
            </xdr:cNvPicPr>
          </xdr:nvPicPr>
          <xdr:blipFill>
            <a:blip xmlns:r="http://schemas.openxmlformats.org/officeDocument/2006/relationships" r:embed="rId1"/>
            <a:srcRect/>
            <a:stretch>
              <a:fillRect/>
            </a:stretch>
          </xdr:blipFill>
          <xdr:spPr bwMode="auto">
            <a:xfrm>
              <a:off x="85725" y="66675"/>
              <a:ext cx="18288000" cy="7429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35</xdr:col>
      <xdr:colOff>112058</xdr:colOff>
      <xdr:row>6</xdr:row>
      <xdr:rowOff>190500</xdr:rowOff>
    </xdr:from>
    <xdr:to>
      <xdr:col>52</xdr:col>
      <xdr:colOff>257735</xdr:colOff>
      <xdr:row>19</xdr:row>
      <xdr:rowOff>100853</xdr:rowOff>
    </xdr:to>
    <xdr:sp macro="" textlink="">
      <xdr:nvSpPr>
        <xdr:cNvPr id="3" name="正方形/長方形 2"/>
        <xdr:cNvSpPr/>
      </xdr:nvSpPr>
      <xdr:spPr>
        <a:xfrm>
          <a:off x="25952823" y="1311088"/>
          <a:ext cx="13010030" cy="3641912"/>
        </a:xfrm>
        <a:prstGeom prst="rect">
          <a:avLst/>
        </a:prstGeom>
        <a:solidFill>
          <a:srgbClr val="222A35">
            <a:alpha val="45098"/>
          </a:srgb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ja-JP" altLang="en-US" sz="900" b="0" i="0">
              <a:solidFill>
                <a:schemeClr val="dk1"/>
              </a:solidFill>
              <a:effectLst/>
              <a:latin typeface="Meiryo UI" panose="020B0604030504040204" pitchFamily="50" charset="-128"/>
              <a:ea typeface="Meiryo UI" panose="020B0604030504040204" pitchFamily="50" charset="-128"/>
              <a:cs typeface="+mn-cs"/>
            </a:rPr>
            <a:t>近日公開予定</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247650</xdr:colOff>
      <xdr:row>26</xdr:row>
      <xdr:rowOff>9525</xdr:rowOff>
    </xdr:from>
    <xdr:ext cx="714375" cy="1647825"/>
    <xdr:sp macro="" textlink="">
      <xdr:nvSpPr>
        <xdr:cNvPr id="2" name="Shape 3"/>
        <xdr:cNvSpPr/>
      </xdr:nvSpPr>
      <xdr:spPr>
        <a:xfrm>
          <a:off x="247650" y="6318885"/>
          <a:ext cx="714375" cy="1647825"/>
        </a:xfrm>
        <a:prstGeom prst="round2DiagRect">
          <a:avLst>
            <a:gd name="adj1" fmla="val 16667"/>
            <a:gd name="adj2" fmla="val 0"/>
          </a:avLst>
        </a:prstGeom>
        <a:solidFill>
          <a:srgbClr val="EA9999"/>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実行すると、</a:t>
          </a:r>
          <a:endParaRPr sz="1400"/>
        </a:p>
        <a:p>
          <a:pPr marL="0" lvl="0" indent="0" algn="l" rtl="0">
            <a:spcBef>
              <a:spcPts val="0"/>
            </a:spcBef>
            <a:spcAft>
              <a:spcPts val="0"/>
            </a:spcAft>
            <a:buNone/>
          </a:pPr>
          <a:r>
            <a:rPr lang="en-US" sz="1400"/>
            <a:t>入力されます</a:t>
          </a:r>
          <a:endParaRPr sz="1400"/>
        </a:p>
      </xdr:txBody>
    </xdr:sp>
    <xdr:clientData fLocksWithSheet="0"/>
  </xdr:oneCellAnchor>
  <xdr:oneCellAnchor>
    <xdr:from>
      <xdr:col>4</xdr:col>
      <xdr:colOff>828675</xdr:colOff>
      <xdr:row>12</xdr:row>
      <xdr:rowOff>66675</xdr:rowOff>
    </xdr:from>
    <xdr:ext cx="2695575" cy="733425"/>
    <xdr:sp macro="" textlink="">
      <xdr:nvSpPr>
        <xdr:cNvPr id="3" name="Shape 4"/>
        <xdr:cNvSpPr/>
      </xdr:nvSpPr>
      <xdr:spPr>
        <a:xfrm>
          <a:off x="5606415" y="2413635"/>
          <a:ext cx="2695575" cy="733425"/>
        </a:xfrm>
        <a:prstGeom prst="wedgeRectCallout">
          <a:avLst>
            <a:gd name="adj1" fmla="val -68181"/>
            <a:gd name="adj2" fmla="val 74669"/>
          </a:avLst>
        </a:prstGeom>
        <a:solidFill>
          <a:srgbClr val="EA9999"/>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Results	: 記録テーブル</a:t>
          </a:r>
          <a:endParaRPr sz="1400"/>
        </a:p>
        <a:p>
          <a:pPr marL="0" lvl="0" indent="0" algn="l" rtl="0">
            <a:spcBef>
              <a:spcPts val="0"/>
            </a:spcBef>
            <a:spcAft>
              <a:spcPts val="0"/>
            </a:spcAft>
            <a:buNone/>
          </a:pPr>
          <a:r>
            <a:rPr lang="en-US" sz="1400"/>
            <a:t>Issues	: 期限付きテーブル</a:t>
          </a:r>
          <a:endParaRPr sz="1400"/>
        </a:p>
      </xdr:txBody>
    </xdr:sp>
    <xdr:clientData fLocksWithSheet="0"/>
  </xdr:oneCellAnchor>
  <xdr:oneCellAnchor>
    <xdr:from>
      <xdr:col>8</xdr:col>
      <xdr:colOff>619125</xdr:colOff>
      <xdr:row>18</xdr:row>
      <xdr:rowOff>171450</xdr:rowOff>
    </xdr:from>
    <xdr:ext cx="2181225" cy="971550"/>
    <xdr:sp macro="" textlink="">
      <xdr:nvSpPr>
        <xdr:cNvPr id="4" name="Shape 5"/>
        <xdr:cNvSpPr/>
      </xdr:nvSpPr>
      <xdr:spPr>
        <a:xfrm>
          <a:off x="8307705" y="3699510"/>
          <a:ext cx="2181225" cy="971550"/>
        </a:xfrm>
        <a:prstGeom prst="wedgeRectCallout">
          <a:avLst>
            <a:gd name="adj1" fmla="val -62105"/>
            <a:gd name="adj2" fmla="val -82509"/>
          </a:avLst>
        </a:prstGeom>
        <a:solidFill>
          <a:srgbClr val="EA9999"/>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1	: 読み込み権限</a:t>
          </a:r>
          <a:endParaRPr sz="1400"/>
        </a:p>
        <a:p>
          <a:pPr marL="0" lvl="0" indent="0" algn="l" rtl="0">
            <a:spcBef>
              <a:spcPts val="0"/>
            </a:spcBef>
            <a:spcAft>
              <a:spcPts val="0"/>
            </a:spcAft>
            <a:buNone/>
          </a:pPr>
          <a:r>
            <a:rPr lang="en-US" sz="1400"/>
            <a:t>31	: 書き込み権限</a:t>
          </a:r>
          <a:endParaRPr sz="1400"/>
        </a:p>
        <a:p>
          <a:pPr marL="0" lvl="0" indent="0" algn="l" rtl="0">
            <a:spcBef>
              <a:spcPts val="0"/>
            </a:spcBef>
            <a:spcAft>
              <a:spcPts val="0"/>
            </a:spcAft>
            <a:buNone/>
          </a:pPr>
          <a:r>
            <a:rPr lang="en-US" sz="1400"/>
            <a:t>255	: リーダー権限</a:t>
          </a:r>
          <a:endParaRPr sz="1400"/>
        </a:p>
        <a:p>
          <a:pPr marL="0" lvl="0" indent="0" algn="l" rtl="0">
            <a:spcBef>
              <a:spcPts val="0"/>
            </a:spcBef>
            <a:spcAft>
              <a:spcPts val="0"/>
            </a:spcAft>
            <a:buNone/>
          </a:pPr>
          <a:r>
            <a:rPr lang="en-US" sz="1400"/>
            <a:t>511	: 管理者権限</a:t>
          </a: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37\share\02_&#38283;&#30330;\&#12304;YJY&#12305;2023_&#19977;&#21644;&#21830;&#30740;&#21463;&#30330;&#27880;&#12471;&#12473;&#12486;&#12512;&#38283;&#30330;\03_&#22522;&#26412;&#35373;&#35336;\01_&#30011;&#38754;&#35373;&#35336;\&#30011;&#38754;&#35373;&#35336;&#26360;\9999&#20837;&#37329;&#28040;&#36796;&#20837;&#21147;_&#30011;&#38754;&#35373;&#35336;&#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変更履歴"/>
      <sheetName val="一覧_画面レイアウト"/>
      <sheetName val="一覧_一覧要素"/>
      <sheetName val="一覧_集計要素"/>
      <sheetName val="一覧_フィルタ要素"/>
      <sheetName val="一覧_その他要素"/>
      <sheetName val="詳細_画面レイアウト"/>
      <sheetName val="詳細_編集要素"/>
      <sheetName val="詳細_その他要素"/>
      <sheetName val="スクリプト要素"/>
      <sheetName val="課題事項"/>
      <sheetName val="雛形"/>
      <sheetName val="参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E1" t="str">
            <v>左寄せ</v>
          </cell>
          <cell r="G1" t="str">
            <v>ノーマル</v>
          </cell>
          <cell r="I1" t="str">
            <v>ノーマル</v>
          </cell>
          <cell r="M1" t="str">
            <v>ドロップダウンリスト</v>
          </cell>
          <cell r="O1" t="str">
            <v>無し</v>
          </cell>
          <cell r="Q1" t="str">
            <v>標準</v>
          </cell>
          <cell r="S1" t="str">
            <v>四捨五入</v>
          </cell>
          <cell r="U1" t="str">
            <v>年月日</v>
          </cell>
          <cell r="W1" t="str">
            <v>自動</v>
          </cell>
          <cell r="Y1" t="str">
            <v>部分一致</v>
          </cell>
          <cell r="AA1" t="str">
            <v>既定</v>
          </cell>
          <cell r="AC1" t="str">
            <v>オンのみ</v>
          </cell>
          <cell r="AE1" t="str">
            <v>件数</v>
          </cell>
          <cell r="AG1" t="str">
            <v>年月</v>
          </cell>
        </row>
        <row r="2">
          <cell r="E2" t="str">
            <v>右寄せ</v>
          </cell>
          <cell r="G2" t="str">
            <v>ワイド</v>
          </cell>
          <cell r="I2" t="str">
            <v>ワイド</v>
          </cell>
          <cell r="K2" t="str">
            <v>〇</v>
          </cell>
          <cell r="M2" t="str">
            <v>ラジオボタン</v>
          </cell>
          <cell r="O2" t="str">
            <v>表示名</v>
          </cell>
          <cell r="Q2" t="str">
            <v>通貨</v>
          </cell>
          <cell r="S2" t="str">
            <v>切り上げ</v>
          </cell>
          <cell r="U2" t="str">
            <v>日付と時刻(分)</v>
          </cell>
          <cell r="W2" t="str">
            <v>手動</v>
          </cell>
          <cell r="Y2" t="str">
            <v>完全一致</v>
          </cell>
          <cell r="AA2" t="str">
            <v>範囲指定</v>
          </cell>
          <cell r="AC2" t="str">
            <v>オンとオフ</v>
          </cell>
          <cell r="AE2" t="str">
            <v>合計</v>
          </cell>
          <cell r="AG2" t="str">
            <v>月日</v>
          </cell>
        </row>
        <row r="3">
          <cell r="I3" t="str">
            <v>マークダウン</v>
          </cell>
          <cell r="O3" t="str">
            <v>値</v>
          </cell>
          <cell r="Q3" t="str">
            <v>桁区切り</v>
          </cell>
          <cell r="S3" t="str">
            <v>切り捨て</v>
          </cell>
          <cell r="U3" t="str">
            <v>日付と時刻(秒)</v>
          </cell>
          <cell r="W3" t="str">
            <v>無効</v>
          </cell>
          <cell r="Y3" t="str">
            <v>前方一致</v>
          </cell>
          <cell r="AE3" t="str">
            <v>平均</v>
          </cell>
          <cell r="AG3" t="str">
            <v>日付と時刻(秒)</v>
          </cell>
        </row>
        <row r="4">
          <cell r="O4" t="str">
            <v>値と表示名</v>
          </cell>
          <cell r="Q4" t="str">
            <v>カスタム</v>
          </cell>
          <cell r="S4" t="str">
            <v>切り下げ</v>
          </cell>
          <cell r="AG4" t="str">
            <v>年月日曜</v>
          </cell>
        </row>
        <row r="5">
          <cell r="S5" t="str">
            <v>銀行家の丸め</v>
          </cell>
          <cell r="AG5" t="str">
            <v>日付と曜日と時刻(分)</v>
          </cell>
        </row>
        <row r="6">
          <cell r="AG6" t="str">
            <v>年月日</v>
          </cell>
        </row>
        <row r="7">
          <cell r="AG7" t="str">
            <v>日付と曜日と時刻(秒)</v>
          </cell>
        </row>
        <row r="8">
          <cell r="AG8" t="str">
            <v>日付と時刻(分)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N43"/>
  <sheetViews>
    <sheetView showGridLines="0" view="pageBreakPreview" zoomScaleNormal="100" zoomScaleSheetLayoutView="100" workbookViewId="0">
      <selection activeCell="O16" sqref="O16:Q16"/>
    </sheetView>
  </sheetViews>
  <sheetFormatPr defaultColWidth="3.59765625" defaultRowHeight="20.100000000000001" customHeight="1" x14ac:dyDescent="0.45"/>
  <cols>
    <col min="1" max="1" width="1.09765625" style="1" customWidth="1"/>
    <col min="2" max="65" width="3.59765625" style="1" customWidth="1"/>
    <col min="66" max="66" width="1.09765625" style="1" customWidth="1"/>
    <col min="67" max="16384" width="3.59765625" style="1"/>
  </cols>
  <sheetData>
    <row r="1" spans="1:66" ht="5.25" customHeight="1" x14ac:dyDescent="0.4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row>
    <row r="2" spans="1:66" s="7" customFormat="1" ht="20.100000000000001" customHeight="1" x14ac:dyDescent="0.4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row>
    <row r="3" spans="1:66" s="7" customFormat="1" ht="20.100000000000001" customHeight="1" x14ac:dyDescent="0.45">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row>
    <row r="4" spans="1:66" s="7" customFormat="1" ht="20.100000000000001" customHeight="1" x14ac:dyDescent="0.45">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row>
    <row r="5" spans="1:66" ht="5.25" customHeight="1" x14ac:dyDescent="0.4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row>
    <row r="6" spans="1:66" ht="20.100000000000001" customHeight="1" x14ac:dyDescent="0.45">
      <c r="A6" s="94"/>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94"/>
    </row>
    <row r="7" spans="1:66" ht="20.100000000000001" customHeight="1" x14ac:dyDescent="0.45">
      <c r="A7" s="94"/>
      <c r="B7" s="8"/>
      <c r="C7" s="25" t="s">
        <v>250</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94"/>
    </row>
    <row r="8" spans="1:66" ht="20.100000000000001" customHeight="1" x14ac:dyDescent="0.45">
      <c r="A8" s="94"/>
      <c r="B8" s="8"/>
      <c r="C8" s="147" t="s">
        <v>251</v>
      </c>
      <c r="D8" s="148"/>
      <c r="E8" s="147" t="s">
        <v>252</v>
      </c>
      <c r="F8" s="157"/>
      <c r="G8" s="157"/>
      <c r="H8" s="157"/>
      <c r="I8" s="157"/>
      <c r="J8" s="157"/>
      <c r="K8" s="157"/>
      <c r="L8" s="157"/>
      <c r="M8" s="157"/>
      <c r="N8" s="148"/>
      <c r="O8" s="147" t="s">
        <v>253</v>
      </c>
      <c r="P8" s="157"/>
      <c r="Q8" s="148"/>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8"/>
      <c r="BL8" s="94"/>
    </row>
    <row r="9" spans="1:66" ht="20.100000000000001" customHeight="1" x14ac:dyDescent="0.45">
      <c r="A9" s="94"/>
      <c r="B9" s="8"/>
      <c r="C9" s="149">
        <f>ROW()-8</f>
        <v>1</v>
      </c>
      <c r="D9" s="150"/>
      <c r="E9" s="151" t="s">
        <v>17</v>
      </c>
      <c r="F9" s="152"/>
      <c r="G9" s="152"/>
      <c r="H9" s="152"/>
      <c r="I9" s="152"/>
      <c r="J9" s="152"/>
      <c r="K9" s="152"/>
      <c r="L9" s="152"/>
      <c r="M9" s="152"/>
      <c r="N9" s="153"/>
      <c r="O9" s="154" t="str">
        <f>HYPERLINK("#"&amp;E9&amp;"!A1","リンク")</f>
        <v>リンク</v>
      </c>
      <c r="P9" s="155"/>
      <c r="Q9" s="156"/>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8"/>
      <c r="BL9" s="94"/>
    </row>
    <row r="10" spans="1:66" ht="20.100000000000001" customHeight="1" x14ac:dyDescent="0.45">
      <c r="A10" s="94"/>
      <c r="B10" s="8"/>
      <c r="C10" s="149">
        <f t="shared" ref="C10:C18" si="0">ROW()-8</f>
        <v>2</v>
      </c>
      <c r="D10" s="150"/>
      <c r="E10" s="151" t="s">
        <v>254</v>
      </c>
      <c r="F10" s="152"/>
      <c r="G10" s="152"/>
      <c r="H10" s="152"/>
      <c r="I10" s="152"/>
      <c r="J10" s="152"/>
      <c r="K10" s="152"/>
      <c r="L10" s="152"/>
      <c r="M10" s="152"/>
      <c r="N10" s="153"/>
      <c r="O10" s="154" t="str">
        <f t="shared" ref="O10:O15" si="1">HYPERLINK("#"&amp;E10&amp;"!A1","リンク")</f>
        <v>リンク</v>
      </c>
      <c r="P10" s="155"/>
      <c r="Q10" s="156"/>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8"/>
      <c r="BL10" s="94"/>
    </row>
    <row r="11" spans="1:66" ht="20.100000000000001" customHeight="1" x14ac:dyDescent="0.45">
      <c r="A11" s="94"/>
      <c r="B11" s="8"/>
      <c r="C11" s="149">
        <f t="shared" si="0"/>
        <v>3</v>
      </c>
      <c r="D11" s="150"/>
      <c r="E11" s="151" t="s">
        <v>255</v>
      </c>
      <c r="F11" s="152"/>
      <c r="G11" s="152"/>
      <c r="H11" s="152"/>
      <c r="I11" s="152"/>
      <c r="J11" s="152"/>
      <c r="K11" s="152"/>
      <c r="L11" s="152"/>
      <c r="M11" s="152"/>
      <c r="N11" s="153"/>
      <c r="O11" s="154" t="str">
        <f t="shared" si="1"/>
        <v>リンク</v>
      </c>
      <c r="P11" s="155"/>
      <c r="Q11" s="156"/>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8"/>
      <c r="BL11" s="94"/>
    </row>
    <row r="12" spans="1:66" ht="20.100000000000001" customHeight="1" x14ac:dyDescent="0.45">
      <c r="A12" s="94"/>
      <c r="B12" s="8"/>
      <c r="C12" s="149">
        <f t="shared" si="0"/>
        <v>4</v>
      </c>
      <c r="D12" s="150"/>
      <c r="E12" s="151" t="s">
        <v>256</v>
      </c>
      <c r="F12" s="152"/>
      <c r="G12" s="152"/>
      <c r="H12" s="152"/>
      <c r="I12" s="152"/>
      <c r="J12" s="152"/>
      <c r="K12" s="152"/>
      <c r="L12" s="152"/>
      <c r="M12" s="152"/>
      <c r="N12" s="153"/>
      <c r="O12" s="154" t="str">
        <f t="shared" si="1"/>
        <v>リンク</v>
      </c>
      <c r="P12" s="155"/>
      <c r="Q12" s="156"/>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8"/>
      <c r="BL12" s="94"/>
    </row>
    <row r="13" spans="1:66" ht="20.100000000000001" customHeight="1" x14ac:dyDescent="0.45">
      <c r="A13" s="94"/>
      <c r="B13" s="8"/>
      <c r="C13" s="149">
        <f t="shared" si="0"/>
        <v>5</v>
      </c>
      <c r="D13" s="150"/>
      <c r="E13" s="151" t="s">
        <v>258</v>
      </c>
      <c r="F13" s="152"/>
      <c r="G13" s="152"/>
      <c r="H13" s="152"/>
      <c r="I13" s="152"/>
      <c r="J13" s="152"/>
      <c r="K13" s="152"/>
      <c r="L13" s="152"/>
      <c r="M13" s="152"/>
      <c r="N13" s="153"/>
      <c r="O13" s="154" t="str">
        <f t="shared" si="1"/>
        <v>リンク</v>
      </c>
      <c r="P13" s="155"/>
      <c r="Q13" s="156"/>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8"/>
      <c r="BL13" s="94"/>
    </row>
    <row r="14" spans="1:66" ht="20.100000000000001" customHeight="1" x14ac:dyDescent="0.45">
      <c r="A14" s="94"/>
      <c r="B14" s="8"/>
      <c r="C14" s="149">
        <f t="shared" si="0"/>
        <v>6</v>
      </c>
      <c r="D14" s="150"/>
      <c r="E14" s="151" t="s">
        <v>259</v>
      </c>
      <c r="F14" s="152"/>
      <c r="G14" s="152"/>
      <c r="H14" s="152"/>
      <c r="I14" s="152"/>
      <c r="J14" s="152"/>
      <c r="K14" s="152"/>
      <c r="L14" s="152"/>
      <c r="M14" s="152"/>
      <c r="N14" s="153"/>
      <c r="O14" s="154" t="str">
        <f t="shared" si="1"/>
        <v>リンク</v>
      </c>
      <c r="P14" s="155"/>
      <c r="Q14" s="156"/>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8"/>
      <c r="BL14" s="94"/>
    </row>
    <row r="15" spans="1:66" ht="20.100000000000001" customHeight="1" x14ac:dyDescent="0.45">
      <c r="A15" s="94"/>
      <c r="B15" s="8"/>
      <c r="C15" s="149">
        <f t="shared" si="0"/>
        <v>7</v>
      </c>
      <c r="D15" s="150"/>
      <c r="E15" s="151" t="s">
        <v>257</v>
      </c>
      <c r="F15" s="152"/>
      <c r="G15" s="152"/>
      <c r="H15" s="152"/>
      <c r="I15" s="152"/>
      <c r="J15" s="152"/>
      <c r="K15" s="152"/>
      <c r="L15" s="152"/>
      <c r="M15" s="152"/>
      <c r="N15" s="153"/>
      <c r="O15" s="154" t="str">
        <f t="shared" si="1"/>
        <v>リンク</v>
      </c>
      <c r="P15" s="155"/>
      <c r="Q15" s="156"/>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8"/>
      <c r="BL15" s="94"/>
    </row>
    <row r="16" spans="1:66" ht="20.100000000000001" customHeight="1" x14ac:dyDescent="0.45">
      <c r="A16" s="94"/>
      <c r="B16" s="8"/>
      <c r="C16" s="149">
        <f t="shared" si="0"/>
        <v>8</v>
      </c>
      <c r="D16" s="150"/>
      <c r="E16" s="151" t="s">
        <v>260</v>
      </c>
      <c r="F16" s="152"/>
      <c r="G16" s="152"/>
      <c r="H16" s="152"/>
      <c r="I16" s="152"/>
      <c r="J16" s="152"/>
      <c r="K16" s="152"/>
      <c r="L16" s="152"/>
      <c r="M16" s="152"/>
      <c r="N16" s="153"/>
      <c r="O16" s="154" t="str">
        <f>HYPERLINK("#"&amp;E16&amp;"!A1","リンク")</f>
        <v>リンク</v>
      </c>
      <c r="P16" s="155"/>
      <c r="Q16" s="156"/>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8"/>
      <c r="BL16" s="94"/>
    </row>
    <row r="17" spans="1:64" ht="20.100000000000001" customHeight="1" x14ac:dyDescent="0.45">
      <c r="A17" s="94"/>
      <c r="B17" s="8"/>
      <c r="C17" s="149">
        <f t="shared" si="0"/>
        <v>9</v>
      </c>
      <c r="D17" s="150"/>
      <c r="E17" s="151" t="s">
        <v>261</v>
      </c>
      <c r="F17" s="152"/>
      <c r="G17" s="152"/>
      <c r="H17" s="152"/>
      <c r="I17" s="152"/>
      <c r="J17" s="152"/>
      <c r="K17" s="152"/>
      <c r="L17" s="152"/>
      <c r="M17" s="152"/>
      <c r="N17" s="153"/>
      <c r="O17" s="154" t="str">
        <f>HYPERLINK("#"&amp;E17&amp;"!A1","リンク")</f>
        <v>リンク</v>
      </c>
      <c r="P17" s="155"/>
      <c r="Q17" s="156"/>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8"/>
      <c r="BL17" s="94"/>
    </row>
    <row r="18" spans="1:64" ht="20.100000000000001" customHeight="1" x14ac:dyDescent="0.45">
      <c r="A18" s="94"/>
      <c r="B18" s="8"/>
      <c r="C18" s="149">
        <f t="shared" si="0"/>
        <v>10</v>
      </c>
      <c r="D18" s="150"/>
      <c r="E18" s="151" t="s">
        <v>288</v>
      </c>
      <c r="F18" s="152"/>
      <c r="G18" s="152"/>
      <c r="H18" s="152"/>
      <c r="I18" s="152"/>
      <c r="J18" s="152"/>
      <c r="K18" s="152"/>
      <c r="L18" s="152"/>
      <c r="M18" s="152"/>
      <c r="N18" s="153"/>
      <c r="O18" s="154" t="str">
        <f>HYPERLINK("#"&amp;E18&amp;"!A1","リンク")</f>
        <v>リンク</v>
      </c>
      <c r="P18" s="155"/>
      <c r="Q18" s="156"/>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8"/>
      <c r="BL18" s="94"/>
    </row>
    <row r="19" spans="1:64" ht="20.100000000000001" customHeight="1" x14ac:dyDescent="0.45">
      <c r="A19" s="94"/>
      <c r="B19" s="8"/>
      <c r="C19"/>
      <c r="D19"/>
      <c r="E19"/>
      <c r="F19"/>
      <c r="G19"/>
      <c r="H19"/>
      <c r="I19"/>
      <c r="J19"/>
      <c r="K19"/>
      <c r="L19"/>
      <c r="M19"/>
      <c r="N19"/>
      <c r="O19"/>
      <c r="P19"/>
      <c r="Q1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8"/>
      <c r="BL19" s="94"/>
    </row>
    <row r="20" spans="1:64" ht="20.100000000000001" customHeight="1" x14ac:dyDescent="0.45">
      <c r="A20" s="94"/>
      <c r="B20" s="8"/>
      <c r="C20"/>
      <c r="D20"/>
      <c r="E20"/>
      <c r="F20"/>
      <c r="G20"/>
      <c r="H20"/>
      <c r="I20"/>
      <c r="J20"/>
      <c r="K20"/>
      <c r="L20"/>
      <c r="M20"/>
      <c r="N20"/>
      <c r="O20"/>
      <c r="P20"/>
      <c r="Q20"/>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8"/>
      <c r="BL20" s="94"/>
    </row>
    <row r="21" spans="1:64" ht="20.100000000000001" customHeight="1" x14ac:dyDescent="0.45">
      <c r="A21" s="94"/>
      <c r="B21" s="8"/>
      <c r="C21"/>
      <c r="D21"/>
      <c r="E21"/>
      <c r="F21"/>
      <c r="G21"/>
      <c r="H21"/>
      <c r="I21"/>
      <c r="J21"/>
      <c r="K21"/>
      <c r="L21"/>
      <c r="M21"/>
      <c r="N21"/>
      <c r="O21"/>
      <c r="P21"/>
      <c r="Q21"/>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8"/>
      <c r="BL21" s="94"/>
    </row>
    <row r="22" spans="1:64" ht="20.100000000000001" customHeight="1" x14ac:dyDescent="0.45">
      <c r="A22" s="94"/>
      <c r="B22" s="8"/>
      <c r="C22"/>
      <c r="D22"/>
      <c r="E22"/>
      <c r="F22"/>
      <c r="G22"/>
      <c r="H22"/>
      <c r="I22"/>
      <c r="J22"/>
      <c r="K22"/>
      <c r="L22"/>
      <c r="M22"/>
      <c r="N22"/>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8"/>
      <c r="BL22" s="94"/>
    </row>
    <row r="23" spans="1:64" ht="20.100000000000001" customHeight="1" x14ac:dyDescent="0.45">
      <c r="A23" s="94"/>
      <c r="B23" s="8"/>
      <c r="C23"/>
      <c r="D23"/>
      <c r="E23"/>
      <c r="F23"/>
      <c r="G23"/>
      <c r="H23"/>
      <c r="I23"/>
      <c r="J23"/>
      <c r="K23"/>
      <c r="L23"/>
      <c r="M23"/>
      <c r="N23"/>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8"/>
      <c r="BL23" s="94"/>
    </row>
    <row r="24" spans="1:64" ht="20.100000000000001" customHeight="1" x14ac:dyDescent="0.45">
      <c r="A24" s="94"/>
      <c r="B24" s="8"/>
      <c r="C24"/>
      <c r="D24"/>
      <c r="E24"/>
      <c r="F24"/>
      <c r="G24"/>
      <c r="H24"/>
      <c r="I24"/>
      <c r="J24"/>
      <c r="K24"/>
      <c r="L24"/>
      <c r="M24"/>
      <c r="N24"/>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8"/>
      <c r="BL24" s="94"/>
    </row>
    <row r="25" spans="1:64" ht="20.100000000000001" customHeight="1" x14ac:dyDescent="0.45">
      <c r="A25" s="94"/>
      <c r="B25" s="8"/>
      <c r="C25"/>
      <c r="D25"/>
      <c r="E25"/>
      <c r="F25"/>
      <c r="G25"/>
      <c r="H25"/>
      <c r="I25"/>
      <c r="J25"/>
      <c r="K25"/>
      <c r="L25"/>
      <c r="M25"/>
      <c r="N25"/>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8"/>
      <c r="BL25" s="94"/>
    </row>
    <row r="26" spans="1:64" ht="20.100000000000001" customHeight="1" x14ac:dyDescent="0.45">
      <c r="A26" s="94"/>
      <c r="B26" s="8"/>
      <c r="C26"/>
      <c r="D26"/>
      <c r="E26"/>
      <c r="F26"/>
      <c r="G26"/>
      <c r="H26"/>
      <c r="I26"/>
      <c r="J26"/>
      <c r="K26"/>
      <c r="L26"/>
      <c r="M26"/>
      <c r="N26"/>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8"/>
      <c r="BL26" s="94"/>
    </row>
    <row r="27" spans="1:64" ht="20.100000000000001" customHeight="1" x14ac:dyDescent="0.45">
      <c r="A27" s="94"/>
      <c r="B27" s="8"/>
      <c r="C27"/>
      <c r="D27"/>
      <c r="E27"/>
      <c r="F27"/>
      <c r="G27"/>
      <c r="H27"/>
      <c r="I27"/>
      <c r="J27"/>
      <c r="K27"/>
      <c r="L27"/>
      <c r="M27"/>
      <c r="N27"/>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8"/>
      <c r="BL27" s="94"/>
    </row>
    <row r="28" spans="1:64" ht="20.100000000000001" customHeight="1" x14ac:dyDescent="0.45">
      <c r="A28" s="94"/>
      <c r="B28" s="8"/>
      <c r="C28"/>
      <c r="D28"/>
      <c r="E28"/>
      <c r="F28"/>
      <c r="G28"/>
      <c r="H28"/>
      <c r="I28"/>
      <c r="J28"/>
      <c r="K28"/>
      <c r="L28"/>
      <c r="M28"/>
      <c r="N28"/>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8"/>
      <c r="BL28" s="94"/>
    </row>
    <row r="29" spans="1:64" ht="20.100000000000001" customHeight="1" x14ac:dyDescent="0.45">
      <c r="A29" s="94"/>
      <c r="B29" s="8"/>
      <c r="C29"/>
      <c r="D29"/>
      <c r="E29"/>
      <c r="F29"/>
      <c r="G29"/>
      <c r="H29"/>
      <c r="I29"/>
      <c r="J29"/>
      <c r="K29"/>
      <c r="L29"/>
      <c r="M29"/>
      <c r="N2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8"/>
      <c r="BL29" s="94"/>
    </row>
    <row r="30" spans="1:64" ht="20.100000000000001" customHeight="1" x14ac:dyDescent="0.45">
      <c r="A30" s="94"/>
      <c r="B30" s="8"/>
      <c r="C30"/>
      <c r="D30"/>
      <c r="E30"/>
      <c r="F30"/>
      <c r="G30"/>
      <c r="H30"/>
      <c r="I30"/>
      <c r="J30"/>
      <c r="K30"/>
      <c r="L30"/>
      <c r="M30"/>
      <c r="N30"/>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8"/>
      <c r="BL30" s="94"/>
    </row>
    <row r="31" spans="1:64" ht="20.100000000000001" customHeight="1" x14ac:dyDescent="0.45">
      <c r="A31" s="94"/>
      <c r="B31" s="8"/>
      <c r="C31"/>
      <c r="D31"/>
      <c r="E31"/>
      <c r="F31"/>
      <c r="G31"/>
      <c r="H31"/>
      <c r="I31"/>
      <c r="J31"/>
      <c r="K31"/>
      <c r="L31"/>
      <c r="M31"/>
      <c r="N31"/>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8"/>
      <c r="BL31" s="94"/>
    </row>
    <row r="32" spans="1:64" ht="20.100000000000001" customHeight="1" x14ac:dyDescent="0.45">
      <c r="A32" s="94"/>
      <c r="B32" s="8"/>
      <c r="C32"/>
      <c r="D32"/>
      <c r="E32"/>
      <c r="F32"/>
      <c r="G32"/>
      <c r="H32"/>
      <c r="I32"/>
      <c r="J32"/>
      <c r="K32"/>
      <c r="L32"/>
      <c r="M32"/>
      <c r="N32"/>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8"/>
      <c r="BL32" s="94"/>
    </row>
    <row r="33" spans="1:66" ht="20.100000000000001" customHeight="1" x14ac:dyDescent="0.45">
      <c r="A33" s="94"/>
      <c r="B33" s="8"/>
      <c r="C33"/>
      <c r="D33"/>
      <c r="E33"/>
      <c r="F33"/>
      <c r="G33"/>
      <c r="H33"/>
      <c r="I33"/>
      <c r="J33"/>
      <c r="K33"/>
      <c r="L33"/>
      <c r="M33"/>
      <c r="N33"/>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8"/>
      <c r="BL33" s="94"/>
    </row>
    <row r="34" spans="1:66" ht="20.100000000000001" customHeight="1" x14ac:dyDescent="0.45">
      <c r="A34" s="94"/>
      <c r="B34" s="8"/>
      <c r="C34"/>
      <c r="D34"/>
      <c r="E34"/>
      <c r="F34"/>
      <c r="G34"/>
      <c r="H34"/>
      <c r="I34"/>
      <c r="J34"/>
      <c r="K34"/>
      <c r="L34"/>
      <c r="M34"/>
      <c r="N34"/>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8"/>
      <c r="BL34" s="94"/>
    </row>
    <row r="35" spans="1:66" ht="20.100000000000001" customHeight="1" x14ac:dyDescent="0.45">
      <c r="A35" s="94"/>
      <c r="B35" s="8"/>
      <c r="C35"/>
      <c r="D35"/>
      <c r="E35"/>
      <c r="F35"/>
      <c r="G35"/>
      <c r="H35"/>
      <c r="I35"/>
      <c r="J35"/>
      <c r="K35"/>
      <c r="L35"/>
      <c r="M35"/>
      <c r="N35"/>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8"/>
      <c r="BL35" s="94"/>
    </row>
    <row r="36" spans="1:66" ht="20.100000000000001" customHeight="1" x14ac:dyDescent="0.45">
      <c r="A36" s="94"/>
      <c r="B36" s="8"/>
      <c r="C36"/>
      <c r="D36"/>
      <c r="E36"/>
      <c r="F36"/>
      <c r="G36"/>
      <c r="H36"/>
      <c r="I36"/>
      <c r="J36"/>
      <c r="K36"/>
      <c r="L36"/>
      <c r="M36"/>
      <c r="N36"/>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8"/>
      <c r="BL36" s="94"/>
    </row>
    <row r="37" spans="1:66" ht="20.100000000000001" customHeight="1" x14ac:dyDescent="0.45">
      <c r="A37" s="94"/>
      <c r="B37" s="8"/>
      <c r="C37"/>
      <c r="D37"/>
      <c r="E37"/>
      <c r="F37"/>
      <c r="G37"/>
      <c r="H37"/>
      <c r="I37"/>
      <c r="J37"/>
      <c r="K37"/>
      <c r="L37"/>
      <c r="M37"/>
      <c r="N37"/>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8"/>
      <c r="BL37" s="94"/>
    </row>
    <row r="38" spans="1:66" ht="20.100000000000001" customHeight="1" x14ac:dyDescent="0.45">
      <c r="A38" s="94"/>
      <c r="B38" s="8"/>
      <c r="C38"/>
      <c r="D38"/>
      <c r="E38"/>
      <c r="F38"/>
      <c r="G38"/>
      <c r="H38"/>
      <c r="I38"/>
      <c r="J38"/>
      <c r="K38"/>
      <c r="L38"/>
      <c r="M38"/>
      <c r="N38"/>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8"/>
      <c r="BL38" s="94"/>
    </row>
    <row r="39" spans="1:66" ht="20.100000000000001" customHeight="1" x14ac:dyDescent="0.45">
      <c r="A39" s="94"/>
      <c r="B39" s="8"/>
      <c r="C39"/>
      <c r="D39"/>
      <c r="E39"/>
      <c r="F39"/>
      <c r="G39"/>
      <c r="H39"/>
      <c r="I39"/>
      <c r="J39"/>
      <c r="K39"/>
      <c r="L39"/>
      <c r="M39"/>
      <c r="N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8"/>
      <c r="BL39" s="94"/>
    </row>
    <row r="40" spans="1:66" ht="20.100000000000001" customHeight="1" x14ac:dyDescent="0.45">
      <c r="A40" s="94"/>
      <c r="B40" s="8"/>
      <c r="C40"/>
      <c r="D40"/>
      <c r="E40"/>
      <c r="F40"/>
      <c r="G40"/>
      <c r="H40"/>
      <c r="I40"/>
      <c r="J40"/>
      <c r="K40"/>
      <c r="L40"/>
      <c r="M40"/>
      <c r="N40"/>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8"/>
      <c r="BL40" s="94"/>
    </row>
    <row r="41" spans="1:66" ht="20.100000000000001" customHeight="1" x14ac:dyDescent="0.45">
      <c r="A41" s="94"/>
      <c r="B41" s="8"/>
      <c r="C41"/>
      <c r="D41"/>
      <c r="E41"/>
      <c r="F41"/>
      <c r="G41"/>
      <c r="H41"/>
      <c r="I41"/>
      <c r="J41"/>
      <c r="K41"/>
      <c r="L41"/>
      <c r="M41"/>
      <c r="N41"/>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8"/>
      <c r="BL41" s="94"/>
    </row>
    <row r="42" spans="1:66" ht="20.100000000000001" customHeight="1" x14ac:dyDescent="0.45">
      <c r="A42" s="94"/>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94"/>
    </row>
    <row r="43" spans="1:66" ht="5.25" customHeight="1" x14ac:dyDescent="0.45">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c r="BC43" s="94"/>
      <c r="BD43" s="94"/>
      <c r="BE43" s="94"/>
      <c r="BF43" s="94"/>
      <c r="BG43" s="94"/>
      <c r="BH43" s="94"/>
      <c r="BI43" s="94"/>
      <c r="BJ43" s="94"/>
      <c r="BK43" s="94"/>
      <c r="BL43" s="94"/>
      <c r="BM43" s="94"/>
    </row>
  </sheetData>
  <mergeCells count="33">
    <mergeCell ref="C18:D18"/>
    <mergeCell ref="E18:N18"/>
    <mergeCell ref="O18:Q18"/>
    <mergeCell ref="C12:D12"/>
    <mergeCell ref="C13:D13"/>
    <mergeCell ref="C14:D14"/>
    <mergeCell ref="C15:D15"/>
    <mergeCell ref="O13:Q13"/>
    <mergeCell ref="O14:Q14"/>
    <mergeCell ref="O15:Q15"/>
    <mergeCell ref="E15:N15"/>
    <mergeCell ref="E12:N12"/>
    <mergeCell ref="E13:N13"/>
    <mergeCell ref="E14:N14"/>
    <mergeCell ref="C17:D17"/>
    <mergeCell ref="C16:D16"/>
    <mergeCell ref="E16:N16"/>
    <mergeCell ref="O16:Q16"/>
    <mergeCell ref="E17:N17"/>
    <mergeCell ref="O17:Q17"/>
    <mergeCell ref="O8:Q8"/>
    <mergeCell ref="O9:Q9"/>
    <mergeCell ref="O10:Q10"/>
    <mergeCell ref="O11:Q11"/>
    <mergeCell ref="O12:Q12"/>
    <mergeCell ref="E8:N8"/>
    <mergeCell ref="C8:D8"/>
    <mergeCell ref="C9:D9"/>
    <mergeCell ref="C10:D10"/>
    <mergeCell ref="C11:D11"/>
    <mergeCell ref="E9:N9"/>
    <mergeCell ref="E10:N10"/>
    <mergeCell ref="E11:N11"/>
  </mergeCells>
  <phoneticPr fontId="2"/>
  <pageMargins left="0.70866141732283472" right="0.70866141732283472" top="0.74803149606299213" bottom="0.74803149606299213" header="0.31496062992125984" footer="0.31496062992125984"/>
  <pageSetup paperSize="9" scale="51" fitToHeight="0" orientation="landscape" r:id="rId1"/>
  <headerFooter>
    <oddFooter>&amp;C&amp;P / &amp;N &amp;R©2024 SMS DataTech Corporation. All rights reserved.</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5976562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58" t="s">
        <v>0</v>
      </c>
      <c r="C2" s="159"/>
      <c r="D2" s="159"/>
      <c r="E2" s="159"/>
      <c r="F2" s="159"/>
      <c r="G2" s="159"/>
      <c r="H2" s="159" t="s">
        <v>344</v>
      </c>
      <c r="I2" s="159"/>
      <c r="J2" s="159"/>
      <c r="K2" s="159"/>
      <c r="L2" s="159" t="s">
        <v>343</v>
      </c>
      <c r="M2" s="159"/>
      <c r="N2" s="159"/>
      <c r="O2" s="159"/>
      <c r="P2" s="159"/>
      <c r="Q2" s="159"/>
      <c r="R2" s="159" t="s">
        <v>1</v>
      </c>
      <c r="S2" s="159"/>
      <c r="T2" s="159"/>
      <c r="U2" s="159"/>
      <c r="V2" s="159"/>
      <c r="W2" s="159"/>
      <c r="X2" s="160" t="s">
        <v>2</v>
      </c>
      <c r="Y2" s="161"/>
      <c r="Z2" s="161"/>
      <c r="AA2" s="161"/>
      <c r="AB2" s="161"/>
      <c r="AC2" s="161"/>
      <c r="AD2" s="161"/>
      <c r="AE2" s="161"/>
      <c r="AF2" s="161"/>
      <c r="AG2" s="161"/>
      <c r="AH2" s="161"/>
      <c r="AI2" s="161"/>
      <c r="AJ2" s="162"/>
      <c r="AK2" s="160" t="s">
        <v>15</v>
      </c>
      <c r="AL2" s="161"/>
      <c r="AM2" s="161"/>
      <c r="AN2" s="161"/>
      <c r="AO2" s="161"/>
      <c r="AP2" s="161"/>
      <c r="AQ2" s="161"/>
      <c r="AR2" s="161"/>
      <c r="AS2" s="161"/>
      <c r="AT2" s="161"/>
      <c r="AU2" s="161"/>
      <c r="AV2" s="161"/>
      <c r="AW2" s="162"/>
      <c r="AX2" s="159" t="s">
        <v>4</v>
      </c>
      <c r="AY2" s="159"/>
      <c r="AZ2" s="159"/>
      <c r="BA2" s="159"/>
      <c r="BB2" s="159" t="s">
        <v>3</v>
      </c>
      <c r="BC2" s="159"/>
      <c r="BD2" s="159"/>
      <c r="BE2" s="159"/>
      <c r="BF2" s="159" t="s">
        <v>5</v>
      </c>
      <c r="BG2" s="159"/>
      <c r="BH2" s="159"/>
      <c r="BI2" s="159"/>
      <c r="BJ2" s="159" t="s">
        <v>6</v>
      </c>
      <c r="BK2" s="159"/>
      <c r="BL2" s="159"/>
      <c r="BM2" s="173"/>
      <c r="BN2" s="15"/>
    </row>
    <row r="3" spans="1:66" ht="20.100000000000001" customHeight="1" x14ac:dyDescent="0.45">
      <c r="A3" s="9"/>
      <c r="B3" s="163" t="s">
        <v>341</v>
      </c>
      <c r="C3" s="164"/>
      <c r="D3" s="164"/>
      <c r="E3" s="164"/>
      <c r="F3" s="164"/>
      <c r="G3" s="164"/>
      <c r="H3" s="164" t="str">
        <f ca="1">LEFT($X$3,FIND("_",$X$3)-1)</f>
        <v>マスタ</v>
      </c>
      <c r="I3" s="164"/>
      <c r="J3" s="164"/>
      <c r="K3" s="164"/>
      <c r="L3" s="164" t="s">
        <v>342</v>
      </c>
      <c r="M3" s="164"/>
      <c r="N3" s="164"/>
      <c r="O3" s="164"/>
      <c r="P3" s="164"/>
      <c r="Q3" s="164"/>
      <c r="R3" s="167" t="str">
        <f ca="1">MID($X$3,FIND("_",$X$3,FIND("_",$X$3)+1)+1,LEN($X$3)-FIND("_",$X$3,FIND("_",$X$3)+1))</f>
        <v>画面設計書</v>
      </c>
      <c r="S3" s="164"/>
      <c r="T3" s="164"/>
      <c r="U3" s="164"/>
      <c r="V3" s="164"/>
      <c r="W3" s="164"/>
      <c r="X3" s="168" t="str">
        <f ca="1">REPLACE(LEFT(CELL("filename",$B$2),FIND(".x",CELL("filename",$B$2))-1),1,FIND("[",CELL("filename",$B$2)),)</f>
        <v>マスタ_売上仕入単価マスタ_画面設計書</v>
      </c>
      <c r="Y3" s="169"/>
      <c r="Z3" s="169"/>
      <c r="AA3" s="169"/>
      <c r="AB3" s="169"/>
      <c r="AC3" s="169"/>
      <c r="AD3" s="169"/>
      <c r="AE3" s="169"/>
      <c r="AF3" s="169"/>
      <c r="AG3" s="169"/>
      <c r="AH3" s="169"/>
      <c r="AI3" s="169"/>
      <c r="AJ3" s="165"/>
      <c r="AK3" s="168" t="str">
        <f ca="1">MID($X$3,FIND("_",$X$3)+1,FIND("_",$X$3,FIND("_",$X$3)+1)-FIND("_",$X$3)-1)</f>
        <v>売上仕入単価マスタ</v>
      </c>
      <c r="AL3" s="169"/>
      <c r="AM3" s="169"/>
      <c r="AN3" s="169"/>
      <c r="AO3" s="169"/>
      <c r="AP3" s="169"/>
      <c r="AQ3" s="169"/>
      <c r="AR3" s="169"/>
      <c r="AS3" s="169"/>
      <c r="AT3" s="169"/>
      <c r="AU3" s="169"/>
      <c r="AV3" s="169"/>
      <c r="AW3" s="165"/>
      <c r="AX3" s="175">
        <v>45443</v>
      </c>
      <c r="AY3" s="164"/>
      <c r="AZ3" s="164"/>
      <c r="BA3" s="164"/>
      <c r="BB3" s="164" t="s">
        <v>322</v>
      </c>
      <c r="BC3" s="164"/>
      <c r="BD3" s="164"/>
      <c r="BE3" s="164"/>
      <c r="BF3" s="175">
        <v>45443</v>
      </c>
      <c r="BG3" s="164"/>
      <c r="BH3" s="164"/>
      <c r="BI3" s="164"/>
      <c r="BJ3" s="164" t="s">
        <v>345</v>
      </c>
      <c r="BK3" s="164"/>
      <c r="BL3" s="164"/>
      <c r="BM3" s="176"/>
      <c r="BN3" s="15"/>
    </row>
    <row r="4" spans="1:66" ht="20.100000000000001" customHeight="1" thickBot="1" x14ac:dyDescent="0.5">
      <c r="A4" s="9"/>
      <c r="B4" s="165"/>
      <c r="C4" s="166"/>
      <c r="D4" s="166"/>
      <c r="E4" s="166"/>
      <c r="F4" s="166"/>
      <c r="G4" s="166"/>
      <c r="H4" s="166"/>
      <c r="I4" s="166"/>
      <c r="J4" s="166"/>
      <c r="K4" s="166"/>
      <c r="L4" s="166"/>
      <c r="M4" s="166"/>
      <c r="N4" s="166"/>
      <c r="O4" s="166"/>
      <c r="P4" s="166"/>
      <c r="Q4" s="166"/>
      <c r="R4" s="166"/>
      <c r="S4" s="166"/>
      <c r="T4" s="166"/>
      <c r="U4" s="166"/>
      <c r="V4" s="166"/>
      <c r="W4" s="166"/>
      <c r="X4" s="170"/>
      <c r="Y4" s="171"/>
      <c r="Z4" s="171"/>
      <c r="AA4" s="171"/>
      <c r="AB4" s="171"/>
      <c r="AC4" s="171"/>
      <c r="AD4" s="171"/>
      <c r="AE4" s="171"/>
      <c r="AF4" s="171"/>
      <c r="AG4" s="171"/>
      <c r="AH4" s="171"/>
      <c r="AI4" s="171"/>
      <c r="AJ4" s="172"/>
      <c r="AK4" s="170"/>
      <c r="AL4" s="171"/>
      <c r="AM4" s="171"/>
      <c r="AN4" s="171"/>
      <c r="AO4" s="171"/>
      <c r="AP4" s="171"/>
      <c r="AQ4" s="171"/>
      <c r="AR4" s="171"/>
      <c r="AS4" s="171"/>
      <c r="AT4" s="171"/>
      <c r="AU4" s="171"/>
      <c r="AV4" s="171"/>
      <c r="AW4" s="172"/>
      <c r="AX4" s="166"/>
      <c r="AY4" s="166"/>
      <c r="AZ4" s="166"/>
      <c r="BA4" s="166"/>
      <c r="BB4" s="166"/>
      <c r="BC4" s="166"/>
      <c r="BD4" s="166"/>
      <c r="BE4" s="166"/>
      <c r="BF4" s="166"/>
      <c r="BG4" s="166"/>
      <c r="BH4" s="166"/>
      <c r="BI4" s="166"/>
      <c r="BJ4" s="166"/>
      <c r="BK4" s="166"/>
      <c r="BL4" s="166"/>
      <c r="BM4" s="168"/>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5" t="s">
        <v>17</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74" t="s">
        <v>7</v>
      </c>
      <c r="D8" s="174"/>
      <c r="E8" s="174"/>
      <c r="F8" s="174"/>
      <c r="G8" s="174" t="s">
        <v>8</v>
      </c>
      <c r="H8" s="174"/>
      <c r="I8" s="174"/>
      <c r="J8" s="174"/>
      <c r="K8" s="174" t="s">
        <v>9</v>
      </c>
      <c r="L8" s="174"/>
      <c r="M8" s="174"/>
      <c r="N8" s="174"/>
      <c r="O8" s="174" t="s">
        <v>10</v>
      </c>
      <c r="P8" s="174"/>
      <c r="Q8" s="174"/>
      <c r="R8" s="174"/>
      <c r="S8" s="174"/>
      <c r="T8" s="174"/>
      <c r="U8" s="174"/>
      <c r="V8" s="174"/>
      <c r="W8" s="174"/>
      <c r="X8" s="174"/>
      <c r="Y8" s="174" t="s">
        <v>11</v>
      </c>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8"/>
      <c r="BN8" s="15"/>
    </row>
    <row r="9" spans="1:66" ht="20.100000000000001" customHeight="1" x14ac:dyDescent="0.45">
      <c r="A9" s="9"/>
      <c r="B9" s="8"/>
      <c r="C9" s="177">
        <v>45443</v>
      </c>
      <c r="D9" s="178"/>
      <c r="E9" s="178"/>
      <c r="F9" s="179"/>
      <c r="G9" s="151" t="s">
        <v>18</v>
      </c>
      <c r="H9" s="152"/>
      <c r="I9" s="152"/>
      <c r="J9" s="153"/>
      <c r="K9" s="180" t="s">
        <v>345</v>
      </c>
      <c r="L9" s="178"/>
      <c r="M9" s="178"/>
      <c r="N9" s="179"/>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8"/>
      <c r="BN9" s="15"/>
    </row>
    <row r="10" spans="1:66" ht="20.100000000000001" customHeight="1" x14ac:dyDescent="0.45">
      <c r="A10" s="9"/>
      <c r="B10" s="8"/>
      <c r="C10" s="177"/>
      <c r="D10" s="178"/>
      <c r="E10" s="178"/>
      <c r="F10" s="179"/>
      <c r="G10" s="151"/>
      <c r="H10" s="152"/>
      <c r="I10" s="152"/>
      <c r="J10" s="153"/>
      <c r="K10" s="180"/>
      <c r="L10" s="178"/>
      <c r="M10" s="178"/>
      <c r="N10" s="179"/>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8"/>
      <c r="BN10" s="15"/>
    </row>
    <row r="11" spans="1:66" ht="20.100000000000001" customHeight="1" x14ac:dyDescent="0.45">
      <c r="A11" s="9"/>
      <c r="B11" s="8"/>
      <c r="C11" s="177"/>
      <c r="D11" s="178"/>
      <c r="E11" s="178"/>
      <c r="F11" s="179"/>
      <c r="G11" s="151"/>
      <c r="H11" s="152"/>
      <c r="I11" s="152"/>
      <c r="J11" s="153"/>
      <c r="K11" s="180"/>
      <c r="L11" s="178"/>
      <c r="M11" s="178"/>
      <c r="N11" s="179"/>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8"/>
      <c r="BN11" s="15"/>
    </row>
    <row r="12" spans="1:66" ht="20.100000000000001" customHeight="1" x14ac:dyDescent="0.45">
      <c r="A12" s="9"/>
      <c r="B12" s="8"/>
      <c r="C12" s="33"/>
      <c r="D12" s="31"/>
      <c r="E12" s="31"/>
      <c r="F12" s="32"/>
      <c r="G12" s="27"/>
      <c r="H12" s="28"/>
      <c r="I12" s="28"/>
      <c r="J12" s="29"/>
      <c r="K12" s="30"/>
      <c r="L12" s="31"/>
      <c r="M12" s="31"/>
      <c r="N12" s="32"/>
      <c r="O12" s="34"/>
      <c r="P12" s="4"/>
      <c r="Q12" s="4"/>
      <c r="R12" s="4"/>
      <c r="S12" s="4"/>
      <c r="T12" s="4"/>
      <c r="U12" s="4"/>
      <c r="V12" s="4"/>
      <c r="W12" s="4"/>
      <c r="X12" s="35"/>
      <c r="Y12" s="3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35"/>
      <c r="BM12" s="8"/>
      <c r="BN12" s="15"/>
    </row>
    <row r="13" spans="1:66" ht="20.100000000000001" customHeight="1" x14ac:dyDescent="0.45">
      <c r="A13" s="9"/>
      <c r="B13" s="8"/>
      <c r="C13" s="33"/>
      <c r="D13" s="31"/>
      <c r="E13" s="31"/>
      <c r="F13" s="32"/>
      <c r="G13" s="27"/>
      <c r="H13" s="28"/>
      <c r="I13" s="28"/>
      <c r="J13" s="29"/>
      <c r="K13" s="30"/>
      <c r="L13" s="31"/>
      <c r="M13" s="31"/>
      <c r="N13" s="32"/>
      <c r="O13" s="34"/>
      <c r="P13" s="4"/>
      <c r="Q13" s="4"/>
      <c r="R13" s="4"/>
      <c r="S13" s="4"/>
      <c r="T13" s="4"/>
      <c r="U13" s="4"/>
      <c r="V13" s="4"/>
      <c r="W13" s="4"/>
      <c r="X13" s="35"/>
      <c r="Y13" s="3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35"/>
      <c r="BM13" s="8"/>
      <c r="BN13" s="15"/>
    </row>
    <row r="14" spans="1:66" ht="20.100000000000001" customHeight="1" x14ac:dyDescent="0.45">
      <c r="A14" s="9"/>
      <c r="B14" s="8"/>
      <c r="C14" s="33"/>
      <c r="D14" s="31"/>
      <c r="E14" s="31"/>
      <c r="F14" s="32"/>
      <c r="G14" s="27"/>
      <c r="H14" s="28"/>
      <c r="I14" s="28"/>
      <c r="J14" s="29"/>
      <c r="K14" s="30"/>
      <c r="L14" s="31"/>
      <c r="M14" s="31"/>
      <c r="N14" s="32"/>
      <c r="O14" s="34"/>
      <c r="P14" s="4"/>
      <c r="Q14" s="4"/>
      <c r="R14" s="4"/>
      <c r="S14" s="4"/>
      <c r="T14" s="4"/>
      <c r="U14" s="4"/>
      <c r="V14" s="4"/>
      <c r="W14" s="4"/>
      <c r="X14" s="35"/>
      <c r="Y14" s="3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35"/>
      <c r="BM14" s="8"/>
      <c r="BN14" s="15"/>
    </row>
    <row r="15" spans="1:66" ht="20.100000000000001" customHeight="1" x14ac:dyDescent="0.45">
      <c r="A15" s="9"/>
      <c r="B15" s="8"/>
      <c r="C15" s="33"/>
      <c r="D15" s="31"/>
      <c r="E15" s="31"/>
      <c r="F15" s="32"/>
      <c r="G15" s="27"/>
      <c r="H15" s="28"/>
      <c r="I15" s="28"/>
      <c r="J15" s="29"/>
      <c r="K15" s="30"/>
      <c r="L15" s="31"/>
      <c r="M15" s="31"/>
      <c r="N15" s="32"/>
      <c r="O15" s="34"/>
      <c r="P15" s="4"/>
      <c r="Q15" s="4"/>
      <c r="R15" s="4"/>
      <c r="S15" s="4"/>
      <c r="T15" s="4"/>
      <c r="U15" s="4"/>
      <c r="V15" s="4"/>
      <c r="W15" s="4"/>
      <c r="X15" s="35"/>
      <c r="Y15" s="3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35"/>
      <c r="BM15" s="8"/>
      <c r="BN15" s="15"/>
    </row>
    <row r="16" spans="1:66" ht="20.100000000000001" customHeight="1" x14ac:dyDescent="0.45">
      <c r="A16" s="9"/>
      <c r="B16" s="8"/>
      <c r="C16" s="33"/>
      <c r="D16" s="31"/>
      <c r="E16" s="31"/>
      <c r="F16" s="32"/>
      <c r="G16" s="27"/>
      <c r="H16" s="28"/>
      <c r="I16" s="28"/>
      <c r="J16" s="29"/>
      <c r="K16" s="30"/>
      <c r="L16" s="31"/>
      <c r="M16" s="31"/>
      <c r="N16" s="32"/>
      <c r="O16" s="34"/>
      <c r="P16" s="4"/>
      <c r="Q16" s="4"/>
      <c r="R16" s="4"/>
      <c r="S16" s="4"/>
      <c r="T16" s="4"/>
      <c r="U16" s="4"/>
      <c r="V16" s="4"/>
      <c r="W16" s="4"/>
      <c r="X16" s="35"/>
      <c r="Y16" s="3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35"/>
      <c r="BM16" s="8"/>
      <c r="BN16" s="15"/>
    </row>
    <row r="17" spans="1:66" ht="20.100000000000001" customHeight="1" x14ac:dyDescent="0.45">
      <c r="A17" s="9"/>
      <c r="B17" s="8"/>
      <c r="C17" s="33"/>
      <c r="D17" s="31"/>
      <c r="E17" s="31"/>
      <c r="F17" s="32"/>
      <c r="G17" s="27"/>
      <c r="H17" s="28"/>
      <c r="I17" s="28"/>
      <c r="J17" s="29"/>
      <c r="K17" s="30"/>
      <c r="L17" s="31"/>
      <c r="M17" s="31"/>
      <c r="N17" s="32"/>
      <c r="O17" s="34"/>
      <c r="P17" s="4"/>
      <c r="Q17" s="4"/>
      <c r="R17" s="4"/>
      <c r="S17" s="4"/>
      <c r="T17" s="4"/>
      <c r="U17" s="4"/>
      <c r="V17" s="4"/>
      <c r="W17" s="4"/>
      <c r="X17" s="35"/>
      <c r="Y17" s="3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35"/>
      <c r="BM17" s="8"/>
      <c r="BN17" s="15"/>
    </row>
    <row r="18" spans="1:66" ht="20.100000000000001" customHeight="1" x14ac:dyDescent="0.45">
      <c r="A18" s="9"/>
      <c r="B18" s="8"/>
      <c r="C18" s="33"/>
      <c r="D18" s="31"/>
      <c r="E18" s="31"/>
      <c r="F18" s="32"/>
      <c r="G18" s="27"/>
      <c r="H18" s="28"/>
      <c r="I18" s="28"/>
      <c r="J18" s="29"/>
      <c r="K18" s="30"/>
      <c r="L18" s="31"/>
      <c r="M18" s="31"/>
      <c r="N18" s="32"/>
      <c r="O18" s="34"/>
      <c r="P18" s="4"/>
      <c r="Q18" s="4"/>
      <c r="R18" s="4"/>
      <c r="S18" s="4"/>
      <c r="T18" s="4"/>
      <c r="U18" s="4"/>
      <c r="V18" s="4"/>
      <c r="W18" s="4"/>
      <c r="X18" s="35"/>
      <c r="Y18" s="3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35"/>
      <c r="BM18" s="8"/>
      <c r="BN18" s="15"/>
    </row>
    <row r="19" spans="1:66" ht="20.100000000000001" customHeight="1" x14ac:dyDescent="0.45">
      <c r="A19" s="9"/>
      <c r="B19" s="8"/>
      <c r="C19" s="33"/>
      <c r="D19" s="31"/>
      <c r="E19" s="31"/>
      <c r="F19" s="32"/>
      <c r="G19" s="27"/>
      <c r="H19" s="28"/>
      <c r="I19" s="28"/>
      <c r="J19" s="29"/>
      <c r="K19" s="30"/>
      <c r="L19" s="31"/>
      <c r="M19" s="31"/>
      <c r="N19" s="32"/>
      <c r="O19" s="34"/>
      <c r="P19" s="4"/>
      <c r="Q19" s="4"/>
      <c r="R19" s="4"/>
      <c r="S19" s="4"/>
      <c r="T19" s="4"/>
      <c r="U19" s="4"/>
      <c r="V19" s="4"/>
      <c r="W19" s="4"/>
      <c r="X19" s="35"/>
      <c r="Y19" s="3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35"/>
      <c r="BM19" s="8"/>
      <c r="BN19" s="15"/>
    </row>
    <row r="20" spans="1:66" ht="20.100000000000001" customHeight="1" x14ac:dyDescent="0.45">
      <c r="A20" s="9"/>
      <c r="B20" s="8"/>
      <c r="C20" s="33"/>
      <c r="D20" s="31"/>
      <c r="E20" s="31"/>
      <c r="F20" s="32"/>
      <c r="G20" s="27"/>
      <c r="H20" s="28"/>
      <c r="I20" s="28"/>
      <c r="J20" s="29"/>
      <c r="K20" s="30"/>
      <c r="L20" s="31"/>
      <c r="M20" s="31"/>
      <c r="N20" s="32"/>
      <c r="O20" s="34"/>
      <c r="P20" s="4"/>
      <c r="Q20" s="4"/>
      <c r="R20" s="4"/>
      <c r="S20" s="4"/>
      <c r="T20" s="4"/>
      <c r="U20" s="4"/>
      <c r="V20" s="4"/>
      <c r="W20" s="4"/>
      <c r="X20" s="35"/>
      <c r="Y20" s="3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35"/>
      <c r="BM20" s="8"/>
      <c r="BN20" s="15"/>
    </row>
    <row r="21" spans="1:66" ht="20.100000000000001" customHeight="1" x14ac:dyDescent="0.45">
      <c r="A21" s="9"/>
      <c r="B21" s="8"/>
      <c r="C21" s="33"/>
      <c r="D21" s="31"/>
      <c r="E21" s="31"/>
      <c r="F21" s="32"/>
      <c r="G21" s="27"/>
      <c r="H21" s="28"/>
      <c r="I21" s="28"/>
      <c r="J21" s="29"/>
      <c r="K21" s="30"/>
      <c r="L21" s="31"/>
      <c r="M21" s="31"/>
      <c r="N21" s="32"/>
      <c r="O21" s="34"/>
      <c r="P21" s="4"/>
      <c r="Q21" s="4"/>
      <c r="R21" s="4"/>
      <c r="S21" s="4"/>
      <c r="T21" s="4"/>
      <c r="U21" s="4"/>
      <c r="V21" s="4"/>
      <c r="W21" s="4"/>
      <c r="X21" s="35"/>
      <c r="Y21" s="3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35"/>
      <c r="BM21" s="8"/>
      <c r="BN21" s="15"/>
    </row>
    <row r="22" spans="1:66" ht="20.100000000000001" customHeight="1" x14ac:dyDescent="0.45">
      <c r="A22" s="9"/>
      <c r="B22" s="8"/>
      <c r="C22" s="33"/>
      <c r="D22" s="31"/>
      <c r="E22" s="31"/>
      <c r="F22" s="32"/>
      <c r="G22" s="27"/>
      <c r="H22" s="28"/>
      <c r="I22" s="28"/>
      <c r="J22" s="29"/>
      <c r="K22" s="30"/>
      <c r="L22" s="31"/>
      <c r="M22" s="31"/>
      <c r="N22" s="32"/>
      <c r="O22" s="34"/>
      <c r="P22" s="4"/>
      <c r="Q22" s="4"/>
      <c r="R22" s="4"/>
      <c r="S22" s="4"/>
      <c r="T22" s="4"/>
      <c r="U22" s="4"/>
      <c r="V22" s="4"/>
      <c r="W22" s="4"/>
      <c r="X22" s="35"/>
      <c r="Y22" s="3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35"/>
      <c r="BM22" s="8"/>
      <c r="BN22" s="15"/>
    </row>
    <row r="23" spans="1:66" ht="20.100000000000001" customHeight="1" x14ac:dyDescent="0.45">
      <c r="A23" s="9"/>
      <c r="B23" s="8"/>
      <c r="C23" s="33"/>
      <c r="D23" s="31"/>
      <c r="E23" s="31"/>
      <c r="F23" s="32"/>
      <c r="G23" s="27"/>
      <c r="H23" s="28"/>
      <c r="I23" s="28"/>
      <c r="J23" s="29"/>
      <c r="K23" s="30"/>
      <c r="L23" s="31"/>
      <c r="M23" s="31"/>
      <c r="N23" s="32"/>
      <c r="O23" s="34"/>
      <c r="P23" s="4"/>
      <c r="Q23" s="4"/>
      <c r="R23" s="4"/>
      <c r="S23" s="4"/>
      <c r="T23" s="4"/>
      <c r="U23" s="4"/>
      <c r="V23" s="4"/>
      <c r="W23" s="4"/>
      <c r="X23" s="35"/>
      <c r="Y23" s="3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35"/>
      <c r="BM23" s="8"/>
      <c r="BN23" s="15"/>
    </row>
    <row r="24" spans="1:66" ht="20.100000000000001" customHeight="1" x14ac:dyDescent="0.45">
      <c r="A24" s="9"/>
      <c r="B24" s="8"/>
      <c r="C24" s="33"/>
      <c r="D24" s="31"/>
      <c r="E24" s="31"/>
      <c r="F24" s="32"/>
      <c r="G24" s="27"/>
      <c r="H24" s="28"/>
      <c r="I24" s="28"/>
      <c r="J24" s="29"/>
      <c r="K24" s="30"/>
      <c r="L24" s="31"/>
      <c r="M24" s="31"/>
      <c r="N24" s="32"/>
      <c r="O24" s="34"/>
      <c r="P24" s="4"/>
      <c r="Q24" s="4"/>
      <c r="R24" s="4"/>
      <c r="S24" s="4"/>
      <c r="T24" s="4"/>
      <c r="U24" s="4"/>
      <c r="V24" s="4"/>
      <c r="W24" s="4"/>
      <c r="X24" s="35"/>
      <c r="Y24" s="3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35"/>
      <c r="BM24" s="8"/>
      <c r="BN24" s="15"/>
    </row>
    <row r="25" spans="1:66" ht="20.100000000000001" customHeight="1" x14ac:dyDescent="0.45">
      <c r="A25" s="9"/>
      <c r="B25" s="8"/>
      <c r="C25" s="33"/>
      <c r="D25" s="31"/>
      <c r="E25" s="31"/>
      <c r="F25" s="32"/>
      <c r="G25" s="27"/>
      <c r="H25" s="28"/>
      <c r="I25" s="28"/>
      <c r="J25" s="29"/>
      <c r="K25" s="30"/>
      <c r="L25" s="31"/>
      <c r="M25" s="31"/>
      <c r="N25" s="32"/>
      <c r="O25" s="34"/>
      <c r="P25" s="4"/>
      <c r="Q25" s="4"/>
      <c r="R25" s="4"/>
      <c r="S25" s="4"/>
      <c r="T25" s="4"/>
      <c r="U25" s="4"/>
      <c r="V25" s="4"/>
      <c r="W25" s="4"/>
      <c r="X25" s="35"/>
      <c r="Y25" s="3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35"/>
      <c r="BM25" s="8"/>
      <c r="BN25" s="15"/>
    </row>
    <row r="26" spans="1:66" ht="20.100000000000001" customHeight="1" x14ac:dyDescent="0.45">
      <c r="A26" s="9"/>
      <c r="B26" s="8"/>
      <c r="C26" s="33"/>
      <c r="D26" s="31"/>
      <c r="E26" s="31"/>
      <c r="F26" s="32"/>
      <c r="G26" s="27"/>
      <c r="H26" s="28"/>
      <c r="I26" s="28"/>
      <c r="J26" s="29"/>
      <c r="K26" s="30"/>
      <c r="L26" s="31"/>
      <c r="M26" s="31"/>
      <c r="N26" s="32"/>
      <c r="O26" s="34"/>
      <c r="P26" s="4"/>
      <c r="Q26" s="4"/>
      <c r="R26" s="4"/>
      <c r="S26" s="4"/>
      <c r="T26" s="4"/>
      <c r="U26" s="4"/>
      <c r="V26" s="4"/>
      <c r="W26" s="4"/>
      <c r="X26" s="35"/>
      <c r="Y26" s="3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35"/>
      <c r="BM26" s="8"/>
      <c r="BN26" s="15"/>
    </row>
    <row r="27" spans="1:66" ht="20.100000000000001" customHeight="1" x14ac:dyDescent="0.45">
      <c r="A27" s="9"/>
      <c r="B27" s="8"/>
      <c r="C27" s="33"/>
      <c r="D27" s="31"/>
      <c r="E27" s="31"/>
      <c r="F27" s="32"/>
      <c r="G27" s="27"/>
      <c r="H27" s="28"/>
      <c r="I27" s="28"/>
      <c r="J27" s="29"/>
      <c r="K27" s="30"/>
      <c r="L27" s="31"/>
      <c r="M27" s="31"/>
      <c r="N27" s="32"/>
      <c r="O27" s="34"/>
      <c r="P27" s="4"/>
      <c r="Q27" s="4"/>
      <c r="R27" s="4"/>
      <c r="S27" s="4"/>
      <c r="T27" s="4"/>
      <c r="U27" s="4"/>
      <c r="V27" s="4"/>
      <c r="W27" s="4"/>
      <c r="X27" s="35"/>
      <c r="Y27" s="3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35"/>
      <c r="BM27" s="8"/>
      <c r="BN27" s="15"/>
    </row>
    <row r="28" spans="1:66" ht="20.100000000000001" customHeight="1" x14ac:dyDescent="0.45">
      <c r="A28" s="9"/>
      <c r="B28" s="8"/>
      <c r="C28" s="33"/>
      <c r="D28" s="31"/>
      <c r="E28" s="31"/>
      <c r="F28" s="32"/>
      <c r="G28" s="27"/>
      <c r="H28" s="28"/>
      <c r="I28" s="28"/>
      <c r="J28" s="29"/>
      <c r="K28" s="30"/>
      <c r="L28" s="31"/>
      <c r="M28" s="31"/>
      <c r="N28" s="32"/>
      <c r="O28" s="34"/>
      <c r="P28" s="4"/>
      <c r="Q28" s="4"/>
      <c r="R28" s="4"/>
      <c r="S28" s="4"/>
      <c r="T28" s="4"/>
      <c r="U28" s="4"/>
      <c r="V28" s="4"/>
      <c r="W28" s="4"/>
      <c r="X28" s="35"/>
      <c r="Y28" s="3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35"/>
      <c r="BM28" s="8"/>
      <c r="BN28" s="15"/>
    </row>
    <row r="29" spans="1:66" ht="20.100000000000001" customHeight="1" x14ac:dyDescent="0.45">
      <c r="A29" s="9"/>
      <c r="B29" s="8"/>
      <c r="C29" s="33"/>
      <c r="D29" s="31"/>
      <c r="E29" s="31"/>
      <c r="F29" s="32"/>
      <c r="G29" s="27"/>
      <c r="H29" s="28"/>
      <c r="I29" s="28"/>
      <c r="J29" s="29"/>
      <c r="K29" s="30"/>
      <c r="L29" s="31"/>
      <c r="M29" s="31"/>
      <c r="N29" s="32"/>
      <c r="O29" s="34"/>
      <c r="P29" s="4"/>
      <c r="Q29" s="4"/>
      <c r="R29" s="4"/>
      <c r="S29" s="4"/>
      <c r="T29" s="4"/>
      <c r="U29" s="4"/>
      <c r="V29" s="4"/>
      <c r="W29" s="4"/>
      <c r="X29" s="35"/>
      <c r="Y29" s="3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35"/>
      <c r="BM29" s="8"/>
      <c r="BN29" s="15"/>
    </row>
    <row r="30" spans="1:66" ht="20.100000000000001" customHeight="1" x14ac:dyDescent="0.45">
      <c r="A30" s="9"/>
      <c r="B30" s="8"/>
      <c r="C30" s="33"/>
      <c r="D30" s="31"/>
      <c r="E30" s="31"/>
      <c r="F30" s="32"/>
      <c r="G30" s="27"/>
      <c r="H30" s="28"/>
      <c r="I30" s="28"/>
      <c r="J30" s="29"/>
      <c r="K30" s="30"/>
      <c r="L30" s="31"/>
      <c r="M30" s="31"/>
      <c r="N30" s="32"/>
      <c r="O30" s="34"/>
      <c r="P30" s="4"/>
      <c r="Q30" s="4"/>
      <c r="R30" s="4"/>
      <c r="S30" s="4"/>
      <c r="T30" s="4"/>
      <c r="U30" s="4"/>
      <c r="V30" s="4"/>
      <c r="W30" s="4"/>
      <c r="X30" s="35"/>
      <c r="Y30" s="3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35"/>
      <c r="BM30" s="8"/>
      <c r="BN30" s="15"/>
    </row>
    <row r="31" spans="1:66" ht="20.100000000000001" customHeight="1" x14ac:dyDescent="0.45">
      <c r="A31" s="9"/>
      <c r="B31" s="8"/>
      <c r="C31" s="33"/>
      <c r="D31" s="31"/>
      <c r="E31" s="31"/>
      <c r="F31" s="32"/>
      <c r="G31" s="27"/>
      <c r="H31" s="28"/>
      <c r="I31" s="28"/>
      <c r="J31" s="29"/>
      <c r="K31" s="30"/>
      <c r="L31" s="31"/>
      <c r="M31" s="31"/>
      <c r="N31" s="32"/>
      <c r="O31" s="34"/>
      <c r="P31" s="4"/>
      <c r="Q31" s="4"/>
      <c r="R31" s="4"/>
      <c r="S31" s="4"/>
      <c r="T31" s="4"/>
      <c r="U31" s="4"/>
      <c r="V31" s="4"/>
      <c r="W31" s="4"/>
      <c r="X31" s="35"/>
      <c r="Y31" s="3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35"/>
      <c r="BM31" s="8"/>
      <c r="BN31" s="15"/>
    </row>
    <row r="32" spans="1:66" ht="20.100000000000001" customHeight="1" x14ac:dyDescent="0.45">
      <c r="A32" s="9"/>
      <c r="B32" s="8"/>
      <c r="C32" s="33"/>
      <c r="D32" s="31"/>
      <c r="E32" s="31"/>
      <c r="F32" s="32"/>
      <c r="G32" s="27"/>
      <c r="H32" s="28"/>
      <c r="I32" s="28"/>
      <c r="J32" s="29"/>
      <c r="K32" s="30"/>
      <c r="L32" s="31"/>
      <c r="M32" s="31"/>
      <c r="N32" s="32"/>
      <c r="O32" s="34"/>
      <c r="P32" s="4"/>
      <c r="Q32" s="4"/>
      <c r="R32" s="4"/>
      <c r="S32" s="4"/>
      <c r="T32" s="4"/>
      <c r="U32" s="4"/>
      <c r="V32" s="4"/>
      <c r="W32" s="4"/>
      <c r="X32" s="35"/>
      <c r="Y32" s="3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35"/>
      <c r="BM32" s="8"/>
      <c r="BN32" s="15"/>
    </row>
    <row r="33" spans="1:66" ht="20.100000000000001" customHeight="1" x14ac:dyDescent="0.45">
      <c r="A33" s="9"/>
      <c r="B33" s="8"/>
      <c r="C33" s="33"/>
      <c r="D33" s="31"/>
      <c r="E33" s="31"/>
      <c r="F33" s="32"/>
      <c r="G33" s="27"/>
      <c r="H33" s="28"/>
      <c r="I33" s="28"/>
      <c r="J33" s="29"/>
      <c r="K33" s="30"/>
      <c r="L33" s="31"/>
      <c r="M33" s="31"/>
      <c r="N33" s="32"/>
      <c r="O33" s="34"/>
      <c r="P33" s="4"/>
      <c r="Q33" s="4"/>
      <c r="R33" s="4"/>
      <c r="S33" s="4"/>
      <c r="T33" s="4"/>
      <c r="U33" s="4"/>
      <c r="V33" s="4"/>
      <c r="W33" s="4"/>
      <c r="X33" s="35"/>
      <c r="Y33" s="3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35"/>
      <c r="BM33" s="8"/>
      <c r="BN33" s="15"/>
    </row>
    <row r="34" spans="1:66" ht="20.100000000000001" customHeight="1" x14ac:dyDescent="0.45">
      <c r="A34" s="9"/>
      <c r="B34" s="8"/>
      <c r="C34" s="33"/>
      <c r="D34" s="31"/>
      <c r="E34" s="31"/>
      <c r="F34" s="32"/>
      <c r="G34" s="27"/>
      <c r="H34" s="28"/>
      <c r="I34" s="28"/>
      <c r="J34" s="29"/>
      <c r="K34" s="30"/>
      <c r="L34" s="31"/>
      <c r="M34" s="31"/>
      <c r="N34" s="32"/>
      <c r="O34" s="34"/>
      <c r="P34" s="4"/>
      <c r="Q34" s="4"/>
      <c r="R34" s="4"/>
      <c r="S34" s="4"/>
      <c r="T34" s="4"/>
      <c r="U34" s="4"/>
      <c r="V34" s="4"/>
      <c r="W34" s="4"/>
      <c r="X34" s="35"/>
      <c r="Y34" s="3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35"/>
      <c r="BM34" s="8"/>
      <c r="BN34" s="15"/>
    </row>
    <row r="35" spans="1:66" ht="20.100000000000001" customHeight="1" x14ac:dyDescent="0.45">
      <c r="A35" s="9"/>
      <c r="B35" s="8"/>
      <c r="C35" s="33"/>
      <c r="D35" s="31"/>
      <c r="E35" s="31"/>
      <c r="F35" s="32"/>
      <c r="G35" s="27"/>
      <c r="H35" s="28"/>
      <c r="I35" s="28"/>
      <c r="J35" s="29"/>
      <c r="K35" s="30"/>
      <c r="L35" s="31"/>
      <c r="M35" s="31"/>
      <c r="N35" s="32"/>
      <c r="O35" s="34"/>
      <c r="P35" s="4"/>
      <c r="Q35" s="4"/>
      <c r="R35" s="4"/>
      <c r="S35" s="4"/>
      <c r="T35" s="4"/>
      <c r="U35" s="4"/>
      <c r="V35" s="4"/>
      <c r="W35" s="4"/>
      <c r="X35" s="35"/>
      <c r="Y35" s="3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35"/>
      <c r="BM35" s="8"/>
      <c r="BN35" s="15"/>
    </row>
    <row r="36" spans="1:66" ht="20.100000000000001" customHeight="1" x14ac:dyDescent="0.45">
      <c r="A36" s="9"/>
      <c r="B36" s="8"/>
      <c r="C36" s="177"/>
      <c r="D36" s="178"/>
      <c r="E36" s="178"/>
      <c r="F36" s="179"/>
      <c r="G36" s="151"/>
      <c r="H36" s="152"/>
      <c r="I36" s="152"/>
      <c r="J36" s="153"/>
      <c r="K36" s="180"/>
      <c r="L36" s="178"/>
      <c r="M36" s="178"/>
      <c r="N36" s="179"/>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8"/>
      <c r="BN36" s="15"/>
    </row>
    <row r="37" spans="1:66" ht="20.100000000000001" customHeight="1" x14ac:dyDescent="0.45">
      <c r="A37" s="9"/>
      <c r="B37" s="8"/>
      <c r="C37" s="177"/>
      <c r="D37" s="178"/>
      <c r="E37" s="178"/>
      <c r="F37" s="179"/>
      <c r="G37" s="151"/>
      <c r="H37" s="152"/>
      <c r="I37" s="152"/>
      <c r="J37" s="153"/>
      <c r="K37" s="180"/>
      <c r="L37" s="178"/>
      <c r="M37" s="178"/>
      <c r="N37" s="179"/>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8"/>
      <c r="BN37" s="15"/>
    </row>
    <row r="38" spans="1:66" ht="20.100000000000001" customHeight="1" x14ac:dyDescent="0.45">
      <c r="A38" s="9"/>
      <c r="B38" s="8"/>
      <c r="C38" s="177"/>
      <c r="D38" s="178"/>
      <c r="E38" s="178"/>
      <c r="F38" s="179"/>
      <c r="G38" s="151"/>
      <c r="H38" s="152"/>
      <c r="I38" s="152"/>
      <c r="J38" s="153"/>
      <c r="K38" s="180"/>
      <c r="L38" s="178"/>
      <c r="M38" s="178"/>
      <c r="N38" s="179"/>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8"/>
      <c r="BN38" s="15"/>
    </row>
    <row r="39" spans="1:66" ht="20.100000000000001" customHeight="1" x14ac:dyDescent="0.45">
      <c r="A39" s="9"/>
      <c r="B39" s="8"/>
      <c r="C39" s="177"/>
      <c r="D39" s="178"/>
      <c r="E39" s="178"/>
      <c r="F39" s="179"/>
      <c r="G39" s="151"/>
      <c r="H39" s="152"/>
      <c r="I39" s="152"/>
      <c r="J39" s="153"/>
      <c r="K39" s="180"/>
      <c r="L39" s="178"/>
      <c r="M39" s="178"/>
      <c r="N39" s="179"/>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8"/>
      <c r="BN39" s="15"/>
    </row>
    <row r="40" spans="1:66" ht="20.100000000000001" customHeight="1" x14ac:dyDescent="0.45">
      <c r="A40" s="9"/>
      <c r="B40" s="8"/>
      <c r="C40" s="177"/>
      <c r="D40" s="178"/>
      <c r="E40" s="178"/>
      <c r="F40" s="179"/>
      <c r="G40" s="151"/>
      <c r="H40" s="152"/>
      <c r="I40" s="152"/>
      <c r="J40" s="153"/>
      <c r="K40" s="180"/>
      <c r="L40" s="178"/>
      <c r="M40" s="178"/>
      <c r="N40" s="179"/>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8"/>
      <c r="BN40" s="15"/>
    </row>
    <row r="41" spans="1:66" ht="20.100000000000001" customHeight="1" x14ac:dyDescent="0.45">
      <c r="A41" s="9"/>
      <c r="B41" s="8"/>
      <c r="C41" s="177"/>
      <c r="D41" s="178"/>
      <c r="E41" s="178"/>
      <c r="F41" s="179"/>
      <c r="G41" s="151"/>
      <c r="H41" s="152"/>
      <c r="I41" s="152"/>
      <c r="J41" s="153"/>
      <c r="K41" s="180"/>
      <c r="L41" s="178"/>
      <c r="M41" s="178"/>
      <c r="N41" s="179"/>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8"/>
      <c r="BN41" s="15"/>
    </row>
    <row r="42" spans="1:66" ht="20.100000000000001" customHeight="1" x14ac:dyDescent="0.45">
      <c r="A42" s="9"/>
      <c r="B42" s="8"/>
      <c r="C42" s="177"/>
      <c r="D42" s="178"/>
      <c r="E42" s="178"/>
      <c r="F42" s="179"/>
      <c r="G42" s="151"/>
      <c r="H42" s="152"/>
      <c r="I42" s="152"/>
      <c r="J42" s="153"/>
      <c r="K42" s="180"/>
      <c r="L42" s="178"/>
      <c r="M42" s="178"/>
      <c r="N42" s="179"/>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8"/>
      <c r="BN42" s="15"/>
    </row>
    <row r="43" spans="1:66" ht="20.100000000000001" customHeight="1" x14ac:dyDescent="0.45">
      <c r="A43" s="9"/>
      <c r="B43" s="8"/>
      <c r="C43" s="177"/>
      <c r="D43" s="178"/>
      <c r="E43" s="178"/>
      <c r="F43" s="179"/>
      <c r="G43" s="151"/>
      <c r="H43" s="152"/>
      <c r="I43" s="152"/>
      <c r="J43" s="153"/>
      <c r="K43" s="180"/>
      <c r="L43" s="178"/>
      <c r="M43" s="178"/>
      <c r="N43" s="179"/>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8"/>
      <c r="BN43" s="15"/>
    </row>
    <row r="44" spans="1:66" ht="20.100000000000001" customHeight="1" x14ac:dyDescent="0.45">
      <c r="A44" s="9"/>
      <c r="B44" s="8"/>
      <c r="C44" s="177"/>
      <c r="D44" s="178"/>
      <c r="E44" s="178"/>
      <c r="F44" s="179"/>
      <c r="G44" s="151"/>
      <c r="H44" s="152"/>
      <c r="I44" s="152"/>
      <c r="J44" s="153"/>
      <c r="K44" s="180"/>
      <c r="L44" s="178"/>
      <c r="M44" s="178"/>
      <c r="N44" s="179"/>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8"/>
      <c r="BN44" s="15"/>
    </row>
    <row r="45" spans="1:66" ht="20.100000000000001" customHeight="1" x14ac:dyDescent="0.45">
      <c r="A45" s="9"/>
      <c r="B45" s="8"/>
      <c r="C45" s="177"/>
      <c r="D45" s="178"/>
      <c r="E45" s="178"/>
      <c r="F45" s="179"/>
      <c r="G45" s="151"/>
      <c r="H45" s="152"/>
      <c r="I45" s="152"/>
      <c r="J45" s="153"/>
      <c r="K45" s="180"/>
      <c r="L45" s="178"/>
      <c r="M45" s="178"/>
      <c r="N45" s="179"/>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8"/>
      <c r="BN45" s="15"/>
    </row>
    <row r="46" spans="1:66" ht="20.100000000000001" customHeight="1" x14ac:dyDescent="0.45">
      <c r="A46" s="9"/>
      <c r="B46" s="8"/>
      <c r="C46" s="177"/>
      <c r="D46" s="178"/>
      <c r="E46" s="178"/>
      <c r="F46" s="179"/>
      <c r="G46" s="151"/>
      <c r="H46" s="152"/>
      <c r="I46" s="152"/>
      <c r="J46" s="153"/>
      <c r="K46" s="180"/>
      <c r="L46" s="178"/>
      <c r="M46" s="178"/>
      <c r="N46" s="179"/>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8"/>
      <c r="BN46" s="15"/>
    </row>
    <row r="47" spans="1:66" ht="20.100000000000001" customHeight="1" x14ac:dyDescent="0.45">
      <c r="A47" s="9"/>
      <c r="B47" s="8"/>
      <c r="C47" s="177"/>
      <c r="D47" s="178"/>
      <c r="E47" s="178"/>
      <c r="F47" s="179"/>
      <c r="G47" s="151"/>
      <c r="H47" s="152"/>
      <c r="I47" s="152"/>
      <c r="J47" s="153"/>
      <c r="K47" s="180"/>
      <c r="L47" s="178"/>
      <c r="M47" s="178"/>
      <c r="N47" s="179"/>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1"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Y63"/>
  <sheetViews>
    <sheetView showGridLines="0" view="pageBreakPreview" topLeftCell="A7" zoomScaleNormal="100" zoomScaleSheetLayoutView="100" workbookViewId="0"/>
  </sheetViews>
  <sheetFormatPr defaultColWidth="3.59765625" defaultRowHeight="20.100000000000001" customHeight="1" x14ac:dyDescent="0.45"/>
  <cols>
    <col min="1" max="1" width="1.09765625" style="7" customWidth="1"/>
    <col min="2" max="3" width="3.59765625" style="7" customWidth="1"/>
    <col min="4" max="4" width="30.09765625" style="7" customWidth="1"/>
    <col min="5" max="6" width="3.59765625" style="7" customWidth="1"/>
    <col min="7" max="7" width="30.09765625" style="7" customWidth="1"/>
    <col min="8" max="9" width="3.59765625" style="7" customWidth="1"/>
    <col min="10" max="10" width="30.09765625" style="7" customWidth="1"/>
    <col min="11" max="12" width="3.59765625" style="7" customWidth="1"/>
    <col min="13" max="13" width="30.09765625" style="7" customWidth="1"/>
    <col min="14" max="24" width="3.59765625" style="7" customWidth="1"/>
    <col min="25" max="25" width="1.09765625" style="7" customWidth="1"/>
    <col min="26" max="16384" width="3.59765625" style="7"/>
  </cols>
  <sheetData>
    <row r="1" spans="1:25" ht="5.25" customHeight="1" x14ac:dyDescent="0.45">
      <c r="A1"/>
      <c r="B1"/>
      <c r="C1"/>
      <c r="D1"/>
      <c r="E1"/>
      <c r="F1"/>
      <c r="G1"/>
      <c r="H1"/>
      <c r="I1"/>
      <c r="J1"/>
      <c r="K1"/>
      <c r="L1"/>
      <c r="M1"/>
      <c r="N1"/>
      <c r="O1"/>
      <c r="P1"/>
      <c r="Q1"/>
      <c r="R1"/>
      <c r="S1"/>
      <c r="T1"/>
      <c r="U1"/>
      <c r="V1"/>
      <c r="W1"/>
      <c r="X1"/>
    </row>
    <row r="2" spans="1:25" ht="20.100000000000001" customHeight="1" x14ac:dyDescent="0.45">
      <c r="A2"/>
      <c r="B2" s="39"/>
      <c r="C2" s="39"/>
      <c r="D2" s="39"/>
      <c r="E2" s="39"/>
      <c r="F2" s="39"/>
      <c r="G2" s="39"/>
      <c r="H2" s="39"/>
      <c r="I2" s="39"/>
      <c r="J2" s="39"/>
      <c r="K2" s="39"/>
      <c r="L2" s="39"/>
      <c r="M2" s="39"/>
      <c r="N2" s="39"/>
      <c r="O2" s="39"/>
      <c r="P2" s="39"/>
      <c r="Q2" s="39"/>
      <c r="R2" s="39"/>
      <c r="S2" s="39"/>
      <c r="T2" s="39"/>
      <c r="U2" s="39"/>
      <c r="V2" s="39"/>
      <c r="W2" s="39"/>
      <c r="X2" s="39"/>
      <c r="Y2" s="8"/>
    </row>
    <row r="3" spans="1:25" ht="20.100000000000001" customHeight="1" x14ac:dyDescent="0.45">
      <c r="A3"/>
      <c r="B3" s="39"/>
      <c r="C3" s="39"/>
      <c r="D3" s="39"/>
      <c r="E3" s="39"/>
      <c r="F3" s="39"/>
      <c r="G3" s="39"/>
      <c r="H3" s="39"/>
      <c r="I3" s="39"/>
      <c r="J3" s="39"/>
      <c r="K3" s="39"/>
      <c r="L3" s="39"/>
      <c r="M3" s="39"/>
      <c r="N3" s="39"/>
      <c r="O3" s="39"/>
      <c r="P3" s="39"/>
      <c r="Q3" s="39"/>
      <c r="R3" s="39"/>
      <c r="S3" s="39"/>
      <c r="T3" s="39"/>
      <c r="U3" s="39"/>
      <c r="V3" s="39"/>
      <c r="W3" s="39"/>
      <c r="X3" s="39"/>
      <c r="Y3" s="8"/>
    </row>
    <row r="4" spans="1:25" ht="20.100000000000001" customHeight="1" x14ac:dyDescent="0.45">
      <c r="A4"/>
      <c r="B4" s="39"/>
      <c r="C4" s="39"/>
      <c r="D4" s="39"/>
      <c r="E4" s="39"/>
      <c r="F4" s="39"/>
      <c r="G4" s="39"/>
      <c r="H4" s="39"/>
      <c r="I4" s="39"/>
      <c r="J4" s="39"/>
      <c r="K4" s="39"/>
      <c r="L4" s="39"/>
      <c r="M4" s="39"/>
      <c r="N4" s="39"/>
      <c r="O4" s="39"/>
      <c r="P4" s="39"/>
      <c r="Q4" s="39"/>
      <c r="R4" s="39"/>
      <c r="S4" s="39"/>
      <c r="T4" s="39"/>
      <c r="U4" s="39"/>
      <c r="V4" s="39"/>
      <c r="W4" s="39"/>
      <c r="X4" s="39"/>
      <c r="Y4" s="8"/>
    </row>
    <row r="5" spans="1:25" ht="5.25" customHeight="1" thickBot="1" x14ac:dyDescent="0.5">
      <c r="B5" s="14"/>
      <c r="C5" s="14"/>
      <c r="D5" s="14"/>
      <c r="E5" s="14"/>
      <c r="F5" s="14"/>
      <c r="G5" s="14"/>
      <c r="H5" s="14"/>
      <c r="I5" s="14"/>
      <c r="J5" s="14"/>
      <c r="K5" s="14"/>
      <c r="L5" s="14"/>
      <c r="M5" s="14"/>
      <c r="N5" s="14"/>
      <c r="O5" s="14"/>
      <c r="P5" s="14"/>
      <c r="Q5" s="14"/>
      <c r="R5" s="14"/>
      <c r="S5" s="14"/>
      <c r="T5" s="14"/>
      <c r="U5" s="14"/>
      <c r="V5" s="14"/>
      <c r="W5" s="14"/>
      <c r="X5" s="14"/>
    </row>
    <row r="6" spans="1:25" ht="20.100000000000001" customHeight="1" thickTop="1" x14ac:dyDescent="0.45">
      <c r="A6" s="10"/>
      <c r="B6" s="8"/>
      <c r="C6" s="8"/>
      <c r="D6" s="8"/>
      <c r="E6" s="8"/>
      <c r="F6" s="8"/>
      <c r="G6" s="8"/>
      <c r="H6" s="8"/>
      <c r="I6" s="8"/>
      <c r="J6" s="8"/>
      <c r="K6" s="8"/>
      <c r="L6" s="8"/>
      <c r="M6" s="8"/>
      <c r="N6" s="8"/>
      <c r="O6" s="8"/>
      <c r="P6" s="8"/>
      <c r="Q6" s="8"/>
      <c r="R6" s="8"/>
      <c r="S6" s="8"/>
      <c r="T6" s="8"/>
      <c r="U6" s="8"/>
      <c r="V6" s="8"/>
      <c r="W6" s="8"/>
      <c r="X6" s="8"/>
      <c r="Y6" s="16"/>
    </row>
    <row r="7" spans="1:25" ht="20.100000000000001" customHeight="1" x14ac:dyDescent="0.45">
      <c r="A7" s="10"/>
      <c r="B7" s="8"/>
      <c r="C7" s="25"/>
      <c r="D7" s="8"/>
      <c r="E7" s="8"/>
      <c r="F7" s="8"/>
      <c r="G7" s="8"/>
      <c r="H7" s="8"/>
      <c r="I7" s="8"/>
      <c r="J7" s="8"/>
      <c r="K7" s="8"/>
      <c r="L7" s="8"/>
      <c r="M7" s="8"/>
      <c r="N7" s="8"/>
      <c r="O7" s="8"/>
      <c r="P7" s="8"/>
      <c r="Q7" s="8"/>
      <c r="R7" s="5"/>
      <c r="S7" s="5"/>
      <c r="T7" s="5"/>
      <c r="U7" s="8"/>
      <c r="V7" s="8"/>
      <c r="W7" s="8"/>
      <c r="X7" s="8"/>
      <c r="Y7" s="16"/>
    </row>
    <row r="8" spans="1:25" ht="20.100000000000001" customHeight="1" x14ac:dyDescent="0.45">
      <c r="A8" s="10"/>
      <c r="B8" s="8"/>
      <c r="C8" s="8"/>
      <c r="D8" s="8"/>
      <c r="E8" s="8"/>
      <c r="F8" s="8"/>
      <c r="G8" s="8"/>
      <c r="H8" s="8"/>
      <c r="I8" s="8"/>
      <c r="J8" s="8"/>
      <c r="K8" s="8"/>
      <c r="L8" s="8"/>
      <c r="M8" s="8"/>
      <c r="N8" s="8"/>
      <c r="O8" s="8"/>
      <c r="P8" s="8"/>
      <c r="Q8" s="8"/>
      <c r="R8" s="5"/>
      <c r="S8" s="5"/>
      <c r="T8" s="5"/>
      <c r="U8" s="8"/>
      <c r="V8" s="8"/>
      <c r="W8" s="8"/>
      <c r="X8" s="8"/>
      <c r="Y8" s="16"/>
    </row>
    <row r="9" spans="1:25" ht="20.100000000000001" customHeight="1" x14ac:dyDescent="0.45">
      <c r="A9" s="10"/>
      <c r="B9" s="8"/>
      <c r="C9" s="8"/>
      <c r="D9" s="8"/>
      <c r="E9" s="8"/>
      <c r="F9" s="8"/>
      <c r="G9" s="8"/>
      <c r="H9" s="8"/>
      <c r="I9" s="8"/>
      <c r="J9" s="8"/>
      <c r="K9" s="8"/>
      <c r="L9" s="8"/>
      <c r="M9" s="8"/>
      <c r="N9" s="8"/>
      <c r="O9" s="8"/>
      <c r="P9" s="8"/>
      <c r="Q9" s="8"/>
      <c r="R9" s="5"/>
      <c r="S9" s="5"/>
      <c r="T9" s="5"/>
      <c r="U9" s="8"/>
      <c r="V9" s="8"/>
      <c r="W9" s="8"/>
      <c r="X9" s="8"/>
      <c r="Y9" s="16"/>
    </row>
    <row r="10" spans="1:25" ht="20.100000000000001" customHeight="1" x14ac:dyDescent="0.45">
      <c r="A10" s="10"/>
      <c r="B10" s="8"/>
      <c r="C10" s="8"/>
      <c r="D10" s="8"/>
      <c r="E10" s="8"/>
      <c r="F10" s="8"/>
      <c r="G10" s="8"/>
      <c r="H10" s="8"/>
      <c r="I10" s="8"/>
      <c r="J10" s="8"/>
      <c r="K10" s="8"/>
      <c r="L10" s="8"/>
      <c r="M10" s="8"/>
      <c r="N10" s="8"/>
      <c r="O10" s="8"/>
      <c r="P10" s="8"/>
      <c r="Q10" s="8"/>
      <c r="R10" s="5"/>
      <c r="S10" s="5"/>
      <c r="T10" s="5"/>
      <c r="U10" s="8"/>
      <c r="V10" s="8"/>
      <c r="W10" s="8"/>
      <c r="X10" s="8"/>
      <c r="Y10" s="16"/>
    </row>
    <row r="11" spans="1:25" ht="20.100000000000001" customHeight="1" x14ac:dyDescent="0.45">
      <c r="A11" s="10"/>
      <c r="B11" s="8"/>
      <c r="C11" s="8"/>
      <c r="D11" s="8"/>
      <c r="E11" s="8"/>
      <c r="F11" s="8"/>
      <c r="G11" s="8"/>
      <c r="H11" s="8"/>
      <c r="I11" s="8"/>
      <c r="J11" s="8"/>
      <c r="K11" s="8"/>
      <c r="L11" s="8"/>
      <c r="M11" s="8"/>
      <c r="N11" s="8"/>
      <c r="O11" s="8"/>
      <c r="P11" s="8"/>
      <c r="Q11" s="8"/>
      <c r="R11" s="5"/>
      <c r="S11" s="5"/>
      <c r="T11" s="5"/>
      <c r="U11" s="8"/>
      <c r="V11" s="8"/>
      <c r="W11" s="8"/>
      <c r="X11" s="8"/>
      <c r="Y11" s="16"/>
    </row>
    <row r="12" spans="1:25" ht="20.100000000000001" customHeight="1" x14ac:dyDescent="0.45">
      <c r="A12" s="10"/>
      <c r="B12" s="8"/>
      <c r="C12" s="8"/>
      <c r="D12" s="8"/>
      <c r="E12" s="8"/>
      <c r="F12" s="8"/>
      <c r="G12" s="8"/>
      <c r="H12" s="8"/>
      <c r="I12" s="8"/>
      <c r="J12" s="8"/>
      <c r="K12" s="8"/>
      <c r="L12" s="8"/>
      <c r="M12" s="8"/>
      <c r="N12" s="8"/>
      <c r="O12" s="8"/>
      <c r="P12" s="8"/>
      <c r="Q12" s="8"/>
      <c r="R12" s="5"/>
      <c r="S12" s="5"/>
      <c r="T12" s="5"/>
      <c r="U12" s="8"/>
      <c r="V12" s="8"/>
      <c r="W12" s="8"/>
      <c r="X12" s="8"/>
      <c r="Y12" s="16"/>
    </row>
    <row r="13" spans="1:25" ht="20.100000000000001" customHeight="1" x14ac:dyDescent="0.45">
      <c r="A13" s="10"/>
      <c r="B13" s="8"/>
      <c r="C13" s="8"/>
      <c r="D13" s="8"/>
      <c r="E13" s="8"/>
      <c r="F13" s="8"/>
      <c r="G13" s="8"/>
      <c r="H13" s="8"/>
      <c r="I13" s="8"/>
      <c r="J13" s="8"/>
      <c r="K13" s="8"/>
      <c r="L13" s="8"/>
      <c r="M13" s="8"/>
      <c r="N13" s="8"/>
      <c r="O13" s="8"/>
      <c r="P13" s="8"/>
      <c r="Q13" s="8"/>
      <c r="R13" s="5"/>
      <c r="S13" s="5"/>
      <c r="T13" s="5"/>
      <c r="U13" s="8"/>
      <c r="V13" s="8"/>
      <c r="W13" s="8"/>
      <c r="X13" s="8"/>
      <c r="Y13" s="16"/>
    </row>
    <row r="14" spans="1:25" ht="20.100000000000001" customHeight="1" x14ac:dyDescent="0.45">
      <c r="A14" s="10"/>
      <c r="B14" s="8"/>
      <c r="C14" s="8"/>
      <c r="D14" s="8"/>
      <c r="E14" s="8"/>
      <c r="F14" s="8"/>
      <c r="G14" s="8"/>
      <c r="H14" s="8"/>
      <c r="I14" s="8"/>
      <c r="J14" s="8"/>
      <c r="K14" s="8"/>
      <c r="L14" s="8"/>
      <c r="M14" s="8"/>
      <c r="N14" s="8"/>
      <c r="O14" s="8"/>
      <c r="P14" s="8"/>
      <c r="Q14" s="8"/>
      <c r="R14" s="5"/>
      <c r="S14" s="5"/>
      <c r="T14" s="5"/>
      <c r="U14" s="8"/>
      <c r="V14" s="8"/>
      <c r="W14" s="8"/>
      <c r="X14" s="8"/>
      <c r="Y14" s="16"/>
    </row>
    <row r="15" spans="1:25" ht="20.100000000000001" customHeight="1" x14ac:dyDescent="0.45">
      <c r="A15" s="10"/>
      <c r="B15" s="8"/>
      <c r="C15" s="8"/>
      <c r="D15" s="8"/>
      <c r="E15" s="8"/>
      <c r="F15" s="8"/>
      <c r="G15" s="8"/>
      <c r="H15" s="8"/>
      <c r="I15" s="8"/>
      <c r="J15" s="8"/>
      <c r="K15" s="8"/>
      <c r="L15" s="8"/>
      <c r="M15" s="8"/>
      <c r="N15" s="8"/>
      <c r="O15" s="8"/>
      <c r="P15" s="8"/>
      <c r="Q15" s="8"/>
      <c r="R15" s="5"/>
      <c r="S15" s="5"/>
      <c r="T15" s="5"/>
      <c r="U15" s="8"/>
      <c r="V15" s="8"/>
      <c r="W15" s="8"/>
      <c r="X15" s="8"/>
      <c r="Y15" s="16"/>
    </row>
    <row r="16" spans="1:25" ht="20.100000000000001" customHeight="1" x14ac:dyDescent="0.45">
      <c r="A16" s="10"/>
      <c r="B16" s="8"/>
      <c r="C16" s="8"/>
      <c r="D16" s="8"/>
      <c r="E16" s="8"/>
      <c r="F16" s="8"/>
      <c r="G16" s="8"/>
      <c r="H16" s="8"/>
      <c r="I16" s="8"/>
      <c r="J16" s="8"/>
      <c r="K16" s="8"/>
      <c r="L16" s="8"/>
      <c r="M16" s="8"/>
      <c r="N16" s="8"/>
      <c r="O16" s="8"/>
      <c r="P16" s="8"/>
      <c r="Q16" s="8"/>
      <c r="R16" s="5"/>
      <c r="S16" s="5"/>
      <c r="T16" s="5"/>
      <c r="U16" s="8"/>
      <c r="V16" s="8"/>
      <c r="W16" s="8"/>
      <c r="X16" s="8"/>
      <c r="Y16" s="16"/>
    </row>
    <row r="17" spans="1:25" ht="20.100000000000001" customHeight="1" x14ac:dyDescent="0.45">
      <c r="A17" s="10"/>
      <c r="B17" s="8"/>
      <c r="C17" s="8"/>
      <c r="D17" s="8"/>
      <c r="E17" s="8"/>
      <c r="F17" s="8"/>
      <c r="G17" s="8"/>
      <c r="H17" s="8"/>
      <c r="I17" s="8"/>
      <c r="J17" s="8"/>
      <c r="K17" s="8"/>
      <c r="L17" s="8"/>
      <c r="M17" s="8"/>
      <c r="N17" s="8"/>
      <c r="O17" s="8"/>
      <c r="P17" s="8"/>
      <c r="Q17" s="8"/>
      <c r="R17" s="5"/>
      <c r="S17" s="5"/>
      <c r="T17" s="5"/>
      <c r="U17" s="8"/>
      <c r="V17" s="8"/>
      <c r="W17" s="8"/>
      <c r="X17" s="8"/>
      <c r="Y17" s="16"/>
    </row>
    <row r="18" spans="1:25" ht="20.100000000000001" customHeight="1" x14ac:dyDescent="0.45">
      <c r="A18" s="10"/>
      <c r="B18" s="8"/>
      <c r="C18" s="8"/>
      <c r="D18" s="8"/>
      <c r="E18" s="8"/>
      <c r="F18" s="8"/>
      <c r="G18" s="8"/>
      <c r="H18" s="8"/>
      <c r="I18" s="8"/>
      <c r="J18" s="8"/>
      <c r="K18" s="8"/>
      <c r="L18" s="8"/>
      <c r="M18" s="8"/>
      <c r="N18" s="8"/>
      <c r="O18" s="8"/>
      <c r="P18" s="8"/>
      <c r="Q18" s="8"/>
      <c r="R18" s="5"/>
      <c r="S18" s="5"/>
      <c r="T18" s="5"/>
      <c r="U18" s="8"/>
      <c r="V18" s="8"/>
      <c r="W18" s="8"/>
      <c r="X18" s="8"/>
      <c r="Y18" s="16"/>
    </row>
    <row r="19" spans="1:25" ht="20.100000000000001" customHeight="1" x14ac:dyDescent="0.45">
      <c r="A19" s="10"/>
      <c r="B19" s="8"/>
      <c r="C19" s="8"/>
      <c r="D19" s="8"/>
      <c r="E19" s="8"/>
      <c r="F19" s="8"/>
      <c r="G19" s="8"/>
      <c r="H19" s="8"/>
      <c r="I19" s="8"/>
      <c r="J19" s="8"/>
      <c r="K19" s="8"/>
      <c r="L19" s="8"/>
      <c r="M19" s="8"/>
      <c r="N19" s="8"/>
      <c r="O19" s="8"/>
      <c r="P19" s="8"/>
      <c r="Q19" s="8"/>
      <c r="R19" s="5"/>
      <c r="S19" s="5"/>
      <c r="T19" s="5"/>
      <c r="U19" s="8"/>
      <c r="V19" s="8"/>
      <c r="W19" s="8"/>
      <c r="X19" s="8"/>
      <c r="Y19" s="16"/>
    </row>
    <row r="20" spans="1:25" ht="20.100000000000001" customHeight="1" x14ac:dyDescent="0.45">
      <c r="A20" s="10"/>
      <c r="B20" s="8"/>
      <c r="C20" s="8"/>
      <c r="D20" s="8"/>
      <c r="E20" s="8"/>
      <c r="F20" s="8"/>
      <c r="G20" s="8"/>
      <c r="H20" s="8"/>
      <c r="I20" s="8"/>
      <c r="J20" s="8"/>
      <c r="K20" s="8"/>
      <c r="L20" s="8"/>
      <c r="M20" s="8"/>
      <c r="N20" s="8"/>
      <c r="O20" s="8"/>
      <c r="P20" s="8"/>
      <c r="Q20" s="8"/>
      <c r="R20" s="5"/>
      <c r="S20" s="5"/>
      <c r="T20" s="5"/>
      <c r="U20" s="8"/>
      <c r="V20" s="8"/>
      <c r="W20" s="8"/>
      <c r="X20" s="8"/>
      <c r="Y20" s="16"/>
    </row>
    <row r="21" spans="1:25" ht="20.100000000000001" customHeight="1" x14ac:dyDescent="0.45">
      <c r="A21" s="10"/>
      <c r="B21" s="8"/>
      <c r="C21" s="8"/>
      <c r="D21" s="8"/>
      <c r="E21" s="8"/>
      <c r="F21" s="8"/>
      <c r="G21" s="8"/>
      <c r="H21" s="8"/>
      <c r="I21" s="8"/>
      <c r="J21" s="8"/>
      <c r="K21" s="8"/>
      <c r="L21" s="8"/>
      <c r="M21" s="8"/>
      <c r="N21" s="8"/>
      <c r="O21" s="8"/>
      <c r="P21" s="8"/>
      <c r="Q21" s="8"/>
      <c r="R21" s="5"/>
      <c r="S21" s="5"/>
      <c r="T21" s="5"/>
      <c r="U21" s="8"/>
      <c r="V21" s="8"/>
      <c r="W21" s="8"/>
      <c r="X21" s="8"/>
      <c r="Y21" s="16"/>
    </row>
    <row r="22" spans="1:25" ht="20.100000000000001" customHeight="1" x14ac:dyDescent="0.45">
      <c r="A22" s="10"/>
      <c r="B22" s="8"/>
      <c r="C22" s="8"/>
      <c r="D22" s="8"/>
      <c r="E22" s="8"/>
      <c r="F22" s="8"/>
      <c r="G22" s="8"/>
      <c r="H22" s="8"/>
      <c r="I22" s="8"/>
      <c r="J22" s="8"/>
      <c r="K22" s="8"/>
      <c r="L22" s="8"/>
      <c r="M22" s="8"/>
      <c r="N22" s="8"/>
      <c r="O22" s="8"/>
      <c r="P22" s="8"/>
      <c r="Q22" s="8"/>
      <c r="R22" s="5"/>
      <c r="S22" s="5"/>
      <c r="T22" s="5"/>
      <c r="U22" s="8"/>
      <c r="V22" s="8"/>
      <c r="W22" s="8"/>
      <c r="X22" s="8"/>
      <c r="Y22" s="16"/>
    </row>
    <row r="23" spans="1:25" ht="20.100000000000001" customHeight="1" x14ac:dyDescent="0.45">
      <c r="A23" s="10"/>
      <c r="B23" s="8"/>
      <c r="C23" s="8"/>
      <c r="D23" s="8"/>
      <c r="E23" s="8"/>
      <c r="F23" s="8"/>
      <c r="G23" s="8"/>
      <c r="H23" s="8"/>
      <c r="I23" s="8"/>
      <c r="J23" s="8"/>
      <c r="K23" s="8"/>
      <c r="L23" s="8"/>
      <c r="M23" s="8"/>
      <c r="N23" s="8"/>
      <c r="O23" s="8"/>
      <c r="P23" s="8"/>
      <c r="Q23" s="8"/>
      <c r="R23" s="5"/>
      <c r="S23" s="5"/>
      <c r="T23" s="5"/>
      <c r="U23" s="8"/>
      <c r="V23" s="8"/>
      <c r="W23" s="8"/>
      <c r="X23" s="8"/>
      <c r="Y23" s="16"/>
    </row>
    <row r="24" spans="1:25" ht="20.100000000000001" customHeight="1" x14ac:dyDescent="0.45">
      <c r="A24" s="10"/>
      <c r="B24" s="8"/>
      <c r="C24" s="8"/>
      <c r="D24" s="8"/>
      <c r="E24" s="8"/>
      <c r="F24" s="8"/>
      <c r="G24" s="8"/>
      <c r="H24" s="8"/>
      <c r="I24" s="8"/>
      <c r="J24" s="8"/>
      <c r="K24" s="8"/>
      <c r="L24" s="8"/>
      <c r="M24" s="8"/>
      <c r="N24" s="8"/>
      <c r="O24" s="8"/>
      <c r="P24" s="8"/>
      <c r="Q24" s="8"/>
      <c r="R24" s="5"/>
      <c r="S24" s="5"/>
      <c r="T24" s="5"/>
      <c r="U24" s="8"/>
      <c r="V24" s="8"/>
      <c r="W24" s="8"/>
      <c r="X24" s="8"/>
      <c r="Y24" s="16"/>
    </row>
    <row r="25" spans="1:25" ht="20.100000000000001" customHeight="1" x14ac:dyDescent="0.45">
      <c r="A25" s="10"/>
      <c r="B25" s="8"/>
      <c r="C25" s="8"/>
      <c r="D25" s="8"/>
      <c r="E25" s="8"/>
      <c r="F25" s="8"/>
      <c r="G25" s="8"/>
      <c r="H25" s="8"/>
      <c r="I25" s="8"/>
      <c r="J25" s="8"/>
      <c r="K25" s="8"/>
      <c r="L25" s="8"/>
      <c r="M25" s="8"/>
      <c r="N25" s="8"/>
      <c r="O25" s="8"/>
      <c r="P25" s="8"/>
      <c r="Q25" s="8"/>
      <c r="R25" s="5"/>
      <c r="S25" s="5"/>
      <c r="T25" s="5"/>
      <c r="U25" s="8"/>
      <c r="V25" s="8"/>
      <c r="W25" s="8"/>
      <c r="X25" s="8"/>
      <c r="Y25" s="16"/>
    </row>
    <row r="26" spans="1:25" ht="20.100000000000001" customHeight="1" x14ac:dyDescent="0.45">
      <c r="A26" s="10"/>
      <c r="B26" s="8"/>
      <c r="C26" s="8"/>
      <c r="D26" s="8"/>
      <c r="E26" s="8"/>
      <c r="F26" s="8"/>
      <c r="G26" s="8"/>
      <c r="H26" s="8"/>
      <c r="I26" s="8"/>
      <c r="J26" s="8"/>
      <c r="K26" s="8"/>
      <c r="L26" s="8"/>
      <c r="M26" s="8"/>
      <c r="N26" s="8"/>
      <c r="O26" s="8"/>
      <c r="P26" s="8"/>
      <c r="Q26" s="8"/>
      <c r="R26" s="5"/>
      <c r="S26" s="5"/>
      <c r="T26" s="5"/>
      <c r="U26" s="8"/>
      <c r="V26" s="8"/>
      <c r="W26" s="8"/>
      <c r="X26" s="8"/>
      <c r="Y26" s="16"/>
    </row>
    <row r="27" spans="1:25" ht="20.100000000000001" customHeight="1" x14ac:dyDescent="0.45">
      <c r="A27" s="10"/>
      <c r="B27" s="8"/>
      <c r="C27" s="8"/>
      <c r="D27" s="8"/>
      <c r="E27" s="8"/>
      <c r="F27" s="8"/>
      <c r="G27" s="8"/>
      <c r="H27" s="8"/>
      <c r="I27" s="8"/>
      <c r="J27" s="8"/>
      <c r="K27" s="8"/>
      <c r="L27" s="8"/>
      <c r="M27" s="8"/>
      <c r="N27" s="8"/>
      <c r="O27" s="8"/>
      <c r="P27" s="8"/>
      <c r="Q27" s="8"/>
      <c r="R27" s="5"/>
      <c r="S27" s="5"/>
      <c r="T27" s="5"/>
      <c r="U27" s="8"/>
      <c r="V27" s="8"/>
      <c r="W27" s="8"/>
      <c r="X27" s="8"/>
      <c r="Y27" s="16"/>
    </row>
    <row r="28" spans="1:25" ht="20.100000000000001" customHeight="1" x14ac:dyDescent="0.45">
      <c r="A28" s="10"/>
      <c r="B28" s="8"/>
      <c r="C28" s="8"/>
      <c r="D28" s="8"/>
      <c r="E28" s="8"/>
      <c r="F28" s="8"/>
      <c r="G28" s="8"/>
      <c r="H28" s="8"/>
      <c r="I28" s="8"/>
      <c r="J28" s="8"/>
      <c r="K28" s="8"/>
      <c r="L28" s="8"/>
      <c r="M28" s="8"/>
      <c r="N28" s="8"/>
      <c r="O28" s="8"/>
      <c r="P28" s="8"/>
      <c r="Q28" s="8"/>
      <c r="R28" s="5"/>
      <c r="S28" s="5"/>
      <c r="T28" s="5"/>
      <c r="U28" s="8"/>
      <c r="V28" s="8"/>
      <c r="W28" s="8"/>
      <c r="X28" s="8"/>
      <c r="Y28" s="16"/>
    </row>
    <row r="29" spans="1:25" ht="20.100000000000001" customHeight="1" x14ac:dyDescent="0.45">
      <c r="A29" s="10"/>
      <c r="B29" s="8"/>
      <c r="C29" s="8"/>
      <c r="D29" s="8"/>
      <c r="E29" s="8"/>
      <c r="F29" s="8"/>
      <c r="G29" s="8"/>
      <c r="H29" s="8"/>
      <c r="I29" s="8"/>
      <c r="J29" s="8"/>
      <c r="K29" s="8"/>
      <c r="L29" s="8"/>
      <c r="M29" s="8"/>
      <c r="N29" s="8"/>
      <c r="O29" s="8"/>
      <c r="P29" s="8"/>
      <c r="Q29" s="8"/>
      <c r="R29" s="5"/>
      <c r="S29" s="5"/>
      <c r="T29" s="5"/>
      <c r="U29" s="8"/>
      <c r="V29" s="8"/>
      <c r="W29" s="8"/>
      <c r="X29" s="8"/>
      <c r="Y29" s="16"/>
    </row>
    <row r="30" spans="1:25" ht="20.100000000000001" customHeight="1" x14ac:dyDescent="0.45">
      <c r="A30" s="10"/>
      <c r="B30" s="8"/>
      <c r="C30" s="8"/>
      <c r="D30" s="8"/>
      <c r="E30" s="8"/>
      <c r="F30" s="8"/>
      <c r="G30" s="8"/>
      <c r="H30" s="8"/>
      <c r="I30" s="8"/>
      <c r="J30" s="8"/>
      <c r="K30" s="8"/>
      <c r="L30" s="8"/>
      <c r="M30" s="8"/>
      <c r="N30" s="8"/>
      <c r="O30" s="8"/>
      <c r="P30" s="8"/>
      <c r="Q30" s="8"/>
      <c r="R30" s="5"/>
      <c r="S30" s="5"/>
      <c r="T30" s="5"/>
      <c r="U30" s="8"/>
      <c r="V30" s="8"/>
      <c r="W30" s="8"/>
      <c r="X30" s="8"/>
      <c r="Y30" s="16"/>
    </row>
    <row r="31" spans="1:25" ht="20.100000000000001" customHeight="1" x14ac:dyDescent="0.45">
      <c r="A31" s="10"/>
      <c r="B31" s="8"/>
      <c r="C31" s="8"/>
      <c r="D31" s="8"/>
      <c r="E31" s="8"/>
      <c r="F31" s="8"/>
      <c r="G31" s="8"/>
      <c r="H31" s="8"/>
      <c r="I31" s="8"/>
      <c r="J31" s="8"/>
      <c r="K31" s="8"/>
      <c r="L31" s="8"/>
      <c r="M31" s="8"/>
      <c r="N31" s="8"/>
      <c r="O31" s="8"/>
      <c r="P31" s="8"/>
      <c r="Q31" s="8"/>
      <c r="R31" s="5"/>
      <c r="S31" s="5"/>
      <c r="T31" s="5"/>
      <c r="U31" s="8"/>
      <c r="V31" s="8"/>
      <c r="W31" s="8"/>
      <c r="X31" s="8"/>
      <c r="Y31" s="16"/>
    </row>
    <row r="32" spans="1:25" ht="20.100000000000001" customHeight="1" x14ac:dyDescent="0.45">
      <c r="A32" s="10"/>
      <c r="B32" s="8"/>
      <c r="C32" s="8"/>
      <c r="D32" s="8"/>
      <c r="E32" s="8"/>
      <c r="F32" s="8"/>
      <c r="G32" s="8"/>
      <c r="H32" s="8"/>
      <c r="I32" s="8"/>
      <c r="J32" s="8"/>
      <c r="K32" s="8"/>
      <c r="L32" s="8"/>
      <c r="M32" s="8"/>
      <c r="N32" s="8"/>
      <c r="O32" s="8"/>
      <c r="P32" s="8"/>
      <c r="Q32" s="8"/>
      <c r="R32" s="5"/>
      <c r="S32" s="5"/>
      <c r="T32" s="5"/>
      <c r="U32" s="8"/>
      <c r="V32" s="8"/>
      <c r="W32" s="8"/>
      <c r="X32" s="8"/>
      <c r="Y32" s="16"/>
    </row>
    <row r="33" spans="1:25" ht="20.100000000000001" customHeight="1" x14ac:dyDescent="0.45">
      <c r="A33" s="10"/>
      <c r="B33" s="8"/>
      <c r="C33" s="8"/>
      <c r="D33" s="8"/>
      <c r="E33" s="8"/>
      <c r="F33" s="8"/>
      <c r="G33" s="8"/>
      <c r="H33" s="8"/>
      <c r="I33" s="8"/>
      <c r="J33" s="8"/>
      <c r="K33" s="8"/>
      <c r="L33" s="8"/>
      <c r="M33" s="8"/>
      <c r="N33" s="8"/>
      <c r="O33" s="8"/>
      <c r="P33" s="8"/>
      <c r="Q33" s="8"/>
      <c r="R33" s="5"/>
      <c r="S33" s="5"/>
      <c r="T33" s="5"/>
      <c r="U33" s="8"/>
      <c r="V33" s="8"/>
      <c r="W33" s="8"/>
      <c r="X33" s="8"/>
      <c r="Y33" s="16"/>
    </row>
    <row r="34" spans="1:25" ht="20.100000000000001" customHeight="1" x14ac:dyDescent="0.45">
      <c r="A34" s="10"/>
      <c r="D34" s="8"/>
      <c r="E34" s="8"/>
      <c r="F34" s="8"/>
      <c r="G34" s="8"/>
      <c r="H34" s="8"/>
      <c r="I34" s="8"/>
      <c r="J34" s="8"/>
      <c r="K34" s="8"/>
      <c r="L34" s="8"/>
      <c r="M34" s="8"/>
      <c r="N34" s="8"/>
      <c r="O34" s="8"/>
      <c r="P34" s="8"/>
      <c r="Q34" s="8"/>
      <c r="R34" s="5"/>
      <c r="S34" s="5"/>
      <c r="T34" s="5"/>
      <c r="U34" s="8"/>
      <c r="V34" s="8"/>
      <c r="W34" s="8"/>
      <c r="X34" s="8"/>
      <c r="Y34" s="16"/>
    </row>
    <row r="35" spans="1:25" ht="20.100000000000001" customHeight="1" thickBot="1" x14ac:dyDescent="0.5">
      <c r="A35" s="10"/>
      <c r="B35" s="36"/>
      <c r="C35" s="14"/>
      <c r="D35" s="14"/>
      <c r="E35" s="14"/>
      <c r="F35" s="14"/>
      <c r="G35" s="14"/>
      <c r="H35" s="14"/>
      <c r="I35" s="14"/>
      <c r="J35" s="14"/>
      <c r="K35" s="14"/>
      <c r="L35" s="14"/>
      <c r="M35" s="14"/>
      <c r="N35" s="14"/>
      <c r="O35" s="14"/>
      <c r="P35" s="14"/>
      <c r="Q35" s="14"/>
      <c r="R35" s="14"/>
      <c r="S35" s="14"/>
      <c r="T35" s="14"/>
      <c r="U35" s="14"/>
      <c r="V35" s="14"/>
      <c r="W35" s="14"/>
      <c r="X35" s="37"/>
      <c r="Y35" s="16"/>
    </row>
    <row r="36" spans="1:25" ht="20.100000000000001" customHeight="1" thickTop="1" x14ac:dyDescent="0.45">
      <c r="A36" s="8"/>
      <c r="B36" s="12"/>
      <c r="C36" s="12"/>
      <c r="D36" s="12"/>
      <c r="E36" s="12"/>
      <c r="F36" s="12"/>
      <c r="G36" s="12"/>
      <c r="H36" s="12"/>
      <c r="I36" s="12"/>
      <c r="J36" s="12"/>
      <c r="K36" s="12"/>
      <c r="L36" s="12"/>
      <c r="M36" s="12"/>
      <c r="N36" s="12"/>
      <c r="O36" s="12"/>
      <c r="P36" s="12"/>
      <c r="Q36" s="12"/>
      <c r="R36" s="12"/>
      <c r="S36" s="12"/>
      <c r="T36" s="12"/>
      <c r="U36" s="12"/>
      <c r="V36" s="12"/>
      <c r="W36" s="12"/>
      <c r="X36" s="12"/>
      <c r="Y36" s="8"/>
    </row>
    <row r="37" spans="1:25" ht="20.100000000000001" customHeight="1" x14ac:dyDescent="0.45">
      <c r="A37" s="8"/>
      <c r="B37" s="8"/>
      <c r="C37" s="8"/>
      <c r="D37" s="8"/>
      <c r="E37" s="8"/>
      <c r="F37" s="8"/>
      <c r="G37" s="8"/>
      <c r="H37" s="8"/>
      <c r="I37" s="8"/>
      <c r="J37" s="8"/>
      <c r="K37" s="8"/>
      <c r="L37" s="8"/>
      <c r="M37" s="8"/>
      <c r="N37" s="8"/>
      <c r="O37" s="8"/>
      <c r="P37" s="8"/>
      <c r="Q37" s="8"/>
      <c r="R37" s="8"/>
      <c r="S37" s="8"/>
      <c r="T37" s="8"/>
      <c r="U37" s="8"/>
      <c r="V37" s="8"/>
      <c r="W37" s="8"/>
      <c r="X37" s="8"/>
      <c r="Y37" s="8"/>
    </row>
    <row r="38" spans="1:25" ht="20.100000000000001" customHeight="1" thickBot="1" x14ac:dyDescent="0.5">
      <c r="A38" s="8"/>
      <c r="C38" s="25" t="s">
        <v>127</v>
      </c>
      <c r="D38" s="14"/>
      <c r="E38" s="8"/>
      <c r="F38" s="25" t="s">
        <v>126</v>
      </c>
      <c r="G38" s="8"/>
      <c r="I38" s="25" t="s">
        <v>125</v>
      </c>
      <c r="J38" s="8"/>
      <c r="K38" s="8"/>
      <c r="L38" s="25" t="s">
        <v>128</v>
      </c>
      <c r="M38" s="14"/>
      <c r="N38" s="8"/>
      <c r="O38" s="8"/>
    </row>
    <row r="39" spans="1:25" ht="20.100000000000001" customHeight="1" thickTop="1" x14ac:dyDescent="0.45">
      <c r="A39" s="8"/>
      <c r="B39" s="10"/>
      <c r="C39" s="22" t="s">
        <v>12</v>
      </c>
      <c r="D39" s="21" t="s">
        <v>275</v>
      </c>
      <c r="E39" s="38"/>
      <c r="F39" s="22" t="s">
        <v>12</v>
      </c>
      <c r="G39" s="107" t="s">
        <v>275</v>
      </c>
      <c r="H39" s="10"/>
      <c r="I39" s="22" t="s">
        <v>12</v>
      </c>
      <c r="J39" s="107" t="s">
        <v>275</v>
      </c>
      <c r="K39" s="39"/>
      <c r="L39" s="22" t="s">
        <v>12</v>
      </c>
      <c r="M39" s="107" t="s">
        <v>275</v>
      </c>
    </row>
    <row r="40" spans="1:25" ht="20.100000000000001" customHeight="1" x14ac:dyDescent="0.45">
      <c r="A40" s="8"/>
      <c r="B40" s="10"/>
      <c r="C40" s="19">
        <v>1</v>
      </c>
      <c r="D40" s="130" t="s">
        <v>300</v>
      </c>
      <c r="E40" s="38"/>
      <c r="F40" s="19">
        <v>1</v>
      </c>
      <c r="G40" s="127"/>
      <c r="H40" s="10"/>
      <c r="I40" s="19">
        <v>1</v>
      </c>
      <c r="J40" s="127"/>
      <c r="K40" s="39"/>
      <c r="L40" s="19">
        <v>1</v>
      </c>
      <c r="M40" s="127"/>
    </row>
    <row r="41" spans="1:25" ht="20.100000000000001" customHeight="1" x14ac:dyDescent="0.45">
      <c r="A41" s="8"/>
      <c r="B41" s="10"/>
      <c r="C41" s="19">
        <v>2</v>
      </c>
      <c r="D41" s="130" t="s">
        <v>302</v>
      </c>
      <c r="E41" s="38"/>
      <c r="F41" s="19">
        <v>2</v>
      </c>
      <c r="G41" s="127"/>
      <c r="H41" s="10"/>
      <c r="I41" s="19">
        <v>2</v>
      </c>
      <c r="J41" s="127"/>
      <c r="K41" s="39"/>
      <c r="L41" s="19">
        <v>2</v>
      </c>
      <c r="M41" s="127"/>
    </row>
    <row r="42" spans="1:25" ht="20.100000000000001" customHeight="1" x14ac:dyDescent="0.45">
      <c r="B42" s="18"/>
      <c r="C42" s="19">
        <v>3</v>
      </c>
      <c r="D42" s="130" t="s">
        <v>303</v>
      </c>
      <c r="E42" s="38"/>
      <c r="F42" s="19">
        <v>3</v>
      </c>
      <c r="G42" s="127"/>
      <c r="H42" s="18"/>
      <c r="I42" s="19">
        <v>3</v>
      </c>
      <c r="J42" s="127"/>
      <c r="K42" s="39"/>
      <c r="L42" s="19">
        <v>3</v>
      </c>
      <c r="M42" s="127"/>
    </row>
    <row r="43" spans="1:25" ht="20.100000000000001" customHeight="1" x14ac:dyDescent="0.45">
      <c r="B43" s="18"/>
      <c r="C43" s="19">
        <v>4</v>
      </c>
      <c r="D43" s="130" t="s">
        <v>296</v>
      </c>
      <c r="E43" s="38"/>
      <c r="F43" s="19">
        <v>4</v>
      </c>
      <c r="G43" s="127"/>
      <c r="H43" s="18"/>
      <c r="I43" s="19">
        <v>4</v>
      </c>
      <c r="J43" s="127"/>
      <c r="K43" s="39"/>
      <c r="L43" s="19">
        <v>4</v>
      </c>
      <c r="M43" s="127"/>
    </row>
    <row r="44" spans="1:25" ht="20.100000000000001" customHeight="1" x14ac:dyDescent="0.45">
      <c r="B44" s="18"/>
      <c r="C44" s="19">
        <v>5</v>
      </c>
      <c r="D44" s="130" t="s">
        <v>298</v>
      </c>
      <c r="E44" s="38"/>
      <c r="F44" s="19">
        <v>5</v>
      </c>
      <c r="G44" s="127"/>
      <c r="H44" s="18"/>
      <c r="I44" s="19">
        <v>5</v>
      </c>
      <c r="J44" s="127"/>
      <c r="K44" s="39"/>
      <c r="L44" s="19">
        <v>5</v>
      </c>
      <c r="M44" s="127"/>
    </row>
    <row r="45" spans="1:25" ht="20.100000000000001" customHeight="1" x14ac:dyDescent="0.45">
      <c r="B45" s="18"/>
      <c r="C45" s="19">
        <v>6</v>
      </c>
      <c r="D45" s="130" t="s">
        <v>305</v>
      </c>
      <c r="E45" s="38"/>
      <c r="F45" s="19">
        <v>6</v>
      </c>
      <c r="G45" s="127"/>
      <c r="H45" s="18"/>
      <c r="I45" s="19">
        <v>6</v>
      </c>
      <c r="J45" s="127"/>
      <c r="K45" s="39"/>
      <c r="L45" s="19">
        <v>6</v>
      </c>
      <c r="M45" s="127"/>
    </row>
    <row r="46" spans="1:25" ht="20.100000000000001" customHeight="1" x14ac:dyDescent="0.45">
      <c r="B46" s="18"/>
      <c r="C46" s="19">
        <v>7</v>
      </c>
      <c r="D46" s="130" t="s">
        <v>307</v>
      </c>
      <c r="E46" s="38"/>
      <c r="F46" s="19">
        <v>7</v>
      </c>
      <c r="G46" s="127"/>
      <c r="H46" s="18"/>
      <c r="I46" s="19">
        <v>7</v>
      </c>
      <c r="J46" s="127"/>
      <c r="K46" s="39"/>
      <c r="L46" s="19">
        <v>7</v>
      </c>
      <c r="M46" s="127"/>
    </row>
    <row r="47" spans="1:25" ht="20.100000000000001" customHeight="1" x14ac:dyDescent="0.45">
      <c r="B47" s="18"/>
      <c r="C47" s="19">
        <v>8</v>
      </c>
      <c r="D47" s="130" t="s">
        <v>309</v>
      </c>
      <c r="E47" s="38"/>
      <c r="F47" s="19">
        <v>8</v>
      </c>
      <c r="G47" s="127"/>
      <c r="H47" s="18"/>
      <c r="I47" s="19">
        <v>8</v>
      </c>
      <c r="J47" s="127"/>
      <c r="K47" s="39"/>
      <c r="L47" s="19">
        <v>8</v>
      </c>
      <c r="M47" s="127"/>
    </row>
    <row r="48" spans="1:25" ht="20.100000000000001" customHeight="1" x14ac:dyDescent="0.45">
      <c r="B48" s="18"/>
      <c r="C48" s="19">
        <v>9</v>
      </c>
      <c r="D48" s="130" t="s">
        <v>311</v>
      </c>
      <c r="E48" s="38"/>
      <c r="F48" s="19">
        <v>9</v>
      </c>
      <c r="G48" s="127"/>
      <c r="H48" s="18"/>
      <c r="I48" s="19">
        <v>9</v>
      </c>
      <c r="J48" s="127"/>
      <c r="K48" s="39"/>
      <c r="L48" s="19">
        <v>9</v>
      </c>
      <c r="M48" s="127"/>
    </row>
    <row r="49" spans="2:22" ht="20.100000000000001" customHeight="1" x14ac:dyDescent="0.45">
      <c r="B49" s="18"/>
      <c r="C49" s="19">
        <v>10</v>
      </c>
      <c r="D49" s="130" t="s">
        <v>313</v>
      </c>
      <c r="E49" s="38"/>
      <c r="F49" s="19">
        <v>10</v>
      </c>
      <c r="G49" s="127"/>
      <c r="H49" s="18"/>
      <c r="I49" s="19">
        <v>10</v>
      </c>
      <c r="J49" s="127"/>
      <c r="K49" s="39"/>
      <c r="L49" s="19">
        <v>10</v>
      </c>
      <c r="M49" s="127"/>
    </row>
    <row r="50" spans="2:22" ht="20.100000000000001" customHeight="1" x14ac:dyDescent="0.45">
      <c r="B50" s="18"/>
      <c r="C50" s="19">
        <v>11</v>
      </c>
      <c r="D50" s="130" t="s">
        <v>315</v>
      </c>
      <c r="E50" s="38"/>
      <c r="F50" s="19">
        <v>11</v>
      </c>
      <c r="G50" s="127"/>
      <c r="H50" s="18"/>
      <c r="I50" s="19">
        <v>11</v>
      </c>
      <c r="J50" s="127"/>
      <c r="K50" s="39"/>
      <c r="L50" s="19">
        <v>11</v>
      </c>
      <c r="M50" s="127"/>
    </row>
    <row r="51" spans="2:22" ht="20.100000000000001" customHeight="1" x14ac:dyDescent="0.45">
      <c r="B51" s="18"/>
      <c r="C51" s="19">
        <v>12</v>
      </c>
      <c r="D51" s="130" t="s">
        <v>317</v>
      </c>
      <c r="E51" s="38"/>
      <c r="F51" s="19">
        <v>12</v>
      </c>
      <c r="G51" s="127"/>
      <c r="H51" s="18"/>
      <c r="I51" s="19">
        <v>12</v>
      </c>
      <c r="J51" s="127"/>
      <c r="K51" s="39"/>
      <c r="L51" s="19">
        <v>12</v>
      </c>
      <c r="M51" s="127"/>
    </row>
    <row r="52" spans="2:22" ht="20.100000000000001" customHeight="1" x14ac:dyDescent="0.45">
      <c r="B52" s="18"/>
      <c r="C52" s="19">
        <v>13</v>
      </c>
      <c r="D52" s="130" t="s">
        <v>319</v>
      </c>
      <c r="E52" s="38"/>
      <c r="F52" s="19">
        <v>13</v>
      </c>
      <c r="G52" s="127"/>
      <c r="H52" s="18"/>
      <c r="I52" s="19">
        <v>13</v>
      </c>
      <c r="J52" s="127"/>
      <c r="K52" s="39"/>
      <c r="L52" s="19">
        <v>13</v>
      </c>
      <c r="M52" s="127"/>
    </row>
    <row r="53" spans="2:22" ht="20.100000000000001" customHeight="1" x14ac:dyDescent="0.45">
      <c r="B53" s="18"/>
      <c r="C53" s="19">
        <v>14</v>
      </c>
      <c r="D53" s="130" t="s">
        <v>321</v>
      </c>
      <c r="E53" s="38"/>
      <c r="F53" s="19">
        <v>14</v>
      </c>
      <c r="G53" s="127"/>
      <c r="H53" s="18"/>
      <c r="I53" s="19">
        <v>14</v>
      </c>
      <c r="J53" s="127"/>
      <c r="K53" s="39"/>
      <c r="L53" s="19">
        <v>14</v>
      </c>
      <c r="M53" s="127"/>
    </row>
    <row r="54" spans="2:22" ht="20.100000000000001" customHeight="1" x14ac:dyDescent="0.45">
      <c r="B54" s="18"/>
      <c r="C54" s="19">
        <v>15</v>
      </c>
      <c r="D54" s="127"/>
      <c r="E54" s="38"/>
      <c r="F54" s="19">
        <v>15</v>
      </c>
      <c r="G54" s="127"/>
      <c r="H54" s="18"/>
      <c r="I54" s="19">
        <v>15</v>
      </c>
      <c r="J54" s="127"/>
      <c r="K54" s="39"/>
      <c r="L54" s="19">
        <v>15</v>
      </c>
      <c r="M54" s="127"/>
    </row>
    <row r="55" spans="2:22" ht="20.100000000000001" customHeight="1" x14ac:dyDescent="0.45">
      <c r="B55" s="18"/>
      <c r="C55" s="19">
        <v>16</v>
      </c>
      <c r="D55" s="126"/>
      <c r="E55" s="38"/>
      <c r="F55" s="19">
        <v>16</v>
      </c>
      <c r="G55" s="127"/>
      <c r="H55" s="18"/>
      <c r="I55" s="19">
        <v>16</v>
      </c>
      <c r="J55" s="127"/>
      <c r="K55" s="39"/>
      <c r="L55" s="19">
        <v>16</v>
      </c>
      <c r="M55" s="127"/>
    </row>
    <row r="56" spans="2:22" ht="20.100000000000001" customHeight="1" x14ac:dyDescent="0.45">
      <c r="B56" s="18"/>
      <c r="C56" s="19">
        <v>17</v>
      </c>
      <c r="D56" s="126"/>
      <c r="E56" s="38"/>
      <c r="F56" s="19">
        <v>17</v>
      </c>
      <c r="G56" s="127"/>
      <c r="H56" s="18"/>
      <c r="I56" s="19">
        <v>17</v>
      </c>
      <c r="J56" s="127"/>
      <c r="K56" s="39"/>
      <c r="L56" s="19">
        <v>17</v>
      </c>
      <c r="M56" s="127"/>
    </row>
    <row r="57" spans="2:22" ht="20.100000000000001" customHeight="1" x14ac:dyDescent="0.45">
      <c r="B57" s="18"/>
      <c r="C57" s="19">
        <v>18</v>
      </c>
      <c r="D57" s="126"/>
      <c r="E57" s="38"/>
      <c r="F57" s="19">
        <v>18</v>
      </c>
      <c r="G57" s="127"/>
      <c r="H57" s="18"/>
      <c r="I57" s="19">
        <v>18</v>
      </c>
      <c r="J57" s="127"/>
      <c r="K57" s="39"/>
      <c r="L57" s="19">
        <v>18</v>
      </c>
      <c r="M57" s="127"/>
    </row>
    <row r="58" spans="2:22" ht="20.100000000000001" customHeight="1" x14ac:dyDescent="0.45">
      <c r="B58" s="18"/>
      <c r="C58" s="19">
        <v>19</v>
      </c>
      <c r="D58" s="126"/>
      <c r="E58" s="38"/>
      <c r="F58" s="19">
        <v>19</v>
      </c>
      <c r="G58" s="127"/>
      <c r="H58" s="18"/>
      <c r="I58" s="19">
        <v>19</v>
      </c>
      <c r="J58" s="127"/>
      <c r="K58" s="39"/>
      <c r="L58" s="19">
        <v>19</v>
      </c>
      <c r="M58" s="127"/>
    </row>
    <row r="59" spans="2:22" ht="20.100000000000001" customHeight="1" thickBot="1" x14ac:dyDescent="0.5">
      <c r="B59" s="10"/>
      <c r="C59" s="20">
        <v>20</v>
      </c>
      <c r="D59" s="128"/>
      <c r="E59" s="38"/>
      <c r="F59" s="26">
        <v>20</v>
      </c>
      <c r="G59" s="129"/>
      <c r="H59" s="10"/>
      <c r="I59" s="26">
        <v>20</v>
      </c>
      <c r="J59" s="129"/>
      <c r="K59" s="39"/>
      <c r="L59" s="26">
        <v>20</v>
      </c>
      <c r="M59" s="129"/>
    </row>
    <row r="60" spans="2:22" ht="20.100000000000001" customHeight="1" thickTop="1" x14ac:dyDescent="0.45">
      <c r="B60" s="8"/>
      <c r="C60" s="40"/>
      <c r="D60" s="40"/>
      <c r="E60" s="39"/>
      <c r="F60" s="39"/>
      <c r="G60" s="39"/>
      <c r="H60" s="39"/>
      <c r="I60" s="39"/>
      <c r="J60" s="39"/>
      <c r="K60" s="39"/>
      <c r="L60" s="39"/>
    </row>
    <row r="61" spans="2:22" ht="20.100000000000001" customHeight="1" x14ac:dyDescent="0.45">
      <c r="B61" s="8"/>
      <c r="C61" s="39"/>
      <c r="D61" s="39"/>
      <c r="E61" s="39"/>
      <c r="F61" s="39"/>
      <c r="G61" s="39"/>
      <c r="H61" s="39"/>
      <c r="I61" s="39"/>
      <c r="J61" s="39"/>
      <c r="K61" s="39"/>
      <c r="L61" s="39"/>
      <c r="M61" s="39"/>
      <c r="N61" s="39"/>
      <c r="O61" s="39"/>
      <c r="P61" s="39"/>
      <c r="Q61" s="39"/>
      <c r="R61" s="39"/>
      <c r="S61" s="39"/>
      <c r="T61" s="39"/>
      <c r="U61" s="39"/>
      <c r="V61" s="39"/>
    </row>
    <row r="62" spans="2:22" ht="20.100000000000001" customHeight="1" x14ac:dyDescent="0.45">
      <c r="B62" s="8"/>
      <c r="C62" s="39"/>
      <c r="D62" s="39"/>
      <c r="E62" s="39"/>
      <c r="F62" s="39"/>
      <c r="G62" s="39"/>
      <c r="H62" s="39"/>
      <c r="I62" s="39"/>
      <c r="J62" s="39"/>
      <c r="K62" s="39"/>
      <c r="L62" s="39"/>
      <c r="M62" s="39"/>
      <c r="N62" s="39"/>
      <c r="O62" s="39"/>
      <c r="P62" s="39"/>
      <c r="Q62" s="39"/>
      <c r="R62" s="39"/>
      <c r="S62" s="39"/>
      <c r="T62" s="39"/>
      <c r="U62" s="39"/>
      <c r="V62" s="39"/>
    </row>
    <row r="63" spans="2:22" ht="20.100000000000001" customHeight="1" x14ac:dyDescent="0.45">
      <c r="B63" s="8"/>
      <c r="C63" s="39"/>
      <c r="D63" s="39"/>
      <c r="E63" s="39"/>
      <c r="F63" s="39"/>
      <c r="G63" s="39"/>
      <c r="H63" s="39"/>
      <c r="I63" s="39"/>
      <c r="J63" s="39"/>
      <c r="K63" s="39"/>
      <c r="L63" s="39"/>
      <c r="M63" s="39"/>
      <c r="N63" s="39"/>
      <c r="O63" s="39"/>
      <c r="P63" s="39"/>
      <c r="Q63" s="39"/>
      <c r="R63" s="39"/>
      <c r="S63" s="39"/>
      <c r="T63" s="39"/>
      <c r="U63" s="39"/>
      <c r="V63" s="39"/>
    </row>
  </sheetData>
  <phoneticPr fontId="2"/>
  <pageMargins left="0.70866141732283472" right="0.70866141732283472" top="0.74803149606299213" bottom="0.74803149606299213" header="0.31496062992125984" footer="0.31496062992125984"/>
  <pageSetup paperSize="9" scale="61" fitToHeight="0" orientation="landscape" r:id="rId1"/>
  <headerFooter>
    <oddFooter>&amp;C&amp;P / &amp;N &amp;R©2024 SMS DataTech Corporation. All rights reserved.</oddFooter>
  </headerFooter>
  <rowBreaks count="1" manualBreakCount="1">
    <brk id="36"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EY139"/>
  <sheetViews>
    <sheetView showGridLines="0" view="pageBreakPreview" zoomScaleNormal="100" zoomScaleSheetLayoutView="100" workbookViewId="0">
      <selection activeCell="K25" sqref="K25"/>
    </sheetView>
  </sheetViews>
  <sheetFormatPr defaultColWidth="3.59765625" defaultRowHeight="20.100000000000001" customHeight="1" x14ac:dyDescent="0.45"/>
  <cols>
    <col min="1" max="1" width="1.09765625" style="7" customWidth="1"/>
    <col min="2" max="3" width="3.59765625" style="7" customWidth="1"/>
    <col min="4" max="4" width="5.8984375" style="7" bestFit="1" customWidth="1"/>
    <col min="5" max="5" width="17.5" style="7" customWidth="1"/>
    <col min="6" max="6" width="3.59765625" style="7" customWidth="1"/>
    <col min="7" max="7" width="4" style="7" bestFit="1" customWidth="1"/>
    <col min="8" max="9" width="3.59765625" style="7" customWidth="1"/>
    <col min="10" max="10" width="5.8984375" style="7" bestFit="1" customWidth="1"/>
    <col min="11" max="11" width="13.09765625" style="7" customWidth="1"/>
    <col min="12" max="15" width="3.59765625" style="7" customWidth="1"/>
    <col min="16" max="16" width="5.8984375" style="7" bestFit="1" customWidth="1"/>
    <col min="17" max="17" width="11.59765625" style="7" customWidth="1"/>
    <col min="18" max="18" width="3.59765625" style="7" customWidth="1"/>
    <col min="19" max="19" width="15.5" style="7" customWidth="1"/>
    <col min="20" max="22" width="3.59765625" style="7" customWidth="1"/>
    <col min="23" max="23" width="5.8984375" style="7" bestFit="1" customWidth="1"/>
    <col min="24" max="24" width="16.8984375" style="7" customWidth="1"/>
    <col min="25" max="28" width="3.59765625" style="7" customWidth="1"/>
    <col min="29" max="29" width="5.8984375" style="7" bestFit="1" customWidth="1"/>
    <col min="30" max="30" width="19.09765625" style="7" customWidth="1"/>
    <col min="31" max="31" width="4.09765625" style="7" customWidth="1"/>
    <col min="32" max="34" width="3.59765625" style="7" customWidth="1"/>
    <col min="35" max="35" width="5.8984375" style="7" bestFit="1" customWidth="1"/>
    <col min="36" max="36" width="21.09765625" style="7" customWidth="1"/>
    <col min="37" max="39" width="3.59765625" style="7" customWidth="1"/>
    <col min="40" max="40" width="15.8984375" style="7" customWidth="1"/>
    <col min="41" max="43" width="3.59765625" style="7" customWidth="1"/>
    <col min="44" max="44" width="19.09765625" style="7" customWidth="1"/>
    <col min="45" max="46" width="3.59765625" style="7" customWidth="1"/>
    <col min="47" max="47" width="3.59765625" style="7"/>
    <col min="48" max="48" width="19.3984375" style="7" customWidth="1"/>
    <col min="49" max="51" width="3.59765625" style="7"/>
    <col min="52" max="52" width="20" style="7" customWidth="1"/>
    <col min="53" max="55" width="3.59765625" style="7"/>
    <col min="56" max="56" width="23" style="7" customWidth="1"/>
    <col min="57" max="59" width="3.59765625" style="7"/>
    <col min="60" max="60" width="21.09765625" style="7" customWidth="1"/>
    <col min="61" max="63" width="3.59765625" style="7"/>
    <col min="64" max="64" width="19.5" style="7" customWidth="1"/>
    <col min="65" max="67" width="3.59765625" style="7"/>
    <col min="68" max="68" width="18.09765625" style="7" customWidth="1"/>
    <col min="69" max="71" width="3.59765625" style="7"/>
    <col min="72" max="72" width="18.09765625" style="7" customWidth="1"/>
    <col min="73" max="75" width="3.59765625" style="7"/>
    <col min="76" max="76" width="21.3984375" style="7" customWidth="1"/>
    <col min="77" max="79" width="3.59765625" style="7"/>
    <col min="80" max="80" width="21.09765625" style="7" customWidth="1"/>
    <col min="81" max="83" width="3.59765625" style="7"/>
    <col min="84" max="84" width="18.59765625" style="7" customWidth="1"/>
    <col min="85" max="87" width="3.59765625" style="7"/>
    <col min="88" max="88" width="22" style="7" customWidth="1"/>
    <col min="89" max="91" width="3.59765625" style="7"/>
    <col min="92" max="92" width="20.8984375" style="7" customWidth="1"/>
    <col min="93" max="95" width="3.59765625" style="7"/>
    <col min="96" max="96" width="18.09765625" style="7" customWidth="1"/>
    <col min="97" max="97" width="15.5" style="7" bestFit="1" customWidth="1"/>
    <col min="98" max="100" width="3.59765625" style="7"/>
    <col min="101" max="101" width="22.59765625" style="7" customWidth="1"/>
    <col min="102" max="102" width="15.5" style="7" bestFit="1" customWidth="1"/>
    <col min="103" max="104" width="3.59765625" style="7"/>
    <col min="121" max="16384" width="3.59765625" style="7"/>
  </cols>
  <sheetData>
    <row r="1" spans="1:155" ht="5.25" customHeight="1" x14ac:dyDescent="0.4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row>
    <row r="2" spans="1:155" ht="20.100000000000001" customHeight="1" x14ac:dyDescent="0.4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row>
    <row r="3" spans="1:155" ht="20.100000000000001" customHeight="1" x14ac:dyDescent="0.45">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row>
    <row r="4" spans="1:155" ht="20.100000000000001" customHeight="1" x14ac:dyDescent="0.45">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row>
    <row r="5" spans="1:155" ht="5.25" customHeight="1" x14ac:dyDescent="0.4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EY5"/>
    </row>
    <row r="6" spans="1:155" ht="19.5" customHeight="1" x14ac:dyDescent="0.45">
      <c r="B6" s="48" t="s">
        <v>131</v>
      </c>
      <c r="AU6"/>
    </row>
    <row r="7" spans="1:155" ht="20.100000000000001" customHeight="1" x14ac:dyDescent="0.45">
      <c r="A7" s="8"/>
      <c r="B7" s="8"/>
      <c r="AU7"/>
      <c r="BF7"/>
      <c r="BG7"/>
      <c r="BT7"/>
      <c r="BU7"/>
      <c r="BV7"/>
      <c r="BW7"/>
      <c r="BX7"/>
      <c r="BY7"/>
      <c r="BZ7"/>
      <c r="CA7"/>
      <c r="CB7"/>
      <c r="CC7"/>
      <c r="CD7"/>
      <c r="CE7"/>
      <c r="CF7"/>
      <c r="CG7"/>
      <c r="CH7"/>
      <c r="CI7"/>
      <c r="CJ7"/>
      <c r="CK7"/>
      <c r="CL7"/>
      <c r="CM7"/>
      <c r="CN7"/>
    </row>
    <row r="8" spans="1:155" ht="20.100000000000001" customHeight="1" thickBot="1" x14ac:dyDescent="0.5">
      <c r="A8" s="5"/>
      <c r="C8" s="25" t="s">
        <v>227</v>
      </c>
      <c r="D8" s="25"/>
      <c r="E8" s="14"/>
      <c r="F8" s="14"/>
      <c r="G8" s="14"/>
      <c r="H8" s="8"/>
      <c r="I8" s="25" t="s">
        <v>228</v>
      </c>
      <c r="J8" s="25"/>
      <c r="K8" s="14"/>
      <c r="L8" s="14"/>
      <c r="M8" s="14"/>
      <c r="N8" s="8"/>
      <c r="O8" s="25" t="s">
        <v>229</v>
      </c>
      <c r="P8" s="25"/>
      <c r="Q8" s="8"/>
      <c r="T8" s="8"/>
      <c r="U8" s="8"/>
      <c r="V8" s="25" t="s">
        <v>230</v>
      </c>
      <c r="W8" s="25"/>
      <c r="X8"/>
      <c r="Y8"/>
      <c r="Z8"/>
      <c r="AA8"/>
      <c r="AB8" s="25" t="s">
        <v>231</v>
      </c>
      <c r="AC8" s="25"/>
      <c r="AD8"/>
      <c r="AE8"/>
      <c r="AF8"/>
      <c r="AG8"/>
      <c r="AH8" s="25" t="s">
        <v>232</v>
      </c>
      <c r="AI8" s="25"/>
      <c r="AJ8"/>
      <c r="AK8"/>
      <c r="AL8"/>
      <c r="AM8"/>
      <c r="AN8" s="25" t="s">
        <v>246</v>
      </c>
      <c r="AO8"/>
      <c r="AP8"/>
      <c r="AQ8"/>
      <c r="AR8" s="25" t="s">
        <v>233</v>
      </c>
      <c r="AS8"/>
      <c r="AT8"/>
      <c r="AU8"/>
      <c r="AV8" s="25" t="s">
        <v>234</v>
      </c>
      <c r="AW8" s="39"/>
      <c r="AX8" s="39"/>
      <c r="AY8" s="39"/>
      <c r="AZ8" s="25" t="s">
        <v>235</v>
      </c>
      <c r="BB8"/>
      <c r="BC8"/>
      <c r="BD8" s="25" t="s">
        <v>247</v>
      </c>
      <c r="BE8"/>
      <c r="BF8"/>
      <c r="BG8"/>
      <c r="BH8" s="25" t="s">
        <v>236</v>
      </c>
      <c r="BI8"/>
      <c r="BJ8"/>
      <c r="BK8"/>
      <c r="BL8" s="25" t="s">
        <v>237</v>
      </c>
      <c r="BM8"/>
      <c r="BN8"/>
      <c r="BO8"/>
      <c r="BP8" s="25" t="s">
        <v>238</v>
      </c>
      <c r="BQ8"/>
      <c r="BR8"/>
      <c r="BS8"/>
      <c r="BT8" s="25" t="s">
        <v>239</v>
      </c>
      <c r="BU8"/>
      <c r="BV8"/>
      <c r="BW8"/>
      <c r="BX8" s="25" t="s">
        <v>240</v>
      </c>
      <c r="BY8"/>
      <c r="BZ8"/>
      <c r="CA8"/>
      <c r="CB8" s="25" t="s">
        <v>241</v>
      </c>
      <c r="CC8"/>
      <c r="CD8"/>
      <c r="CE8"/>
      <c r="CF8" s="25" t="s">
        <v>248</v>
      </c>
      <c r="CG8"/>
      <c r="CH8"/>
      <c r="CI8"/>
      <c r="CJ8" s="25" t="s">
        <v>242</v>
      </c>
      <c r="CK8"/>
      <c r="CL8"/>
      <c r="CM8"/>
      <c r="CN8" s="25" t="s">
        <v>243</v>
      </c>
      <c r="CO8" s="14"/>
      <c r="CP8" s="14"/>
      <c r="CQ8"/>
      <c r="CR8" s="25" t="s">
        <v>244</v>
      </c>
      <c r="CS8"/>
      <c r="CT8"/>
      <c r="CU8"/>
      <c r="CV8"/>
      <c r="CW8" s="25" t="s">
        <v>249</v>
      </c>
      <c r="CX8"/>
      <c r="CY8"/>
      <c r="CZ8" s="8"/>
      <c r="DQ8" s="8"/>
      <c r="DR8" s="8"/>
      <c r="DS8" s="8"/>
      <c r="DT8" s="8"/>
      <c r="DU8" s="8"/>
      <c r="DV8" s="8"/>
      <c r="DW8" s="8"/>
    </row>
    <row r="9" spans="1:155" s="6" customFormat="1" ht="76.349999999999994" customHeight="1" thickTop="1" x14ac:dyDescent="0.45">
      <c r="A9" s="5"/>
      <c r="C9" s="22" t="s">
        <v>12</v>
      </c>
      <c r="D9" s="98" t="s">
        <v>264</v>
      </c>
      <c r="E9" s="23" t="s">
        <v>19</v>
      </c>
      <c r="F9" s="103" t="s">
        <v>263</v>
      </c>
      <c r="G9" s="44" t="s">
        <v>35</v>
      </c>
      <c r="H9" s="102"/>
      <c r="I9" s="22" t="s">
        <v>12</v>
      </c>
      <c r="J9" s="98" t="s">
        <v>264</v>
      </c>
      <c r="K9" s="23" t="s">
        <v>19</v>
      </c>
      <c r="L9" s="103" t="s">
        <v>263</v>
      </c>
      <c r="M9" s="44" t="s">
        <v>35</v>
      </c>
      <c r="N9" s="38"/>
      <c r="O9" s="22" t="s">
        <v>12</v>
      </c>
      <c r="P9" s="98" t="s">
        <v>264</v>
      </c>
      <c r="Q9" s="23" t="s">
        <v>19</v>
      </c>
      <c r="R9" s="103" t="s">
        <v>263</v>
      </c>
      <c r="S9" s="23" t="s">
        <v>36</v>
      </c>
      <c r="T9" s="44" t="s">
        <v>35</v>
      </c>
      <c r="U9" s="39"/>
      <c r="V9" s="22" t="s">
        <v>12</v>
      </c>
      <c r="W9" s="98" t="s">
        <v>264</v>
      </c>
      <c r="X9" s="23" t="s">
        <v>19</v>
      </c>
      <c r="Y9" s="103" t="s">
        <v>263</v>
      </c>
      <c r="Z9" s="44" t="s">
        <v>35</v>
      </c>
      <c r="AA9"/>
      <c r="AB9" s="22" t="s">
        <v>12</v>
      </c>
      <c r="AC9" s="98" t="s">
        <v>264</v>
      </c>
      <c r="AD9" s="23" t="s">
        <v>19</v>
      </c>
      <c r="AE9" s="103" t="s">
        <v>263</v>
      </c>
      <c r="AF9" s="44" t="s">
        <v>35</v>
      </c>
      <c r="AG9"/>
      <c r="AH9" s="22" t="s">
        <v>12</v>
      </c>
      <c r="AI9" s="98" t="s">
        <v>264</v>
      </c>
      <c r="AJ9" s="23" t="s">
        <v>19</v>
      </c>
      <c r="AK9" s="103" t="s">
        <v>263</v>
      </c>
      <c r="AL9" s="44" t="s">
        <v>35</v>
      </c>
      <c r="AM9"/>
      <c r="AN9" s="121" t="s">
        <v>19</v>
      </c>
      <c r="AO9" s="103" t="s">
        <v>263</v>
      </c>
      <c r="AP9" s="44" t="s">
        <v>35</v>
      </c>
      <c r="AQ9"/>
      <c r="AR9" s="119" t="s">
        <v>19</v>
      </c>
      <c r="AS9" s="103" t="s">
        <v>263</v>
      </c>
      <c r="AT9" s="44" t="s">
        <v>35</v>
      </c>
      <c r="AU9"/>
      <c r="AV9" s="119" t="s">
        <v>19</v>
      </c>
      <c r="AW9" s="103" t="s">
        <v>263</v>
      </c>
      <c r="AX9" s="44" t="s">
        <v>35</v>
      </c>
      <c r="AY9"/>
      <c r="AZ9" s="119" t="s">
        <v>19</v>
      </c>
      <c r="BA9" s="103" t="s">
        <v>263</v>
      </c>
      <c r="BB9" s="44" t="s">
        <v>35</v>
      </c>
      <c r="BC9"/>
      <c r="BD9" s="119" t="s">
        <v>19</v>
      </c>
      <c r="BE9" s="103" t="s">
        <v>263</v>
      </c>
      <c r="BF9" s="44" t="s">
        <v>35</v>
      </c>
      <c r="BG9"/>
      <c r="BH9" s="119" t="s">
        <v>19</v>
      </c>
      <c r="BI9" s="103" t="s">
        <v>263</v>
      </c>
      <c r="BJ9" s="44" t="s">
        <v>35</v>
      </c>
      <c r="BK9"/>
      <c r="BL9" s="119" t="s">
        <v>19</v>
      </c>
      <c r="BM9" s="103" t="s">
        <v>263</v>
      </c>
      <c r="BN9" s="44" t="s">
        <v>35</v>
      </c>
      <c r="BO9"/>
      <c r="BP9" s="119" t="s">
        <v>19</v>
      </c>
      <c r="BQ9" s="103" t="s">
        <v>263</v>
      </c>
      <c r="BR9" s="44" t="s">
        <v>35</v>
      </c>
      <c r="BS9"/>
      <c r="BT9" s="119" t="s">
        <v>19</v>
      </c>
      <c r="BU9" s="103" t="s">
        <v>263</v>
      </c>
      <c r="BV9" s="44" t="s">
        <v>35</v>
      </c>
      <c r="BW9"/>
      <c r="BX9" s="23" t="s">
        <v>19</v>
      </c>
      <c r="BY9" s="103" t="s">
        <v>263</v>
      </c>
      <c r="BZ9" s="44" t="s">
        <v>35</v>
      </c>
      <c r="CA9"/>
      <c r="CB9" s="119" t="s">
        <v>19</v>
      </c>
      <c r="CC9" s="103" t="s">
        <v>263</v>
      </c>
      <c r="CD9" s="44" t="s">
        <v>35</v>
      </c>
      <c r="CE9"/>
      <c r="CF9" s="119" t="s">
        <v>19</v>
      </c>
      <c r="CG9" s="103" t="s">
        <v>263</v>
      </c>
      <c r="CH9" s="44" t="s">
        <v>35</v>
      </c>
      <c r="CI9"/>
      <c r="CJ9" s="119" t="s">
        <v>19</v>
      </c>
      <c r="CK9" s="103" t="s">
        <v>263</v>
      </c>
      <c r="CL9" s="44" t="s">
        <v>35</v>
      </c>
      <c r="CM9"/>
      <c r="CN9" s="119" t="s">
        <v>19</v>
      </c>
      <c r="CO9" s="103" t="s">
        <v>263</v>
      </c>
      <c r="CP9" s="44" t="s">
        <v>35</v>
      </c>
      <c r="CQ9"/>
      <c r="CR9" s="23" t="s">
        <v>19</v>
      </c>
      <c r="CS9" s="23" t="s">
        <v>36</v>
      </c>
      <c r="CT9" s="103" t="s">
        <v>263</v>
      </c>
      <c r="CU9" s="44" t="s">
        <v>35</v>
      </c>
      <c r="CV9"/>
      <c r="CW9" s="119" t="s">
        <v>19</v>
      </c>
      <c r="CX9" s="23" t="s">
        <v>36</v>
      </c>
      <c r="CY9" s="103" t="s">
        <v>263</v>
      </c>
      <c r="CZ9" s="44" t="s">
        <v>35</v>
      </c>
      <c r="DA9"/>
      <c r="DB9"/>
      <c r="DC9"/>
      <c r="DD9"/>
      <c r="DE9"/>
      <c r="DF9"/>
      <c r="DG9"/>
      <c r="DH9"/>
      <c r="DI9"/>
      <c r="DJ9"/>
      <c r="DK9"/>
      <c r="DL9"/>
      <c r="DM9"/>
      <c r="DN9"/>
      <c r="DO9"/>
      <c r="DP9"/>
    </row>
    <row r="10" spans="1:155" s="6" customFormat="1" ht="20.100000000000001" customHeight="1" thickBot="1" x14ac:dyDescent="0.5">
      <c r="A10" s="5"/>
      <c r="C10" s="19">
        <v>1</v>
      </c>
      <c r="D10" s="95"/>
      <c r="E10" s="99"/>
      <c r="F10" s="104"/>
      <c r="G10" s="45" t="s">
        <v>20</v>
      </c>
      <c r="I10" s="19">
        <v>1</v>
      </c>
      <c r="J10" s="95"/>
      <c r="K10" s="99"/>
      <c r="L10" s="104"/>
      <c r="M10" s="45" t="s">
        <v>20</v>
      </c>
      <c r="N10"/>
      <c r="O10" s="19">
        <v>1</v>
      </c>
      <c r="P10" s="95"/>
      <c r="Q10" s="99"/>
      <c r="R10" s="104"/>
      <c r="S10" s="104"/>
      <c r="T10" s="45" t="s">
        <v>20</v>
      </c>
      <c r="U10"/>
      <c r="V10" s="19">
        <v>1</v>
      </c>
      <c r="W10" s="95"/>
      <c r="X10" s="99"/>
      <c r="Y10" s="104"/>
      <c r="Z10" s="45" t="s">
        <v>20</v>
      </c>
      <c r="AA10"/>
      <c r="AB10" s="19">
        <f t="shared" ref="AB10:AB19" si="0">ROW()-9</f>
        <v>1</v>
      </c>
      <c r="AC10" s="95"/>
      <c r="AD10" s="99"/>
      <c r="AE10" s="104"/>
      <c r="AF10" s="45" t="s">
        <v>20</v>
      </c>
      <c r="AG10"/>
      <c r="AH10" s="19">
        <f t="shared" ref="AH10:AH19" si="1">ROW()-9</f>
        <v>1</v>
      </c>
      <c r="AI10" s="95"/>
      <c r="AJ10" s="99"/>
      <c r="AK10" s="104"/>
      <c r="AL10" s="45" t="s">
        <v>20</v>
      </c>
      <c r="AM10"/>
      <c r="AN10" s="122"/>
      <c r="AO10" s="106"/>
      <c r="AP10" s="46" t="s">
        <v>20</v>
      </c>
      <c r="AQ10"/>
      <c r="AR10" s="120"/>
      <c r="AS10" s="106"/>
      <c r="AT10" s="46" t="s">
        <v>20</v>
      </c>
      <c r="AU10"/>
      <c r="AV10" s="120"/>
      <c r="AW10" s="106"/>
      <c r="AX10" s="46" t="s">
        <v>20</v>
      </c>
      <c r="AY10"/>
      <c r="AZ10" s="120"/>
      <c r="BA10" s="106"/>
      <c r="BB10" s="46" t="s">
        <v>20</v>
      </c>
      <c r="BC10"/>
      <c r="BD10" s="120"/>
      <c r="BE10" s="106"/>
      <c r="BF10" s="46" t="s">
        <v>20</v>
      </c>
      <c r="BG10"/>
      <c r="BH10" s="120"/>
      <c r="BI10" s="106"/>
      <c r="BJ10" s="46" t="s">
        <v>20</v>
      </c>
      <c r="BK10"/>
      <c r="BL10" s="120"/>
      <c r="BM10" s="106"/>
      <c r="BN10" s="46" t="s">
        <v>20</v>
      </c>
      <c r="BO10"/>
      <c r="BP10" s="120"/>
      <c r="BQ10" s="106"/>
      <c r="BR10" s="46" t="s">
        <v>20</v>
      </c>
      <c r="BS10"/>
      <c r="BT10" s="120"/>
      <c r="BU10" s="106"/>
      <c r="BV10" s="46" t="s">
        <v>20</v>
      </c>
      <c r="BW10"/>
      <c r="BX10" s="101"/>
      <c r="BY10" s="106"/>
      <c r="BZ10" s="46" t="s">
        <v>20</v>
      </c>
      <c r="CA10"/>
      <c r="CB10" s="120"/>
      <c r="CC10" s="106"/>
      <c r="CD10" s="46" t="s">
        <v>20</v>
      </c>
      <c r="CE10"/>
      <c r="CF10" s="120"/>
      <c r="CG10" s="106"/>
      <c r="CH10" s="46" t="s">
        <v>20</v>
      </c>
      <c r="CI10"/>
      <c r="CJ10" s="120"/>
      <c r="CK10" s="106"/>
      <c r="CL10" s="46" t="s">
        <v>20</v>
      </c>
      <c r="CM10"/>
      <c r="CN10" s="120"/>
      <c r="CO10" s="106"/>
      <c r="CP10" s="46" t="s">
        <v>20</v>
      </c>
      <c r="CQ10"/>
      <c r="CR10" s="101"/>
      <c r="CS10" s="106"/>
      <c r="CT10" s="106"/>
      <c r="CU10" s="46" t="s">
        <v>20</v>
      </c>
      <c r="CV10"/>
      <c r="CW10" s="120"/>
      <c r="CX10" s="106"/>
      <c r="CY10" s="106"/>
      <c r="CZ10" s="46" t="s">
        <v>20</v>
      </c>
      <c r="DA10"/>
      <c r="DB10"/>
      <c r="DC10"/>
      <c r="DD10"/>
      <c r="DE10"/>
      <c r="DF10"/>
      <c r="DG10"/>
      <c r="DH10"/>
      <c r="DI10"/>
      <c r="DJ10"/>
      <c r="DK10"/>
      <c r="DL10"/>
      <c r="DM10"/>
      <c r="DN10"/>
      <c r="DO10"/>
      <c r="DP10"/>
    </row>
    <row r="11" spans="1:155" s="6" customFormat="1" ht="20.100000000000001" customHeight="1" thickTop="1" x14ac:dyDescent="0.45">
      <c r="A11" s="5"/>
      <c r="C11" s="19">
        <v>2</v>
      </c>
      <c r="D11" s="95"/>
      <c r="E11" s="99"/>
      <c r="F11" s="104"/>
      <c r="G11" s="45" t="s">
        <v>20</v>
      </c>
      <c r="I11" s="19">
        <v>2</v>
      </c>
      <c r="J11" s="95"/>
      <c r="K11" s="99"/>
      <c r="L11" s="104"/>
      <c r="M11" s="45" t="s">
        <v>20</v>
      </c>
      <c r="N11"/>
      <c r="O11" s="19">
        <v>2</v>
      </c>
      <c r="P11" s="95"/>
      <c r="Q11" s="99"/>
      <c r="R11" s="104"/>
      <c r="S11" s="104"/>
      <c r="T11" s="45" t="s">
        <v>20</v>
      </c>
      <c r="U11"/>
      <c r="V11" s="19">
        <v>2</v>
      </c>
      <c r="W11" s="95"/>
      <c r="X11" s="99"/>
      <c r="Y11" s="104"/>
      <c r="Z11" s="45" t="s">
        <v>20</v>
      </c>
      <c r="AA11"/>
      <c r="AB11" s="19">
        <f t="shared" si="0"/>
        <v>2</v>
      </c>
      <c r="AC11" s="95"/>
      <c r="AD11" s="99"/>
      <c r="AE11" s="104"/>
      <c r="AF11" s="45" t="s">
        <v>20</v>
      </c>
      <c r="AG11"/>
      <c r="AH11" s="19">
        <f t="shared" si="1"/>
        <v>2</v>
      </c>
      <c r="AI11" s="95"/>
      <c r="AJ11" s="99"/>
      <c r="AK11" s="104"/>
      <c r="AL11" s="45" t="s">
        <v>20</v>
      </c>
      <c r="AM11"/>
      <c r="AN11"/>
      <c r="AO11"/>
      <c r="AP11"/>
      <c r="AQ11"/>
      <c r="AR11"/>
      <c r="AS11"/>
      <c r="AT11"/>
      <c r="AU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DA11"/>
      <c r="DB11"/>
      <c r="DC11"/>
      <c r="DD11"/>
      <c r="DE11"/>
      <c r="DF11"/>
      <c r="DG11"/>
      <c r="DH11"/>
      <c r="DI11"/>
      <c r="DJ11"/>
      <c r="DK11"/>
      <c r="DL11"/>
      <c r="DM11"/>
      <c r="DN11"/>
      <c r="DO11"/>
      <c r="DP11"/>
    </row>
    <row r="12" spans="1:155" s="6" customFormat="1" ht="20.100000000000001" customHeight="1" x14ac:dyDescent="0.45">
      <c r="A12" s="5"/>
      <c r="C12" s="19">
        <v>3</v>
      </c>
      <c r="D12" s="95"/>
      <c r="E12" s="99"/>
      <c r="F12" s="104"/>
      <c r="G12" s="45" t="s">
        <v>20</v>
      </c>
      <c r="I12" s="19">
        <v>3</v>
      </c>
      <c r="J12" s="95"/>
      <c r="K12" s="99"/>
      <c r="L12" s="104"/>
      <c r="M12" s="45" t="s">
        <v>20</v>
      </c>
      <c r="N12"/>
      <c r="O12" s="19">
        <v>3</v>
      </c>
      <c r="P12" s="95"/>
      <c r="Q12" s="99"/>
      <c r="R12" s="104"/>
      <c r="S12" s="104"/>
      <c r="T12" s="45" t="s">
        <v>20</v>
      </c>
      <c r="U12"/>
      <c r="V12" s="19">
        <v>3</v>
      </c>
      <c r="W12" s="95"/>
      <c r="X12" s="99"/>
      <c r="Y12" s="104"/>
      <c r="Z12" s="45" t="s">
        <v>20</v>
      </c>
      <c r="AA12"/>
      <c r="AB12" s="19">
        <f t="shared" si="0"/>
        <v>3</v>
      </c>
      <c r="AC12" s="95"/>
      <c r="AD12" s="99"/>
      <c r="AE12" s="104"/>
      <c r="AF12" s="45" t="s">
        <v>20</v>
      </c>
      <c r="AG12"/>
      <c r="AH12" s="19">
        <f t="shared" si="1"/>
        <v>3</v>
      </c>
      <c r="AI12" s="95"/>
      <c r="AJ12" s="99"/>
      <c r="AK12" s="104"/>
      <c r="AL12" s="45" t="s">
        <v>20</v>
      </c>
      <c r="AM12"/>
      <c r="AN12"/>
      <c r="AO12"/>
      <c r="AP12"/>
      <c r="AQ12"/>
      <c r="AR12"/>
      <c r="AS12"/>
      <c r="AT12"/>
      <c r="AU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DA12"/>
      <c r="DB12"/>
      <c r="DC12"/>
      <c r="DD12"/>
      <c r="DE12"/>
      <c r="DF12"/>
      <c r="DG12"/>
      <c r="DH12"/>
      <c r="DI12"/>
      <c r="DJ12"/>
      <c r="DK12"/>
      <c r="DL12"/>
      <c r="DM12"/>
      <c r="DN12"/>
      <c r="DO12"/>
      <c r="DP12"/>
    </row>
    <row r="13" spans="1:155" s="6" customFormat="1" ht="20.100000000000001" customHeight="1" x14ac:dyDescent="0.45">
      <c r="A13" s="5"/>
      <c r="C13" s="19">
        <v>4</v>
      </c>
      <c r="D13" s="95"/>
      <c r="E13" s="99"/>
      <c r="F13" s="105"/>
      <c r="G13" s="45" t="s">
        <v>20</v>
      </c>
      <c r="I13" s="19">
        <v>4</v>
      </c>
      <c r="J13" s="95"/>
      <c r="K13" s="99"/>
      <c r="L13" s="105"/>
      <c r="M13" s="45" t="s">
        <v>20</v>
      </c>
      <c r="N13"/>
      <c r="O13" s="19">
        <v>4</v>
      </c>
      <c r="P13" s="95"/>
      <c r="Q13" s="99"/>
      <c r="R13" s="105"/>
      <c r="S13" s="104"/>
      <c r="T13" s="45" t="s">
        <v>20</v>
      </c>
      <c r="U13"/>
      <c r="V13" s="19">
        <v>4</v>
      </c>
      <c r="W13" s="95"/>
      <c r="X13" s="99"/>
      <c r="Y13" s="105"/>
      <c r="Z13" s="45" t="s">
        <v>20</v>
      </c>
      <c r="AA13"/>
      <c r="AB13" s="19">
        <f t="shared" si="0"/>
        <v>4</v>
      </c>
      <c r="AC13" s="95"/>
      <c r="AD13" s="99"/>
      <c r="AE13" s="105"/>
      <c r="AF13" s="45" t="s">
        <v>20</v>
      </c>
      <c r="AG13"/>
      <c r="AH13" s="19">
        <f t="shared" si="1"/>
        <v>4</v>
      </c>
      <c r="AI13" s="95"/>
      <c r="AJ13" s="99"/>
      <c r="AK13" s="105"/>
      <c r="AL13" s="45" t="s">
        <v>20</v>
      </c>
      <c r="AM13"/>
      <c r="AN13"/>
      <c r="AO13"/>
      <c r="AP13"/>
      <c r="AQ13"/>
      <c r="AR13"/>
      <c r="AS13"/>
      <c r="AT13"/>
      <c r="AU13"/>
      <c r="BB13"/>
      <c r="BC13"/>
      <c r="BD13"/>
      <c r="BE13"/>
      <c r="BF13"/>
      <c r="BG13"/>
      <c r="BH13"/>
      <c r="BI13"/>
      <c r="BJ13"/>
      <c r="BK13"/>
      <c r="BL13"/>
      <c r="BM13"/>
      <c r="BN13"/>
      <c r="BO13"/>
      <c r="BP13"/>
      <c r="BQ13"/>
      <c r="BT13"/>
      <c r="CD13"/>
      <c r="CE13"/>
      <c r="CF13"/>
      <c r="CG13"/>
      <c r="CH13"/>
      <c r="CI13"/>
      <c r="CJ13"/>
      <c r="CK13"/>
      <c r="CL13"/>
      <c r="CM13"/>
      <c r="CN13"/>
      <c r="DA13"/>
      <c r="DB13"/>
      <c r="DC13"/>
      <c r="DD13"/>
      <c r="DE13"/>
      <c r="DF13"/>
      <c r="DG13"/>
      <c r="DH13"/>
      <c r="DI13"/>
      <c r="DJ13"/>
      <c r="DK13"/>
      <c r="DL13"/>
      <c r="DM13"/>
      <c r="DN13"/>
      <c r="DO13"/>
      <c r="DP13"/>
    </row>
    <row r="14" spans="1:155" s="6" customFormat="1" ht="20.100000000000001" customHeight="1" x14ac:dyDescent="0.45">
      <c r="A14" s="5"/>
      <c r="C14" s="20">
        <v>5</v>
      </c>
      <c r="D14" s="97"/>
      <c r="E14" s="100"/>
      <c r="F14" s="105"/>
      <c r="G14" s="50" t="s">
        <v>20</v>
      </c>
      <c r="I14" s="20">
        <v>5</v>
      </c>
      <c r="J14" s="97"/>
      <c r="K14" s="100"/>
      <c r="L14" s="105"/>
      <c r="M14" s="50" t="s">
        <v>20</v>
      </c>
      <c r="N14"/>
      <c r="O14" s="20">
        <v>5</v>
      </c>
      <c r="P14" s="97"/>
      <c r="Q14" s="100"/>
      <c r="R14" s="105"/>
      <c r="S14" s="105"/>
      <c r="T14" s="50" t="s">
        <v>20</v>
      </c>
      <c r="U14"/>
      <c r="V14" s="20">
        <v>5</v>
      </c>
      <c r="W14" s="97"/>
      <c r="X14" s="100"/>
      <c r="Y14" s="105"/>
      <c r="Z14" s="50" t="s">
        <v>20</v>
      </c>
      <c r="AA14"/>
      <c r="AB14" s="20">
        <f t="shared" si="0"/>
        <v>5</v>
      </c>
      <c r="AC14" s="97"/>
      <c r="AD14" s="100"/>
      <c r="AE14" s="105"/>
      <c r="AF14" s="50" t="s">
        <v>20</v>
      </c>
      <c r="AG14"/>
      <c r="AH14" s="20">
        <f t="shared" si="1"/>
        <v>5</v>
      </c>
      <c r="AI14" s="97"/>
      <c r="AJ14" s="100"/>
      <c r="AK14" s="105"/>
      <c r="AL14" s="50" t="s">
        <v>20</v>
      </c>
      <c r="AM14"/>
      <c r="AN14"/>
      <c r="AO14"/>
      <c r="AP14"/>
      <c r="AQ14"/>
      <c r="AR14"/>
      <c r="AS14"/>
      <c r="AT14"/>
      <c r="AU14"/>
      <c r="BG14"/>
      <c r="BH14"/>
      <c r="BI14"/>
      <c r="BJ14"/>
      <c r="BK14"/>
      <c r="BL14"/>
      <c r="BM14"/>
      <c r="BN14"/>
      <c r="BO14"/>
      <c r="BP14"/>
      <c r="BQ14"/>
      <c r="DA14"/>
      <c r="DB14"/>
      <c r="DC14"/>
      <c r="DD14"/>
      <c r="DE14"/>
      <c r="DF14"/>
      <c r="DG14"/>
      <c r="DH14"/>
      <c r="DI14"/>
      <c r="DJ14"/>
      <c r="DK14"/>
      <c r="DL14"/>
      <c r="DM14"/>
      <c r="DN14"/>
      <c r="DO14"/>
      <c r="DP14"/>
    </row>
    <row r="15" spans="1:155" s="6" customFormat="1" ht="20.100000000000001" customHeight="1" x14ac:dyDescent="0.45">
      <c r="A15" s="5"/>
      <c r="C15" s="19">
        <v>6</v>
      </c>
      <c r="D15" s="95"/>
      <c r="E15" s="99"/>
      <c r="F15" s="105"/>
      <c r="G15" s="45" t="s">
        <v>20</v>
      </c>
      <c r="I15" s="19">
        <v>6</v>
      </c>
      <c r="J15" s="95"/>
      <c r="K15" s="99"/>
      <c r="L15" s="105"/>
      <c r="M15" s="45" t="s">
        <v>20</v>
      </c>
      <c r="N15"/>
      <c r="O15" s="19">
        <v>6</v>
      </c>
      <c r="P15" s="95"/>
      <c r="Q15" s="99"/>
      <c r="R15" s="105"/>
      <c r="S15" s="104"/>
      <c r="T15" s="45" t="s">
        <v>20</v>
      </c>
      <c r="U15"/>
      <c r="V15" s="19">
        <v>6</v>
      </c>
      <c r="W15" s="95"/>
      <c r="X15" s="99"/>
      <c r="Y15" s="105"/>
      <c r="Z15" s="45" t="s">
        <v>20</v>
      </c>
      <c r="AA15"/>
      <c r="AB15" s="19">
        <f t="shared" si="0"/>
        <v>6</v>
      </c>
      <c r="AC15" s="95"/>
      <c r="AD15" s="99"/>
      <c r="AE15" s="105"/>
      <c r="AF15" s="45" t="s">
        <v>20</v>
      </c>
      <c r="AG15"/>
      <c r="AH15" s="19">
        <f t="shared" si="1"/>
        <v>6</v>
      </c>
      <c r="AI15" s="95"/>
      <c r="AJ15" s="99"/>
      <c r="AK15" s="105"/>
      <c r="AL15" s="45" t="s">
        <v>20</v>
      </c>
      <c r="AM15"/>
      <c r="AN15"/>
      <c r="AO15"/>
      <c r="AP15"/>
      <c r="AQ15"/>
      <c r="AR15"/>
      <c r="AS15"/>
      <c r="AT15"/>
      <c r="AU15"/>
      <c r="DA15"/>
      <c r="DB15"/>
      <c r="DC15"/>
      <c r="DD15"/>
      <c r="DE15"/>
      <c r="DF15"/>
      <c r="DG15"/>
      <c r="DH15"/>
      <c r="DI15"/>
      <c r="DJ15"/>
      <c r="DK15"/>
      <c r="DL15"/>
      <c r="DM15"/>
      <c r="DN15"/>
      <c r="DO15"/>
      <c r="DP15"/>
    </row>
    <row r="16" spans="1:155" s="6" customFormat="1" ht="20.100000000000001" customHeight="1" x14ac:dyDescent="0.45">
      <c r="A16" s="5"/>
      <c r="C16" s="19">
        <v>7</v>
      </c>
      <c r="D16" s="95"/>
      <c r="E16" s="99"/>
      <c r="F16" s="105"/>
      <c r="G16" s="45" t="s">
        <v>20</v>
      </c>
      <c r="I16" s="19">
        <v>7</v>
      </c>
      <c r="J16" s="95"/>
      <c r="K16" s="99"/>
      <c r="L16" s="105"/>
      <c r="M16" s="45" t="s">
        <v>20</v>
      </c>
      <c r="N16"/>
      <c r="O16" s="19">
        <v>7</v>
      </c>
      <c r="P16" s="95"/>
      <c r="Q16" s="99"/>
      <c r="R16" s="105"/>
      <c r="S16" s="104"/>
      <c r="T16" s="45" t="s">
        <v>20</v>
      </c>
      <c r="U16"/>
      <c r="V16" s="19">
        <v>7</v>
      </c>
      <c r="W16" s="95"/>
      <c r="X16" s="99"/>
      <c r="Y16" s="105"/>
      <c r="Z16" s="45" t="s">
        <v>20</v>
      </c>
      <c r="AA16"/>
      <c r="AB16" s="19">
        <f t="shared" si="0"/>
        <v>7</v>
      </c>
      <c r="AC16" s="95"/>
      <c r="AD16" s="99"/>
      <c r="AE16" s="105"/>
      <c r="AF16" s="45" t="s">
        <v>20</v>
      </c>
      <c r="AG16"/>
      <c r="AH16" s="19">
        <f t="shared" si="1"/>
        <v>7</v>
      </c>
      <c r="AI16" s="95"/>
      <c r="AJ16" s="99"/>
      <c r="AK16" s="105"/>
      <c r="AL16" s="45" t="s">
        <v>20</v>
      </c>
      <c r="AM16"/>
      <c r="AN16"/>
      <c r="AO16"/>
      <c r="AP16"/>
      <c r="AQ16"/>
      <c r="AR16"/>
      <c r="AS16"/>
      <c r="AT16"/>
      <c r="AU16"/>
      <c r="DA16"/>
      <c r="DB16"/>
      <c r="DC16"/>
      <c r="DD16"/>
      <c r="DE16"/>
      <c r="DF16"/>
      <c r="DG16"/>
      <c r="DH16"/>
      <c r="DI16"/>
      <c r="DJ16"/>
      <c r="DK16"/>
      <c r="DL16"/>
      <c r="DM16"/>
      <c r="DN16"/>
      <c r="DO16"/>
      <c r="DP16"/>
    </row>
    <row r="17" spans="2:47" ht="20.100000000000001" customHeight="1" x14ac:dyDescent="0.45">
      <c r="C17" s="19">
        <v>8</v>
      </c>
      <c r="D17" s="95"/>
      <c r="E17" s="99"/>
      <c r="F17" s="105"/>
      <c r="G17" s="45" t="s">
        <v>20</v>
      </c>
      <c r="I17" s="19">
        <v>8</v>
      </c>
      <c r="J17" s="95"/>
      <c r="K17" s="99"/>
      <c r="L17" s="105"/>
      <c r="M17" s="45" t="s">
        <v>20</v>
      </c>
      <c r="N17"/>
      <c r="O17" s="19">
        <v>8</v>
      </c>
      <c r="P17" s="95"/>
      <c r="Q17" s="99"/>
      <c r="R17" s="105"/>
      <c r="S17" s="104"/>
      <c r="T17" s="45" t="s">
        <v>20</v>
      </c>
      <c r="U17"/>
      <c r="V17" s="19">
        <v>8</v>
      </c>
      <c r="W17" s="95"/>
      <c r="X17" s="99"/>
      <c r="Y17" s="105"/>
      <c r="Z17" s="45" t="s">
        <v>20</v>
      </c>
      <c r="AA17"/>
      <c r="AB17" s="19">
        <f t="shared" si="0"/>
        <v>8</v>
      </c>
      <c r="AC17" s="95"/>
      <c r="AD17" s="99"/>
      <c r="AE17" s="105"/>
      <c r="AF17" s="45" t="s">
        <v>20</v>
      </c>
      <c r="AG17"/>
      <c r="AH17" s="19">
        <f t="shared" si="1"/>
        <v>8</v>
      </c>
      <c r="AI17" s="95"/>
      <c r="AJ17" s="99"/>
      <c r="AK17" s="105"/>
      <c r="AL17" s="45" t="s">
        <v>20</v>
      </c>
      <c r="AM17"/>
      <c r="AN17"/>
      <c r="AO17"/>
      <c r="AP17"/>
      <c r="AQ17"/>
      <c r="AR17"/>
      <c r="AS17"/>
      <c r="AT17"/>
      <c r="AU17"/>
    </row>
    <row r="18" spans="2:47" customFormat="1" ht="20.100000000000001" customHeight="1" x14ac:dyDescent="0.45">
      <c r="C18" s="19">
        <v>9</v>
      </c>
      <c r="D18" s="95"/>
      <c r="E18" s="99"/>
      <c r="F18" s="105"/>
      <c r="G18" s="45" t="s">
        <v>20</v>
      </c>
      <c r="I18" s="19">
        <v>9</v>
      </c>
      <c r="J18" s="95"/>
      <c r="K18" s="99"/>
      <c r="L18" s="105"/>
      <c r="M18" s="45" t="s">
        <v>20</v>
      </c>
      <c r="O18" s="19">
        <v>9</v>
      </c>
      <c r="P18" s="95"/>
      <c r="Q18" s="99"/>
      <c r="R18" s="105"/>
      <c r="S18" s="104"/>
      <c r="T18" s="45" t="s">
        <v>20</v>
      </c>
      <c r="V18" s="19">
        <v>9</v>
      </c>
      <c r="W18" s="95"/>
      <c r="X18" s="99"/>
      <c r="Y18" s="105"/>
      <c r="Z18" s="45" t="s">
        <v>20</v>
      </c>
      <c r="AB18" s="19">
        <f t="shared" si="0"/>
        <v>9</v>
      </c>
      <c r="AC18" s="95"/>
      <c r="AD18" s="99"/>
      <c r="AE18" s="105"/>
      <c r="AF18" s="45" t="s">
        <v>20</v>
      </c>
      <c r="AH18" s="19">
        <f t="shared" si="1"/>
        <v>9</v>
      </c>
      <c r="AI18" s="95"/>
      <c r="AJ18" s="99"/>
      <c r="AK18" s="105"/>
      <c r="AL18" s="45" t="s">
        <v>20</v>
      </c>
    </row>
    <row r="19" spans="2:47" customFormat="1" ht="18.600000000000001" thickBot="1" x14ac:dyDescent="0.5">
      <c r="C19" s="26">
        <v>10</v>
      </c>
      <c r="D19" s="96"/>
      <c r="E19" s="101"/>
      <c r="F19" s="106"/>
      <c r="G19" s="46" t="s">
        <v>20</v>
      </c>
      <c r="I19" s="26">
        <v>10</v>
      </c>
      <c r="J19" s="96"/>
      <c r="K19" s="101"/>
      <c r="L19" s="106"/>
      <c r="M19" s="46" t="s">
        <v>20</v>
      </c>
      <c r="O19" s="26">
        <v>10</v>
      </c>
      <c r="P19" s="96"/>
      <c r="Q19" s="101"/>
      <c r="R19" s="106"/>
      <c r="S19" s="106"/>
      <c r="T19" s="46" t="s">
        <v>20</v>
      </c>
      <c r="V19" s="26">
        <v>10</v>
      </c>
      <c r="W19" s="96"/>
      <c r="X19" s="101"/>
      <c r="Y19" s="106"/>
      <c r="Z19" s="46" t="s">
        <v>20</v>
      </c>
      <c r="AB19" s="26">
        <f t="shared" si="0"/>
        <v>10</v>
      </c>
      <c r="AC19" s="96"/>
      <c r="AD19" s="101"/>
      <c r="AE19" s="106"/>
      <c r="AF19" s="46" t="s">
        <v>20</v>
      </c>
      <c r="AH19" s="26">
        <f t="shared" si="1"/>
        <v>10</v>
      </c>
      <c r="AI19" s="96"/>
      <c r="AJ19" s="101"/>
      <c r="AK19" s="106"/>
      <c r="AL19" s="46" t="s">
        <v>20</v>
      </c>
    </row>
    <row r="20" spans="2:47" customFormat="1" ht="20.100000000000001" customHeight="1" thickTop="1" x14ac:dyDescent="0.45"/>
    <row r="21" spans="2:47" customFormat="1" ht="20.100000000000001" customHeight="1" x14ac:dyDescent="0.45">
      <c r="B21" s="7"/>
      <c r="C21" s="7"/>
      <c r="D21" s="7"/>
      <c r="E21" s="7"/>
    </row>
    <row r="22" spans="2:47" customFormat="1" ht="20.100000000000001" customHeight="1" x14ac:dyDescent="0.45">
      <c r="B22" s="7"/>
      <c r="C22" s="7"/>
      <c r="D22" s="7"/>
      <c r="E22" s="7"/>
    </row>
    <row r="23" spans="2:47" customFormat="1" ht="20.100000000000001" customHeight="1" x14ac:dyDescent="0.45">
      <c r="B23" s="7"/>
      <c r="C23" s="7"/>
      <c r="D23" s="7"/>
      <c r="E23" s="7"/>
    </row>
    <row r="24" spans="2:47" customFormat="1" ht="20.100000000000001" customHeight="1" x14ac:dyDescent="0.45">
      <c r="B24" s="7"/>
      <c r="C24" s="7"/>
      <c r="D24" s="7"/>
      <c r="E24" s="7"/>
      <c r="F24" s="7"/>
      <c r="G24" s="7"/>
      <c r="H24" s="7"/>
      <c r="I24" s="7"/>
      <c r="J24" s="7"/>
      <c r="K24" s="7"/>
      <c r="L24" s="7"/>
      <c r="M24" s="7"/>
      <c r="N24" s="7"/>
      <c r="O24" s="7"/>
      <c r="P24" s="7"/>
      <c r="Q24" s="7"/>
      <c r="R24" s="7"/>
      <c r="S24" s="7"/>
      <c r="T24" s="7"/>
      <c r="U24" s="7"/>
    </row>
    <row r="25" spans="2:47" customFormat="1" ht="18" x14ac:dyDescent="0.45">
      <c r="B25" s="7"/>
      <c r="C25" s="7"/>
      <c r="D25" s="7"/>
      <c r="E25" s="7"/>
      <c r="F25" s="7"/>
      <c r="G25" s="7"/>
      <c r="H25" s="7"/>
      <c r="I25" s="7"/>
      <c r="J25" s="7"/>
      <c r="K25" s="7"/>
      <c r="L25" s="7"/>
      <c r="M25" s="7"/>
      <c r="N25" s="7"/>
      <c r="O25" s="7"/>
      <c r="P25" s="7"/>
      <c r="Q25" s="7"/>
      <c r="R25" s="7"/>
      <c r="S25" s="7"/>
      <c r="T25" s="7"/>
      <c r="U25" s="7"/>
    </row>
    <row r="26" spans="2:47" customFormat="1" ht="20.100000000000001" customHeight="1" x14ac:dyDescent="0.45">
      <c r="B26" s="7"/>
      <c r="C26" s="7"/>
      <c r="D26" s="7"/>
      <c r="E26" s="7"/>
      <c r="F26" s="7"/>
      <c r="G26" s="7"/>
      <c r="H26" s="7"/>
      <c r="I26" s="7"/>
      <c r="J26" s="7"/>
      <c r="K26" s="7"/>
      <c r="L26" s="7"/>
      <c r="M26" s="7"/>
      <c r="N26" s="7"/>
      <c r="O26" s="7"/>
      <c r="P26" s="7"/>
      <c r="Q26" s="7"/>
      <c r="R26" s="7"/>
      <c r="S26" s="7"/>
      <c r="T26" s="7"/>
      <c r="U26" s="7"/>
    </row>
    <row r="27" spans="2:47" customFormat="1" ht="20.100000000000001" customHeight="1" x14ac:dyDescent="0.45">
      <c r="B27" s="7"/>
      <c r="C27" s="7"/>
      <c r="D27" s="7"/>
      <c r="E27" s="7"/>
      <c r="F27" s="7"/>
      <c r="G27" s="7"/>
      <c r="H27" s="7"/>
      <c r="I27" s="7"/>
      <c r="J27" s="7"/>
      <c r="K27" s="7"/>
      <c r="L27" s="7"/>
      <c r="M27" s="7"/>
      <c r="N27" s="7"/>
      <c r="O27" s="7"/>
      <c r="P27" s="7"/>
      <c r="Q27" s="7"/>
      <c r="R27" s="7"/>
      <c r="S27" s="7"/>
      <c r="T27" s="7"/>
      <c r="U27" s="7"/>
    </row>
    <row r="28" spans="2:47" customFormat="1" ht="20.100000000000001" customHeight="1" x14ac:dyDescent="0.45">
      <c r="B28" s="7"/>
      <c r="C28" s="7"/>
      <c r="D28" s="7"/>
      <c r="E28" s="7"/>
      <c r="F28" s="7"/>
      <c r="G28" s="7"/>
      <c r="H28" s="7"/>
      <c r="I28" s="7"/>
      <c r="J28" s="7"/>
      <c r="K28" s="7"/>
      <c r="L28" s="7"/>
      <c r="M28" s="7"/>
      <c r="N28" s="7"/>
      <c r="O28" s="7"/>
      <c r="P28" s="7"/>
      <c r="Q28" s="7"/>
      <c r="R28" s="7"/>
      <c r="S28" s="7"/>
      <c r="T28" s="7"/>
      <c r="U28" s="7"/>
    </row>
    <row r="29" spans="2:47" customFormat="1" ht="20.100000000000001" customHeight="1" x14ac:dyDescent="0.45">
      <c r="B29" s="7"/>
      <c r="C29" s="7"/>
      <c r="D29" s="7"/>
      <c r="E29" s="7"/>
      <c r="F29" s="7"/>
      <c r="G29" s="7"/>
      <c r="H29" s="7"/>
      <c r="I29" s="7"/>
      <c r="J29" s="7"/>
      <c r="K29" s="7"/>
      <c r="L29" s="7"/>
      <c r="M29" s="7"/>
      <c r="N29" s="7"/>
      <c r="O29" s="7"/>
      <c r="P29" s="7"/>
      <c r="Q29" s="7"/>
      <c r="R29" s="7"/>
      <c r="S29" s="7"/>
      <c r="T29" s="7"/>
      <c r="U29" s="7"/>
    </row>
    <row r="30" spans="2:47" customFormat="1" ht="20.100000000000001" customHeight="1" x14ac:dyDescent="0.45">
      <c r="B30" s="7"/>
      <c r="C30" s="7"/>
      <c r="D30" s="7"/>
      <c r="E30" s="7"/>
      <c r="F30" s="7"/>
      <c r="G30" s="7"/>
      <c r="H30" s="7"/>
      <c r="I30" s="7"/>
      <c r="J30" s="7"/>
      <c r="K30" s="7"/>
      <c r="L30" s="7"/>
      <c r="M30" s="7"/>
      <c r="N30" s="7"/>
      <c r="O30" s="7"/>
      <c r="P30" s="7"/>
      <c r="Q30" s="7"/>
      <c r="R30" s="7"/>
      <c r="S30" s="7"/>
      <c r="T30" s="7"/>
      <c r="U30" s="7"/>
    </row>
    <row r="31" spans="2:47" customFormat="1" ht="20.100000000000001" customHeight="1" x14ac:dyDescent="0.45">
      <c r="B31" s="7"/>
      <c r="C31" s="7"/>
      <c r="D31" s="7"/>
      <c r="E31" s="7"/>
      <c r="F31" s="7"/>
      <c r="G31" s="7"/>
      <c r="H31" s="7"/>
      <c r="I31" s="7"/>
      <c r="J31" s="7"/>
      <c r="K31" s="7"/>
      <c r="L31" s="7"/>
      <c r="M31" s="7"/>
      <c r="N31" s="7"/>
      <c r="O31" s="7"/>
      <c r="P31" s="7"/>
      <c r="Q31" s="7"/>
      <c r="R31" s="7"/>
      <c r="S31" s="7"/>
      <c r="T31" s="7"/>
      <c r="U31" s="7"/>
    </row>
    <row r="32" spans="2:47" customFormat="1" ht="18" x14ac:dyDescent="0.45">
      <c r="B32" s="7"/>
      <c r="C32" s="7"/>
      <c r="D32" s="7"/>
      <c r="E32" s="7"/>
      <c r="F32" s="7"/>
      <c r="G32" s="7"/>
      <c r="H32" s="7"/>
      <c r="I32" s="7"/>
      <c r="J32" s="7"/>
      <c r="K32" s="7"/>
      <c r="L32" s="7"/>
      <c r="M32" s="7"/>
      <c r="N32" s="7"/>
      <c r="O32" s="7"/>
      <c r="P32" s="7"/>
      <c r="Q32" s="7"/>
      <c r="R32" s="7"/>
      <c r="S32" s="7"/>
      <c r="T32" s="7"/>
      <c r="U32" s="7"/>
    </row>
    <row r="33" ht="24" customHeight="1" x14ac:dyDescent="0.45"/>
    <row r="41" ht="28.35" customHeight="1" x14ac:dyDescent="0.45"/>
    <row r="46" ht="18" x14ac:dyDescent="0.45"/>
    <row r="54" spans="1:1" ht="20.100000000000001" customHeight="1" x14ac:dyDescent="0.45">
      <c r="A54"/>
    </row>
    <row r="55" spans="1:1" ht="20.100000000000001" customHeight="1" x14ac:dyDescent="0.45">
      <c r="A55"/>
    </row>
    <row r="56" spans="1:1" ht="20.100000000000001" customHeight="1" x14ac:dyDescent="0.45">
      <c r="A56"/>
    </row>
    <row r="57" spans="1:1" ht="20.100000000000001" customHeight="1" x14ac:dyDescent="0.45">
      <c r="A57"/>
    </row>
    <row r="58" spans="1:1" ht="20.100000000000001" customHeight="1" x14ac:dyDescent="0.45">
      <c r="A58"/>
    </row>
    <row r="59" spans="1:1" ht="18" x14ac:dyDescent="0.45">
      <c r="A59"/>
    </row>
    <row r="60" spans="1:1" ht="20.100000000000001" customHeight="1" x14ac:dyDescent="0.45">
      <c r="A60"/>
    </row>
    <row r="61" spans="1:1" ht="20.100000000000001" customHeight="1" x14ac:dyDescent="0.45">
      <c r="A61"/>
    </row>
    <row r="62" spans="1:1" ht="20.100000000000001" customHeight="1" x14ac:dyDescent="0.45">
      <c r="A62"/>
    </row>
    <row r="63" spans="1:1" ht="20.100000000000001" customHeight="1" x14ac:dyDescent="0.45">
      <c r="A63"/>
    </row>
    <row r="64" spans="1:1" ht="20.100000000000001" customHeight="1" x14ac:dyDescent="0.45">
      <c r="A64"/>
    </row>
    <row r="65" spans="1:1" ht="20.100000000000001" customHeight="1" x14ac:dyDescent="0.45">
      <c r="A65"/>
    </row>
    <row r="66" spans="1:1" ht="20.100000000000001" customHeight="1" x14ac:dyDescent="0.45">
      <c r="A66"/>
    </row>
    <row r="67" spans="1:1" ht="20.100000000000001" customHeight="1" x14ac:dyDescent="0.45">
      <c r="A67"/>
    </row>
    <row r="68" spans="1:1" ht="20.100000000000001" customHeight="1" x14ac:dyDescent="0.45">
      <c r="A68"/>
    </row>
    <row r="69" spans="1:1" ht="20.100000000000001" customHeight="1" x14ac:dyDescent="0.45">
      <c r="A69"/>
    </row>
    <row r="70" spans="1:1" ht="20.100000000000001" customHeight="1" x14ac:dyDescent="0.45">
      <c r="A70"/>
    </row>
    <row r="71" spans="1:1" ht="20.100000000000001" customHeight="1" x14ac:dyDescent="0.45">
      <c r="A71"/>
    </row>
    <row r="72" spans="1:1" ht="18" x14ac:dyDescent="0.45">
      <c r="A72"/>
    </row>
    <row r="73" spans="1:1" ht="18" x14ac:dyDescent="0.45">
      <c r="A73"/>
    </row>
    <row r="74" spans="1:1" ht="20.100000000000001" customHeight="1" x14ac:dyDescent="0.45">
      <c r="A74"/>
    </row>
    <row r="75" spans="1:1" ht="20.100000000000001" customHeight="1" x14ac:dyDescent="0.45">
      <c r="A75"/>
    </row>
    <row r="76" spans="1:1" ht="20.100000000000001" customHeight="1" x14ac:dyDescent="0.45">
      <c r="A76"/>
    </row>
    <row r="77" spans="1:1" ht="20.100000000000001" customHeight="1" x14ac:dyDescent="0.45">
      <c r="A77"/>
    </row>
    <row r="78" spans="1:1" ht="20.100000000000001" customHeight="1" x14ac:dyDescent="0.45">
      <c r="A78"/>
    </row>
    <row r="79" spans="1:1" ht="20.100000000000001" customHeight="1" x14ac:dyDescent="0.45">
      <c r="A79"/>
    </row>
    <row r="80" spans="1:1" ht="20.100000000000001" customHeight="1" x14ac:dyDescent="0.45">
      <c r="A80"/>
    </row>
    <row r="81" spans="1:1" ht="18" x14ac:dyDescent="0.45">
      <c r="A81"/>
    </row>
    <row r="82" spans="1:1" ht="20.100000000000001" customHeight="1" x14ac:dyDescent="0.45">
      <c r="A82"/>
    </row>
    <row r="83" spans="1:1" ht="20.100000000000001" customHeight="1" x14ac:dyDescent="0.45">
      <c r="A83"/>
    </row>
    <row r="84" spans="1:1" ht="20.100000000000001" customHeight="1" x14ac:dyDescent="0.45">
      <c r="A84"/>
    </row>
    <row r="85" spans="1:1" ht="20.100000000000001" customHeight="1" x14ac:dyDescent="0.45">
      <c r="A85"/>
    </row>
    <row r="86" spans="1:1" ht="20.100000000000001" customHeight="1" x14ac:dyDescent="0.45">
      <c r="A86"/>
    </row>
    <row r="87" spans="1:1" ht="20.100000000000001" customHeight="1" x14ac:dyDescent="0.45">
      <c r="A87"/>
    </row>
    <row r="88" spans="1:1" ht="20.100000000000001" customHeight="1" x14ac:dyDescent="0.45">
      <c r="A88"/>
    </row>
    <row r="89" spans="1:1" ht="18" x14ac:dyDescent="0.45">
      <c r="A89"/>
    </row>
    <row r="90" spans="1:1" ht="20.100000000000001" customHeight="1" x14ac:dyDescent="0.45">
      <c r="A90"/>
    </row>
    <row r="91" spans="1:1" ht="20.100000000000001" customHeight="1" x14ac:dyDescent="0.45">
      <c r="A91"/>
    </row>
    <row r="92" spans="1:1" ht="20.100000000000001" customHeight="1" x14ac:dyDescent="0.45">
      <c r="A92"/>
    </row>
    <row r="93" spans="1:1" ht="20.100000000000001" customHeight="1" x14ac:dyDescent="0.45">
      <c r="A93"/>
    </row>
    <row r="94" spans="1:1" ht="20.100000000000001" customHeight="1" x14ac:dyDescent="0.45">
      <c r="A94"/>
    </row>
    <row r="95" spans="1:1" ht="20.100000000000001" customHeight="1" x14ac:dyDescent="0.45">
      <c r="A95"/>
    </row>
    <row r="96" spans="1:1" ht="20.100000000000001" customHeight="1" x14ac:dyDescent="0.45">
      <c r="A96"/>
    </row>
    <row r="97" spans="1:1" ht="18" x14ac:dyDescent="0.45">
      <c r="A97"/>
    </row>
    <row r="98" spans="1:1" ht="20.100000000000001" customHeight="1" x14ac:dyDescent="0.45">
      <c r="A98"/>
    </row>
    <row r="99" spans="1:1" ht="20.100000000000001" customHeight="1" x14ac:dyDescent="0.45">
      <c r="A99"/>
    </row>
    <row r="100" spans="1:1" ht="20.100000000000001" customHeight="1" x14ac:dyDescent="0.45">
      <c r="A100"/>
    </row>
    <row r="101" spans="1:1" ht="20.100000000000001" customHeight="1" x14ac:dyDescent="0.45">
      <c r="A101"/>
    </row>
    <row r="102" spans="1:1" ht="20.100000000000001" customHeight="1" x14ac:dyDescent="0.45">
      <c r="A102"/>
    </row>
    <row r="103" spans="1:1" ht="20.100000000000001" customHeight="1" x14ac:dyDescent="0.45">
      <c r="A103"/>
    </row>
    <row r="104" spans="1:1" ht="20.100000000000001" customHeight="1" x14ac:dyDescent="0.45">
      <c r="A104"/>
    </row>
    <row r="105" spans="1:1" ht="18" x14ac:dyDescent="0.45">
      <c r="A105"/>
    </row>
    <row r="106" spans="1:1" ht="20.100000000000001" customHeight="1" x14ac:dyDescent="0.45">
      <c r="A106"/>
    </row>
    <row r="107" spans="1:1" ht="20.100000000000001" customHeight="1" x14ac:dyDescent="0.45">
      <c r="A107"/>
    </row>
    <row r="108" spans="1:1" ht="20.100000000000001" customHeight="1" x14ac:dyDescent="0.45">
      <c r="A108"/>
    </row>
    <row r="109" spans="1:1" ht="20.100000000000001" customHeight="1" x14ac:dyDescent="0.45">
      <c r="A109"/>
    </row>
    <row r="110" spans="1:1" ht="20.100000000000001" customHeight="1" x14ac:dyDescent="0.45">
      <c r="A110"/>
    </row>
    <row r="111" spans="1:1" ht="20.100000000000001" customHeight="1" x14ac:dyDescent="0.45">
      <c r="A111"/>
    </row>
    <row r="112" spans="1:1" ht="20.100000000000001" customHeight="1" x14ac:dyDescent="0.45">
      <c r="A112"/>
    </row>
    <row r="113" spans="1:1" ht="18" x14ac:dyDescent="0.45">
      <c r="A113"/>
    </row>
    <row r="114" spans="1:1" ht="20.100000000000001" customHeight="1" x14ac:dyDescent="0.45">
      <c r="A114"/>
    </row>
    <row r="115" spans="1:1" ht="20.100000000000001" customHeight="1" x14ac:dyDescent="0.45">
      <c r="A115"/>
    </row>
    <row r="116" spans="1:1" ht="20.100000000000001" customHeight="1" x14ac:dyDescent="0.45">
      <c r="A116"/>
    </row>
    <row r="117" spans="1:1" ht="20.100000000000001" customHeight="1" x14ac:dyDescent="0.45">
      <c r="A117"/>
    </row>
    <row r="118" spans="1:1" ht="20.100000000000001" customHeight="1" x14ac:dyDescent="0.45">
      <c r="A118"/>
    </row>
    <row r="119" spans="1:1" ht="20.100000000000001" customHeight="1" x14ac:dyDescent="0.45">
      <c r="A119"/>
    </row>
    <row r="120" spans="1:1" ht="20.100000000000001" customHeight="1" x14ac:dyDescent="0.45">
      <c r="A120"/>
    </row>
    <row r="121" spans="1:1" ht="20.100000000000001" customHeight="1" x14ac:dyDescent="0.45">
      <c r="A121"/>
    </row>
    <row r="122" spans="1:1" customFormat="1" ht="20.100000000000001" customHeight="1" x14ac:dyDescent="0.45"/>
    <row r="123" spans="1:1" customFormat="1" ht="20.100000000000001" customHeight="1" x14ac:dyDescent="0.45"/>
    <row r="124" spans="1:1" customFormat="1" ht="20.100000000000001" customHeight="1" x14ac:dyDescent="0.45"/>
    <row r="125" spans="1:1" customFormat="1" ht="20.100000000000001" customHeight="1" x14ac:dyDescent="0.45"/>
    <row r="126" spans="1:1" customFormat="1" ht="20.100000000000001" customHeight="1" x14ac:dyDescent="0.45"/>
    <row r="127" spans="1:1" customFormat="1" ht="20.100000000000001" customHeight="1" x14ac:dyDescent="0.45"/>
    <row r="128" spans="1:1" customFormat="1" ht="20.100000000000001" customHeight="1" x14ac:dyDescent="0.45"/>
    <row r="129" customFormat="1" ht="20.100000000000001" customHeight="1" x14ac:dyDescent="0.45"/>
    <row r="130" customFormat="1" ht="20.100000000000001" customHeight="1" x14ac:dyDescent="0.45"/>
    <row r="131" customFormat="1" ht="20.100000000000001" customHeight="1" x14ac:dyDescent="0.45"/>
    <row r="132" customFormat="1" ht="20.100000000000001" customHeight="1" x14ac:dyDescent="0.45"/>
    <row r="133" customFormat="1" ht="20.100000000000001" customHeight="1" x14ac:dyDescent="0.45"/>
    <row r="134" customFormat="1" ht="20.100000000000001" customHeight="1" x14ac:dyDescent="0.45"/>
    <row r="135" customFormat="1" ht="20.100000000000001" customHeight="1" x14ac:dyDescent="0.45"/>
    <row r="136" customFormat="1" ht="20.100000000000001" customHeight="1" x14ac:dyDescent="0.45"/>
    <row r="137" customFormat="1" ht="20.100000000000001" customHeight="1" x14ac:dyDescent="0.45"/>
    <row r="138" customFormat="1" ht="20.100000000000001" customHeight="1" x14ac:dyDescent="0.45"/>
    <row r="139" customFormat="1" ht="20.100000000000001" customHeight="1" x14ac:dyDescent="0.45"/>
  </sheetData>
  <phoneticPr fontId="2"/>
  <dataValidations count="1">
    <dataValidation type="list" showInputMessage="1" showErrorMessage="1" sqref="G10:G19 T10:T19 Z10:Z19 AF10:AF19 M10:M19 AP10 AT10 AL10:AL19 AX10 BB10 BJ10 BF10 BN10 BR10 BV10 BZ10 CH10 CL10 CD10 CU10 CP10 CZ10">
      <formula1>チェック</formula1>
    </dataValidation>
  </dataValidations>
  <pageMargins left="0.70866141732283472" right="0.70866141732283472" top="0.74803149606299213" bottom="0.74803149606299213" header="0.31496062992125984" footer="0.31496062992125984"/>
  <pageSetup paperSize="9" scale="10" fitToHeight="0" orientation="landscape" r:id="rId1"/>
  <headerFooter>
    <oddFooter>&amp;C&amp;P / &amp;N &amp;R©2024 SMS DataTech Corporation. All rights reserved.</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OFFSET(参照!$AG$1,0,,COUNTA(一覧の書式))</xm:f>
          </x14:formula1>
          <xm:sqref>S10:S19 CS10 CX10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BI139"/>
  <sheetViews>
    <sheetView showGridLines="0" view="pageBreakPreview" zoomScale="85" zoomScaleNormal="100" zoomScaleSheetLayoutView="85" workbookViewId="0">
      <selection activeCell="F31" sqref="F31"/>
    </sheetView>
  </sheetViews>
  <sheetFormatPr defaultColWidth="3.59765625" defaultRowHeight="20.100000000000001" customHeight="1" x14ac:dyDescent="0.45"/>
  <cols>
    <col min="1" max="1" width="1.09765625" style="7" customWidth="1"/>
    <col min="2" max="3" width="3.59765625" style="7" customWidth="1"/>
    <col min="4" max="4" width="6" style="7" bestFit="1" customWidth="1"/>
    <col min="5" max="5" width="23.09765625" style="7" customWidth="1"/>
    <col min="6" max="6" width="7.5" style="7" bestFit="1" customWidth="1"/>
    <col min="7" max="7" width="3.59765625" style="7" customWidth="1"/>
    <col min="8" max="8" width="19.5" style="7" customWidth="1"/>
    <col min="9" max="11" width="3.59765625" style="7"/>
    <col min="12" max="12" width="18.09765625" style="7" customWidth="1"/>
    <col min="13" max="15" width="3.59765625" style="7"/>
    <col min="16" max="16" width="18.09765625" style="7" customWidth="1"/>
    <col min="17" max="18" width="3.59765625" style="7"/>
    <col min="19" max="59" width="3.59765625" style="7" customWidth="1"/>
    <col min="60" max="60" width="1.09765625" style="7" customWidth="1"/>
    <col min="61" max="16384" width="3.59765625" style="7"/>
  </cols>
  <sheetData>
    <row r="1" spans="1:61" ht="5.25" customHeight="1" x14ac:dyDescent="0.4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row>
    <row r="2" spans="1:61" ht="20.100000000000001" customHeight="1" x14ac:dyDescent="0.4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spans="1:61" ht="20.100000000000001" customHeight="1" x14ac:dyDescent="0.45">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row>
    <row r="4" spans="1:61" ht="20.100000000000001" customHeight="1" x14ac:dyDescent="0.45">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row>
    <row r="5" spans="1:61" ht="5.25" customHeight="1" x14ac:dyDescent="0.4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row>
    <row r="6" spans="1:61" ht="19.5" customHeight="1" x14ac:dyDescent="0.45">
      <c r="B6" s="48" t="s">
        <v>126</v>
      </c>
    </row>
    <row r="7" spans="1:61" ht="20.100000000000001" customHeight="1" x14ac:dyDescent="0.45">
      <c r="A7" s="8"/>
      <c r="B7" s="39"/>
      <c r="C7"/>
      <c r="D7"/>
    </row>
    <row r="8" spans="1:61" ht="20.100000000000001" customHeight="1" thickBot="1" x14ac:dyDescent="0.5">
      <c r="A8" s="5"/>
      <c r="C8" s="25" t="s">
        <v>227</v>
      </c>
      <c r="D8" s="25"/>
      <c r="E8" s="14"/>
      <c r="F8" s="14"/>
      <c r="G8" s="8"/>
      <c r="H8" s="25" t="s">
        <v>237</v>
      </c>
      <c r="I8"/>
      <c r="J8"/>
      <c r="K8"/>
      <c r="L8" s="25" t="s">
        <v>238</v>
      </c>
      <c r="M8"/>
      <c r="N8"/>
      <c r="O8"/>
      <c r="P8" s="25" t="s">
        <v>239</v>
      </c>
      <c r="Q8"/>
      <c r="R8"/>
    </row>
    <row r="9" spans="1:61" s="6" customFormat="1" ht="76.2" thickTop="1" x14ac:dyDescent="0.45">
      <c r="A9" s="5"/>
      <c r="C9" s="22" t="s">
        <v>12</v>
      </c>
      <c r="D9" s="98" t="s">
        <v>264</v>
      </c>
      <c r="E9" s="23" t="s">
        <v>19</v>
      </c>
      <c r="F9" s="103" t="s">
        <v>34</v>
      </c>
      <c r="G9" s="43"/>
      <c r="H9" s="119" t="s">
        <v>19</v>
      </c>
      <c r="I9" s="103" t="s">
        <v>263</v>
      </c>
      <c r="J9" s="44" t="s">
        <v>35</v>
      </c>
      <c r="K9"/>
      <c r="L9" s="119" t="s">
        <v>19</v>
      </c>
      <c r="M9" s="103" t="s">
        <v>263</v>
      </c>
      <c r="N9" s="44" t="s">
        <v>35</v>
      </c>
      <c r="O9"/>
      <c r="P9" s="119" t="s">
        <v>19</v>
      </c>
      <c r="Q9" s="103" t="s">
        <v>263</v>
      </c>
      <c r="R9" s="44" t="s">
        <v>35</v>
      </c>
    </row>
    <row r="10" spans="1:61" s="6" customFormat="1" ht="20.100000000000001" customHeight="1" thickBot="1" x14ac:dyDescent="0.5">
      <c r="A10" s="5"/>
      <c r="C10" s="19">
        <v>1</v>
      </c>
      <c r="D10" s="95"/>
      <c r="E10" s="99"/>
      <c r="F10" s="104"/>
      <c r="G10" s="43"/>
      <c r="H10" s="120"/>
      <c r="I10" s="106"/>
      <c r="J10" s="46" t="s">
        <v>20</v>
      </c>
      <c r="K10"/>
      <c r="L10" s="120"/>
      <c r="M10" s="106"/>
      <c r="N10" s="46" t="s">
        <v>20</v>
      </c>
      <c r="O10"/>
      <c r="P10" s="120"/>
      <c r="Q10" s="106"/>
      <c r="R10" s="46" t="s">
        <v>20</v>
      </c>
    </row>
    <row r="11" spans="1:61" s="6" customFormat="1" ht="20.100000000000001" customHeight="1" thickTop="1" x14ac:dyDescent="0.45">
      <c r="A11" s="5"/>
      <c r="C11" s="19">
        <v>2</v>
      </c>
      <c r="D11" s="95"/>
      <c r="E11" s="99"/>
      <c r="F11" s="104"/>
      <c r="G11" s="43"/>
    </row>
    <row r="12" spans="1:61" s="6" customFormat="1" ht="20.100000000000001" customHeight="1" x14ac:dyDescent="0.45">
      <c r="A12" s="5"/>
      <c r="C12" s="19">
        <v>3</v>
      </c>
      <c r="D12" s="95"/>
      <c r="E12" s="99"/>
      <c r="F12" s="104"/>
      <c r="G12" s="43"/>
    </row>
    <row r="13" spans="1:61" s="6" customFormat="1" ht="20.100000000000001" customHeight="1" x14ac:dyDescent="0.45">
      <c r="A13" s="5"/>
      <c r="C13" s="19">
        <v>4</v>
      </c>
      <c r="D13" s="95"/>
      <c r="E13" s="99"/>
      <c r="F13" s="104"/>
      <c r="G13" s="43"/>
    </row>
    <row r="14" spans="1:61" s="6" customFormat="1" ht="20.100000000000001" customHeight="1" x14ac:dyDescent="0.45">
      <c r="A14" s="5"/>
      <c r="C14" s="19">
        <v>5</v>
      </c>
      <c r="D14" s="97"/>
      <c r="E14" s="100"/>
      <c r="F14" s="105"/>
      <c r="G14" s="43"/>
    </row>
    <row r="15" spans="1:61" s="6" customFormat="1" ht="20.100000000000001" customHeight="1" x14ac:dyDescent="0.45">
      <c r="A15" s="5"/>
      <c r="C15" s="19">
        <v>6</v>
      </c>
      <c r="D15" s="95"/>
      <c r="E15" s="99"/>
      <c r="F15" s="104"/>
      <c r="G15" s="43"/>
    </row>
    <row r="16" spans="1:61" s="6" customFormat="1" ht="20.100000000000001" customHeight="1" x14ac:dyDescent="0.45">
      <c r="A16" s="5"/>
      <c r="C16" s="19">
        <v>7</v>
      </c>
      <c r="D16" s="95"/>
      <c r="E16" s="99"/>
      <c r="F16" s="104"/>
      <c r="G16" s="43"/>
    </row>
    <row r="17" spans="2:61" ht="20.100000000000001" customHeight="1" x14ac:dyDescent="0.45">
      <c r="C17" s="19">
        <v>8</v>
      </c>
      <c r="D17" s="95"/>
      <c r="E17" s="99"/>
      <c r="F17" s="104"/>
      <c r="G17" s="16"/>
    </row>
    <row r="18" spans="2:61" customFormat="1" ht="20.100000000000001" customHeight="1" x14ac:dyDescent="0.45">
      <c r="C18" s="19">
        <v>9</v>
      </c>
      <c r="D18" s="95"/>
      <c r="E18" s="99"/>
      <c r="F18" s="104"/>
      <c r="G18" s="38"/>
    </row>
    <row r="19" spans="2:61" customFormat="1" ht="18.600000000000001" thickBot="1" x14ac:dyDescent="0.5">
      <c r="C19" s="26">
        <v>10</v>
      </c>
      <c r="D19" s="96"/>
      <c r="E19" s="101"/>
      <c r="F19" s="106"/>
      <c r="G19" s="38"/>
    </row>
    <row r="20" spans="2:61" customFormat="1" ht="20.100000000000001" customHeight="1" thickTop="1" x14ac:dyDescent="0.45"/>
    <row r="21" spans="2:61" customFormat="1" ht="20.100000000000001" customHeight="1" x14ac:dyDescent="0.45">
      <c r="B21" s="7"/>
      <c r="C21" s="7"/>
      <c r="D21" s="7"/>
      <c r="E21" s="7"/>
      <c r="F21" s="7"/>
      <c r="G21" s="7"/>
      <c r="H21" s="7"/>
    </row>
    <row r="22" spans="2:61" customFormat="1" ht="20.100000000000001" customHeight="1" x14ac:dyDescent="0.45">
      <c r="B22" s="7"/>
      <c r="C22" s="7"/>
      <c r="D22" s="7"/>
      <c r="E22" s="7"/>
      <c r="F22" s="7"/>
      <c r="G22" s="7"/>
      <c r="H22" s="7"/>
    </row>
    <row r="23" spans="2:61" customFormat="1" ht="20.100000000000001" customHeight="1" x14ac:dyDescent="0.45">
      <c r="B23" s="7"/>
      <c r="C23" s="7"/>
      <c r="D23" s="7"/>
      <c r="E23" s="7"/>
      <c r="F23" s="7"/>
      <c r="G23" s="7"/>
      <c r="H23" s="7"/>
    </row>
    <row r="24" spans="2:61" customFormat="1" ht="20.100000000000001" customHeight="1" x14ac:dyDescent="0.45">
      <c r="B24" s="7"/>
      <c r="C24" s="7"/>
      <c r="D24" s="7"/>
      <c r="E24" s="7"/>
      <c r="F24" s="7"/>
      <c r="G24" s="7"/>
      <c r="H24" s="7"/>
    </row>
    <row r="25" spans="2:61" customFormat="1" ht="18" x14ac:dyDescent="0.45">
      <c r="B25" s="7"/>
      <c r="C25" s="7"/>
      <c r="D25" s="7"/>
      <c r="E25" s="7"/>
      <c r="F25" s="7"/>
      <c r="G25" s="7"/>
      <c r="H25" s="7"/>
    </row>
    <row r="26" spans="2:61" customFormat="1" ht="20.100000000000001" customHeight="1" x14ac:dyDescent="0.45">
      <c r="B26" s="7"/>
      <c r="C26" s="7"/>
      <c r="D26" s="7"/>
      <c r="E26" s="7"/>
      <c r="F26" s="7"/>
      <c r="G26" s="7"/>
      <c r="H26" s="7"/>
      <c r="I26" s="7"/>
      <c r="J26" s="7"/>
      <c r="K26" s="7"/>
      <c r="L26" s="7"/>
    </row>
    <row r="27" spans="2:61" customFormat="1" ht="20.100000000000001" customHeight="1" x14ac:dyDescent="0.45">
      <c r="B27" s="5"/>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row>
    <row r="28" spans="2:61" customFormat="1" ht="20.100000000000001" customHeight="1" x14ac:dyDescent="0.45">
      <c r="B28" s="5"/>
      <c r="C28" s="39"/>
      <c r="D28" s="39"/>
      <c r="E28" s="7"/>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row>
    <row r="29" spans="2:61" customFormat="1" ht="20.100000000000001" customHeight="1" x14ac:dyDescent="0.45">
      <c r="B29" s="5"/>
      <c r="C29" s="39"/>
      <c r="D29" s="39"/>
      <c r="E29" s="7"/>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row>
    <row r="30" spans="2:61" customFormat="1" ht="20.100000000000001" customHeight="1" x14ac:dyDescent="0.45">
      <c r="B30" s="39"/>
      <c r="C30" s="39"/>
      <c r="D30" s="39"/>
      <c r="E30" s="7"/>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row>
    <row r="31" spans="2:61" customFormat="1" ht="20.100000000000001" customHeight="1" x14ac:dyDescent="0.45">
      <c r="B31" s="39"/>
      <c r="C31" s="39"/>
      <c r="D31" s="39"/>
      <c r="E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8"/>
      <c r="AX31" s="8"/>
      <c r="AY31" s="8"/>
      <c r="AZ31" s="8"/>
      <c r="BA31" s="8"/>
      <c r="BB31" s="8"/>
      <c r="BC31" s="39"/>
      <c r="BD31" s="39"/>
      <c r="BE31" s="39"/>
      <c r="BF31" s="39"/>
      <c r="BG31" s="39"/>
      <c r="BH31" s="39"/>
      <c r="BI31" s="39"/>
    </row>
    <row r="32" spans="2:61" customFormat="1" ht="18" x14ac:dyDescent="0.45">
      <c r="B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row>
    <row r="33" spans="2:61" ht="24" customHeight="1" x14ac:dyDescent="0.45">
      <c r="B33" s="39"/>
      <c r="C33"/>
      <c r="D33"/>
      <c r="E33"/>
      <c r="F33"/>
      <c r="G33"/>
      <c r="H33"/>
      <c r="I33"/>
      <c r="J33"/>
      <c r="K33"/>
      <c r="L33"/>
      <c r="M33"/>
      <c r="N33"/>
      <c r="O33"/>
      <c r="P33"/>
      <c r="Q33"/>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8"/>
      <c r="BB33" s="8"/>
      <c r="BC33" s="8"/>
      <c r="BD33" s="8"/>
      <c r="BE33" s="8"/>
      <c r="BF33" s="8"/>
      <c r="BG33" s="8"/>
      <c r="BH33" s="8"/>
      <c r="BI33" s="8"/>
    </row>
    <row r="34" spans="2:61" ht="20.100000000000001" customHeight="1" x14ac:dyDescent="0.45">
      <c r="B34" s="39"/>
      <c r="C34"/>
      <c r="D34"/>
      <c r="E34"/>
      <c r="F34"/>
      <c r="G34"/>
      <c r="H34"/>
      <c r="I34"/>
      <c r="J34"/>
      <c r="K34"/>
      <c r="L34"/>
      <c r="M34"/>
      <c r="N34"/>
      <c r="O34"/>
      <c r="P34"/>
      <c r="Q34"/>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8"/>
      <c r="BB34" s="8"/>
      <c r="BC34" s="8"/>
      <c r="BD34" s="8"/>
      <c r="BE34" s="8"/>
      <c r="BF34" s="8"/>
      <c r="BG34" s="8"/>
      <c r="BH34" s="8"/>
      <c r="BI34" s="8"/>
    </row>
    <row r="35" spans="2:61" ht="20.100000000000001" customHeight="1" x14ac:dyDescent="0.45">
      <c r="B35" s="39"/>
      <c r="C35"/>
      <c r="D35"/>
      <c r="E35"/>
      <c r="F35"/>
      <c r="G35"/>
      <c r="H35"/>
      <c r="I35"/>
      <c r="J35"/>
      <c r="K35"/>
      <c r="L35"/>
      <c r="M35"/>
      <c r="N35"/>
      <c r="O35"/>
      <c r="P35"/>
      <c r="Q35"/>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8"/>
      <c r="BB35" s="8"/>
      <c r="BC35" s="8"/>
      <c r="BD35" s="8"/>
      <c r="BE35" s="8"/>
      <c r="BF35" s="8"/>
      <c r="BG35" s="8"/>
      <c r="BH35" s="8"/>
      <c r="BI35" s="8"/>
    </row>
    <row r="36" spans="2:61" ht="20.100000000000001" customHeight="1" x14ac:dyDescent="0.45">
      <c r="B36" s="39"/>
      <c r="C36"/>
      <c r="D36"/>
      <c r="E36"/>
      <c r="F36"/>
      <c r="G36"/>
      <c r="H36"/>
      <c r="I36"/>
      <c r="J36"/>
      <c r="K36"/>
      <c r="L36"/>
      <c r="M36"/>
      <c r="N36"/>
      <c r="O36"/>
      <c r="P36"/>
      <c r="Q36"/>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8"/>
      <c r="BB36" s="8"/>
      <c r="BC36" s="8"/>
      <c r="BD36" s="8"/>
      <c r="BE36" s="8"/>
      <c r="BF36" s="8"/>
      <c r="BG36" s="8"/>
      <c r="BH36" s="8"/>
      <c r="BI36" s="8"/>
    </row>
    <row r="37" spans="2:61" ht="20.100000000000001" customHeight="1" x14ac:dyDescent="0.45">
      <c r="B37" s="39"/>
      <c r="C37"/>
      <c r="D37"/>
      <c r="E37"/>
      <c r="F37"/>
      <c r="G37"/>
      <c r="H37"/>
      <c r="I37"/>
      <c r="J37"/>
      <c r="K37"/>
      <c r="L37"/>
      <c r="M37"/>
      <c r="N37"/>
      <c r="O37"/>
      <c r="P37"/>
      <c r="Q37"/>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8"/>
      <c r="BB37" s="8"/>
      <c r="BC37" s="8"/>
      <c r="BD37" s="8"/>
      <c r="BE37" s="8"/>
      <c r="BF37" s="8"/>
      <c r="BG37" s="8"/>
      <c r="BH37" s="8"/>
      <c r="BI37" s="8"/>
    </row>
    <row r="38" spans="2:61" ht="20.100000000000001" customHeight="1" x14ac:dyDescent="0.45">
      <c r="B38" s="39"/>
      <c r="C38"/>
      <c r="D38"/>
      <c r="E38"/>
      <c r="F38"/>
      <c r="G38"/>
      <c r="H38"/>
      <c r="I38"/>
      <c r="J38"/>
      <c r="K38"/>
      <c r="L38"/>
      <c r="M38"/>
      <c r="N38"/>
      <c r="O38"/>
      <c r="P38"/>
      <c r="Q38"/>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8"/>
      <c r="BB38" s="8"/>
      <c r="BC38" s="8"/>
      <c r="BD38" s="8"/>
      <c r="BE38" s="8"/>
      <c r="BF38" s="8"/>
      <c r="BG38" s="8"/>
      <c r="BH38" s="8"/>
      <c r="BI38" s="8"/>
    </row>
    <row r="39" spans="2:61" ht="20.100000000000001" customHeight="1" x14ac:dyDescent="0.45">
      <c r="B39" s="39"/>
      <c r="C39"/>
      <c r="D39"/>
      <c r="E39"/>
      <c r="F39"/>
      <c r="G39"/>
      <c r="H39"/>
      <c r="I39"/>
      <c r="J39"/>
      <c r="K39"/>
      <c r="L39"/>
      <c r="M39"/>
      <c r="N39"/>
      <c r="O39"/>
      <c r="P39"/>
      <c r="Q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8"/>
      <c r="BB39" s="8"/>
      <c r="BC39" s="8"/>
      <c r="BD39" s="8"/>
      <c r="BE39" s="8"/>
      <c r="BF39" s="8"/>
      <c r="BG39" s="8"/>
      <c r="BH39" s="8"/>
      <c r="BI39" s="8"/>
    </row>
    <row r="40" spans="2:61" ht="20.100000000000001" customHeight="1" x14ac:dyDescent="0.45">
      <c r="B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8"/>
      <c r="BB40" s="8"/>
      <c r="BC40" s="8"/>
      <c r="BD40" s="8"/>
      <c r="BE40" s="8"/>
      <c r="BF40" s="8"/>
      <c r="BG40" s="8"/>
      <c r="BH40" s="8"/>
      <c r="BI40" s="8"/>
    </row>
    <row r="41" spans="2:61" ht="28.35" customHeight="1" x14ac:dyDescent="0.45">
      <c r="B41" s="39"/>
      <c r="C41" s="39"/>
      <c r="D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8"/>
      <c r="BB41" s="8"/>
      <c r="BC41" s="8"/>
      <c r="BD41" s="8"/>
      <c r="BE41" s="8"/>
      <c r="BF41" s="8"/>
      <c r="BG41" s="8"/>
      <c r="BH41" s="8"/>
      <c r="BI41" s="8"/>
    </row>
    <row r="42" spans="2:61" ht="20.100000000000001" customHeight="1" x14ac:dyDescent="0.45">
      <c r="B42" s="39"/>
      <c r="C42" s="39"/>
      <c r="D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8"/>
      <c r="BB42" s="8"/>
      <c r="BC42" s="8"/>
      <c r="BD42" s="8"/>
      <c r="BE42" s="8"/>
      <c r="BF42" s="8"/>
      <c r="BG42" s="8"/>
      <c r="BH42" s="8"/>
      <c r="BI42" s="8"/>
    </row>
    <row r="43" spans="2:61" ht="20.100000000000001" customHeight="1" x14ac:dyDescent="0.45">
      <c r="B43" s="39"/>
      <c r="C43" s="39"/>
      <c r="D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8"/>
      <c r="AX43" s="8"/>
      <c r="AY43" s="8"/>
      <c r="AZ43" s="8"/>
      <c r="BA43" s="8"/>
      <c r="BB43" s="8"/>
      <c r="BC43" s="8"/>
      <c r="BD43" s="8"/>
      <c r="BE43" s="8"/>
      <c r="BF43" s="8"/>
      <c r="BG43" s="8"/>
      <c r="BH43" s="8"/>
      <c r="BI43" s="8"/>
    </row>
    <row r="44" spans="2:61" ht="20.100000000000001" customHeight="1" x14ac:dyDescent="0.45">
      <c r="B44" s="8"/>
      <c r="C44" s="8"/>
      <c r="D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row r="45" spans="2:61" ht="20.100000000000001" customHeight="1" x14ac:dyDescent="0.45">
      <c r="B45" s="39"/>
      <c r="C45" s="39"/>
      <c r="D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row>
    <row r="46" spans="2:61" ht="18" x14ac:dyDescent="0.45">
      <c r="B46" s="39"/>
      <c r="C46" s="39"/>
      <c r="D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row>
    <row r="47" spans="2:61" ht="20.100000000000001" customHeight="1" x14ac:dyDescent="0.45">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row>
    <row r="48" spans="2:61" ht="20.100000000000001" customHeight="1" x14ac:dyDescent="0.45">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row>
    <row r="49" spans="1:61" ht="20.100000000000001" customHeight="1" x14ac:dyDescent="0.45">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row>
    <row r="50" spans="1:61" ht="20.100000000000001" customHeight="1" x14ac:dyDescent="0.45">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row>
    <row r="51" spans="1:61" ht="20.100000000000001" customHeight="1" x14ac:dyDescent="0.45">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row>
    <row r="52" spans="1:61" ht="20.100000000000001" customHeight="1" x14ac:dyDescent="0.45">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20.100000000000001" customHeight="1" x14ac:dyDescent="0.4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20.100000000000001" customHeight="1" x14ac:dyDescent="0.4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20.100000000000001" customHeight="1" x14ac:dyDescent="0.4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row>
    <row r="56" spans="1:61" ht="20.100000000000001" customHeight="1" x14ac:dyDescent="0.4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row>
    <row r="57" spans="1:61" ht="20.100000000000001" customHeight="1" x14ac:dyDescent="0.4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row>
    <row r="58" spans="1:61" ht="20.100000000000001" customHeight="1" x14ac:dyDescent="0.4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row>
    <row r="59" spans="1:61" ht="18" x14ac:dyDescent="0.4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row>
    <row r="60" spans="1:61" ht="20.100000000000001" customHeight="1" x14ac:dyDescent="0.4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row>
    <row r="61" spans="1:61" ht="20.100000000000001" customHeight="1" x14ac:dyDescent="0.4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row>
    <row r="62" spans="1:61" ht="20.100000000000001" customHeight="1" x14ac:dyDescent="0.4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row>
    <row r="63" spans="1:61" ht="20.100000000000001" customHeight="1" x14ac:dyDescent="0.4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row>
    <row r="64" spans="1:61" ht="20.100000000000001" customHeight="1" x14ac:dyDescent="0.4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row>
    <row r="65" spans="1:61" ht="20.100000000000001" customHeight="1" x14ac:dyDescent="0.4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row>
    <row r="66" spans="1:61" ht="20.100000000000001" customHeight="1" x14ac:dyDescent="0.4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row>
    <row r="67" spans="1:61" ht="20.100000000000001" customHeight="1" x14ac:dyDescent="0.4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row>
    <row r="68" spans="1:61" ht="20.100000000000001" customHeight="1" x14ac:dyDescent="0.4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row>
    <row r="69" spans="1:61" ht="20.100000000000001" customHeight="1" x14ac:dyDescent="0.45">
      <c r="A69"/>
      <c r="B69" s="39"/>
      <c r="C69" s="39"/>
      <c r="D69" s="39"/>
      <c r="E69" s="39"/>
      <c r="F69" s="39"/>
      <c r="G69" s="39"/>
      <c r="H69" s="39"/>
      <c r="I69" s="39"/>
      <c r="J69" s="39"/>
      <c r="K69" s="39"/>
      <c r="L69" s="39"/>
      <c r="M69" s="39"/>
      <c r="N69" s="39"/>
      <c r="O69" s="3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row>
    <row r="70" spans="1:61" ht="20.100000000000001" customHeight="1" x14ac:dyDescent="0.4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row>
    <row r="71" spans="1:61" ht="20.100000000000001" customHeight="1" x14ac:dyDescent="0.4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row>
    <row r="72" spans="1:61" ht="18" x14ac:dyDescent="0.4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row>
    <row r="73" spans="1:61" ht="18" x14ac:dyDescent="0.4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row>
    <row r="74" spans="1:61" ht="20.100000000000001" customHeight="1" x14ac:dyDescent="0.4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row>
    <row r="75" spans="1:61" ht="20.100000000000001" customHeight="1" x14ac:dyDescent="0.4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row>
    <row r="76" spans="1:61" ht="20.100000000000001" customHeight="1" x14ac:dyDescent="0.4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row>
    <row r="77" spans="1:61" ht="20.100000000000001" customHeight="1" x14ac:dyDescent="0.4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row>
    <row r="78" spans="1:61" ht="20.100000000000001" customHeight="1" x14ac:dyDescent="0.4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row>
    <row r="79" spans="1:61" ht="20.100000000000001" customHeight="1" x14ac:dyDescent="0.4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row>
    <row r="80" spans="1:61" ht="20.100000000000001" customHeight="1" x14ac:dyDescent="0.4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row>
    <row r="81" spans="1:61" ht="18" x14ac:dyDescent="0.4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row>
    <row r="82" spans="1:61" ht="20.100000000000001" customHeight="1" x14ac:dyDescent="0.4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row>
    <row r="83" spans="1:61" ht="20.100000000000001" customHeight="1" x14ac:dyDescent="0.4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row>
    <row r="84" spans="1:61" ht="20.100000000000001" customHeight="1" x14ac:dyDescent="0.4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row>
    <row r="85" spans="1:61" ht="20.100000000000001" customHeight="1" x14ac:dyDescent="0.4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row>
    <row r="86" spans="1:61" ht="20.100000000000001" customHeight="1" x14ac:dyDescent="0.4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row>
    <row r="87" spans="1:61" ht="20.100000000000001" customHeight="1" x14ac:dyDescent="0.4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row>
    <row r="88" spans="1:61" ht="20.100000000000001" customHeight="1" x14ac:dyDescent="0.4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row>
    <row r="89" spans="1:61" ht="18" x14ac:dyDescent="0.4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row>
    <row r="90" spans="1:61" ht="20.100000000000001" customHeight="1" x14ac:dyDescent="0.4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row>
    <row r="91" spans="1:61" ht="20.100000000000001" customHeight="1" x14ac:dyDescent="0.4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row>
    <row r="92" spans="1:61" ht="20.100000000000001" customHeight="1" x14ac:dyDescent="0.4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row>
    <row r="93" spans="1:61" ht="20.100000000000001" customHeight="1" x14ac:dyDescent="0.4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row>
    <row r="94" spans="1:61" ht="20.100000000000001" customHeight="1" x14ac:dyDescent="0.4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row>
    <row r="95" spans="1:61" ht="20.100000000000001" customHeight="1" x14ac:dyDescent="0.4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row>
    <row r="96" spans="1:61" ht="20.100000000000001" customHeight="1" x14ac:dyDescent="0.4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row>
    <row r="97" spans="1:61" ht="18" x14ac:dyDescent="0.4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row>
    <row r="98" spans="1:61" ht="20.100000000000001" customHeight="1" x14ac:dyDescent="0.4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row>
    <row r="99" spans="1:61" ht="20.100000000000001" customHeight="1" x14ac:dyDescent="0.4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row>
    <row r="100" spans="1:61" ht="20.100000000000001" customHeight="1" x14ac:dyDescent="0.4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row>
    <row r="101" spans="1:61" ht="20.100000000000001" customHeight="1" x14ac:dyDescent="0.4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row>
    <row r="102" spans="1:61" ht="20.100000000000001" customHeight="1" x14ac:dyDescent="0.4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row>
    <row r="103" spans="1:61" ht="20.100000000000001" customHeight="1" x14ac:dyDescent="0.4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row>
    <row r="104" spans="1:61" ht="20.100000000000001" customHeight="1" x14ac:dyDescent="0.4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row>
    <row r="105" spans="1:61" ht="18" x14ac:dyDescent="0.4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row>
    <row r="106" spans="1:61" ht="20.100000000000001" customHeight="1" x14ac:dyDescent="0.4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row>
    <row r="107" spans="1:61" ht="20.100000000000001" customHeight="1" x14ac:dyDescent="0.4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row>
    <row r="108" spans="1:61" ht="20.100000000000001" customHeight="1" x14ac:dyDescent="0.4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row>
    <row r="109" spans="1:61" ht="20.100000000000001" customHeight="1" x14ac:dyDescent="0.4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row>
    <row r="110" spans="1:61" ht="20.100000000000001" customHeight="1" x14ac:dyDescent="0.4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row>
    <row r="111" spans="1:61" ht="20.100000000000001" customHeight="1" x14ac:dyDescent="0.4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row>
    <row r="112" spans="1:61" ht="20.100000000000001" customHeight="1" x14ac:dyDescent="0.4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row>
    <row r="113" spans="1:61" ht="18" x14ac:dyDescent="0.4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row>
    <row r="114" spans="1:61" ht="20.100000000000001" customHeight="1" x14ac:dyDescent="0.4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row>
    <row r="115" spans="1:61" ht="20.100000000000001" customHeight="1" x14ac:dyDescent="0.4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row>
    <row r="116" spans="1:61" ht="20.100000000000001" customHeight="1" x14ac:dyDescent="0.4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row>
    <row r="117" spans="1:61" ht="20.100000000000001" customHeight="1" x14ac:dyDescent="0.4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row>
    <row r="118" spans="1:61" ht="20.100000000000001" customHeight="1" x14ac:dyDescent="0.4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row>
    <row r="119" spans="1:61" ht="20.100000000000001" customHeight="1" x14ac:dyDescent="0.4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row>
    <row r="120" spans="1:61" ht="20.100000000000001" customHeight="1" x14ac:dyDescent="0.4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row>
    <row r="121" spans="1:61" ht="20.100000000000001" customHeight="1" x14ac:dyDescent="0.4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row>
    <row r="122" spans="1:61" customFormat="1" ht="20.100000000000001" customHeight="1" x14ac:dyDescent="0.45"/>
    <row r="123" spans="1:61" customFormat="1" ht="20.100000000000001" customHeight="1" x14ac:dyDescent="0.45"/>
    <row r="124" spans="1:61" customFormat="1" ht="20.100000000000001" customHeight="1" x14ac:dyDescent="0.45"/>
    <row r="125" spans="1:61" customFormat="1" ht="20.100000000000001" customHeight="1" x14ac:dyDescent="0.45"/>
    <row r="126" spans="1:61" customFormat="1" ht="20.100000000000001" customHeight="1" x14ac:dyDescent="0.45"/>
    <row r="127" spans="1:61" customFormat="1" ht="20.100000000000001" customHeight="1" x14ac:dyDescent="0.45"/>
    <row r="128" spans="1:61" customFormat="1" ht="20.100000000000001" customHeight="1" x14ac:dyDescent="0.45"/>
    <row r="129" customFormat="1" ht="20.100000000000001" customHeight="1" x14ac:dyDescent="0.45"/>
    <row r="130" customFormat="1" ht="20.100000000000001" customHeight="1" x14ac:dyDescent="0.45"/>
    <row r="131" customFormat="1" ht="20.100000000000001" customHeight="1" x14ac:dyDescent="0.45"/>
    <row r="132" customFormat="1" ht="20.100000000000001" customHeight="1" x14ac:dyDescent="0.45"/>
    <row r="133" customFormat="1" ht="20.100000000000001" customHeight="1" x14ac:dyDescent="0.45"/>
    <row r="134" customFormat="1" ht="20.100000000000001" customHeight="1" x14ac:dyDescent="0.45"/>
    <row r="135" customFormat="1" ht="20.100000000000001" customHeight="1" x14ac:dyDescent="0.45"/>
    <row r="136" customFormat="1" ht="20.100000000000001" customHeight="1" x14ac:dyDescent="0.45"/>
    <row r="137" customFormat="1" ht="20.100000000000001" customHeight="1" x14ac:dyDescent="0.45"/>
    <row r="138" customFormat="1" ht="20.100000000000001" customHeight="1" x14ac:dyDescent="0.45"/>
    <row r="139" customFormat="1" ht="20.100000000000001" customHeight="1" x14ac:dyDescent="0.45"/>
  </sheetData>
  <phoneticPr fontId="2"/>
  <dataValidations count="1">
    <dataValidation type="list" showInputMessage="1" showErrorMessage="1" sqref="J10 N10 R10">
      <formula1>チェック</formula1>
    </dataValidation>
  </dataValidations>
  <pageMargins left="0.70866141732283472" right="0.70866141732283472" top="0.74803149606299213" bottom="0.74803149606299213" header="0.31496062992125984" footer="0.31496062992125984"/>
  <pageSetup paperSize="9" scale="10" fitToHeight="0" orientation="landscape" r:id="rId1"/>
  <headerFooter>
    <oddFooter>&amp;C&amp;P / &amp;N &amp;R©2024 SMS DataTech Corporation. All rights reserved.</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OFFSET(参照!$AE$1,0,,COUNTA(集計種別))</xm:f>
          </x14:formula1>
          <xm:sqref>F10:F19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V139"/>
  <sheetViews>
    <sheetView showGridLines="0" view="pageBreakPreview" zoomScale="85" zoomScaleNormal="100" zoomScaleSheetLayoutView="85" workbookViewId="0">
      <selection activeCell="H32" sqref="H32"/>
    </sheetView>
  </sheetViews>
  <sheetFormatPr defaultColWidth="3.59765625" defaultRowHeight="20.100000000000001" customHeight="1" x14ac:dyDescent="0.45"/>
  <cols>
    <col min="1" max="1" width="1.09765625" style="7" customWidth="1"/>
    <col min="2" max="3" width="3.59765625" style="7" customWidth="1"/>
    <col min="4" max="4" width="6" style="7" bestFit="1" customWidth="1"/>
    <col min="5" max="5" width="20.3984375" style="7" customWidth="1"/>
    <col min="6" max="6" width="7.5" style="7" bestFit="1" customWidth="1"/>
    <col min="7" max="8" width="3.59765625" style="7" customWidth="1"/>
    <col min="9" max="9" width="6" style="7" customWidth="1"/>
    <col min="10" max="10" width="24.09765625" style="7" customWidth="1"/>
    <col min="11" max="11" width="8" style="7" bestFit="1" customWidth="1"/>
    <col min="12" max="13" width="3.59765625" style="7" customWidth="1"/>
    <col min="14" max="14" width="5.8984375" style="7" bestFit="1" customWidth="1"/>
    <col min="15" max="16" width="3.59765625" style="7" customWidth="1"/>
    <col min="17" max="17" width="6" style="7" customWidth="1"/>
    <col min="18" max="18" width="27.09765625" style="7" customWidth="1"/>
    <col min="19" max="19" width="7.5" style="7" bestFit="1" customWidth="1"/>
    <col min="20" max="21" width="4.5" style="7" bestFit="1" customWidth="1"/>
    <col min="22" max="27" width="3.59765625" style="7" customWidth="1"/>
    <col min="28" max="28" width="6" style="7" customWidth="1"/>
    <col min="29" max="29" width="32.59765625" style="7" customWidth="1"/>
    <col min="30" max="30" width="7.5" style="7" bestFit="1" customWidth="1"/>
    <col min="31" max="32" width="3.59765625" style="7" customWidth="1"/>
    <col min="33" max="33" width="6" style="7" bestFit="1" customWidth="1"/>
    <col min="34" max="34" width="30.59765625" style="7" customWidth="1"/>
    <col min="35" max="35" width="7" style="7" bestFit="1" customWidth="1"/>
    <col min="36" max="36" width="3.59765625" style="7" customWidth="1"/>
    <col min="37" max="37" width="31.09765625" style="7" customWidth="1"/>
    <col min="38" max="38" width="8" style="7" bestFit="1" customWidth="1"/>
    <col min="39" max="40" width="4.5" style="7" bestFit="1" customWidth="1"/>
    <col min="41" max="41" width="5.8984375" style="7" bestFit="1" customWidth="1"/>
    <col min="42" max="42" width="3.59765625" style="7"/>
    <col min="43" max="43" width="26" style="7" customWidth="1"/>
    <col min="44" max="44" width="8" style="7" bestFit="1" customWidth="1"/>
    <col min="45" max="46" width="4.5" style="7" bestFit="1" customWidth="1"/>
    <col min="47" max="47" width="5.8984375" style="7" bestFit="1" customWidth="1"/>
    <col min="48" max="48" width="3.59765625" style="7"/>
    <col min="49" max="49" width="30.59765625" style="7" customWidth="1"/>
    <col min="50" max="50" width="8.59765625" style="7" bestFit="1" customWidth="1"/>
    <col min="51" max="51" width="3.59765625" style="7"/>
    <col min="52" max="52" width="24.59765625" style="7" customWidth="1"/>
    <col min="53" max="53" width="8.59765625" style="7" bestFit="1" customWidth="1"/>
    <col min="54" max="54" width="3.59765625" style="7"/>
    <col min="55" max="55" width="26.09765625" style="7" customWidth="1"/>
    <col min="56" max="56" width="3.59765625" style="7"/>
    <col min="57" max="57" width="34" style="7" customWidth="1"/>
    <col min="58" max="58" width="3.59765625" style="7" customWidth="1"/>
    <col min="59" max="59" width="32" style="7" customWidth="1"/>
    <col min="60" max="61" width="3.59765625" style="7"/>
    <col min="62" max="62" width="34.5" style="7" customWidth="1"/>
    <col min="63" max="63" width="11.5" style="7" bestFit="1" customWidth="1"/>
    <col min="64" max="64" width="3.59765625" style="7"/>
    <col min="65" max="65" width="39.09765625" style="7" customWidth="1"/>
    <col min="66" max="66" width="8" style="7" bestFit="1" customWidth="1"/>
    <col min="67" max="68" width="4.5" style="7" bestFit="1" customWidth="1"/>
    <col min="69" max="69" width="5.8984375" style="7" bestFit="1" customWidth="1"/>
    <col min="70" max="70" width="3.59765625" style="7"/>
    <col min="71" max="71" width="34.5" style="7" customWidth="1"/>
    <col min="72" max="72" width="8" style="7" bestFit="1" customWidth="1"/>
    <col min="73" max="74" width="4.5" style="7" bestFit="1" customWidth="1"/>
    <col min="75" max="75" width="5.8984375" style="7" bestFit="1" customWidth="1"/>
    <col min="76" max="76" width="3.59765625" style="7"/>
    <col min="77" max="77" width="38" style="7" customWidth="1"/>
    <col min="78" max="78" width="8" style="7" bestFit="1" customWidth="1"/>
    <col min="79" max="80" width="4.5" style="7" bestFit="1" customWidth="1"/>
    <col min="81" max="81" width="5.8984375" style="7" bestFit="1" customWidth="1"/>
    <col min="82" max="82" width="3.59765625" style="7"/>
    <col min="83" max="83" width="26.09765625" style="7" customWidth="1"/>
    <col min="84" max="84" width="8" style="7" bestFit="1" customWidth="1"/>
    <col min="85" max="86" width="4.5" style="7" bestFit="1" customWidth="1"/>
    <col min="87" max="91" width="3.59765625" style="7"/>
    <col min="92" max="92" width="28" style="7" customWidth="1"/>
    <col min="93" max="93" width="8" style="7" bestFit="1" customWidth="1"/>
    <col min="94" max="95" width="4.5" style="7" bestFit="1" customWidth="1"/>
    <col min="96" max="16384" width="3.59765625" style="7"/>
  </cols>
  <sheetData>
    <row r="1" spans="1:99" ht="5.25" customHeight="1" x14ac:dyDescent="0.45">
      <c r="A1"/>
      <c r="B1"/>
      <c r="C1"/>
      <c r="D1"/>
      <c r="E1"/>
      <c r="F1"/>
      <c r="G1"/>
      <c r="H1"/>
      <c r="I1"/>
      <c r="J1"/>
      <c r="K1"/>
      <c r="L1"/>
      <c r="M1"/>
      <c r="N1"/>
      <c r="O1"/>
      <c r="P1"/>
      <c r="Q1"/>
      <c r="R1"/>
      <c r="S1"/>
      <c r="T1"/>
      <c r="U1"/>
      <c r="V1"/>
      <c r="W1"/>
      <c r="X1"/>
      <c r="Y1"/>
      <c r="Z1"/>
      <c r="AA1"/>
      <c r="AB1"/>
      <c r="AC1"/>
      <c r="AD1"/>
      <c r="AE1"/>
      <c r="AF1"/>
      <c r="AG1"/>
      <c r="AH1"/>
      <c r="AI1"/>
      <c r="AJ1"/>
      <c r="AK1"/>
      <c r="AL1"/>
      <c r="AM1"/>
      <c r="AN1"/>
      <c r="AO1"/>
      <c r="AP1"/>
    </row>
    <row r="2" spans="1:99" ht="20.100000000000001" customHeight="1" x14ac:dyDescent="0.45">
      <c r="A2"/>
      <c r="B2"/>
      <c r="C2"/>
      <c r="D2"/>
      <c r="E2"/>
      <c r="F2"/>
      <c r="G2"/>
      <c r="H2"/>
      <c r="I2"/>
      <c r="J2"/>
      <c r="K2"/>
      <c r="L2"/>
      <c r="M2"/>
      <c r="N2"/>
      <c r="O2"/>
      <c r="P2"/>
      <c r="Q2"/>
      <c r="R2"/>
      <c r="S2"/>
      <c r="T2"/>
      <c r="U2"/>
      <c r="V2"/>
      <c r="W2"/>
      <c r="X2"/>
      <c r="Y2"/>
      <c r="Z2"/>
      <c r="AA2"/>
      <c r="AB2"/>
      <c r="AC2"/>
      <c r="AD2"/>
      <c r="AE2"/>
      <c r="AF2"/>
      <c r="AG2"/>
      <c r="AH2"/>
      <c r="AI2"/>
      <c r="AJ2"/>
      <c r="AK2"/>
      <c r="AL2"/>
      <c r="AM2"/>
      <c r="AN2"/>
      <c r="AO2"/>
      <c r="AP2"/>
    </row>
    <row r="3" spans="1:99" ht="20.100000000000001" customHeight="1" x14ac:dyDescent="0.45">
      <c r="A3"/>
      <c r="B3"/>
      <c r="C3"/>
      <c r="D3"/>
      <c r="E3"/>
      <c r="F3"/>
      <c r="G3"/>
      <c r="H3"/>
      <c r="I3"/>
      <c r="J3"/>
      <c r="K3"/>
      <c r="L3"/>
      <c r="M3"/>
      <c r="N3"/>
      <c r="O3"/>
      <c r="P3"/>
      <c r="Q3"/>
      <c r="R3"/>
      <c r="S3"/>
      <c r="T3"/>
      <c r="U3"/>
      <c r="V3"/>
      <c r="W3"/>
      <c r="X3"/>
      <c r="Y3"/>
      <c r="Z3"/>
      <c r="AA3"/>
      <c r="AB3"/>
      <c r="AC3"/>
      <c r="AD3"/>
      <c r="AE3"/>
      <c r="AF3"/>
      <c r="AG3"/>
      <c r="AH3"/>
      <c r="AI3"/>
      <c r="AJ3"/>
      <c r="AK3"/>
      <c r="AL3"/>
      <c r="AM3"/>
      <c r="AN3"/>
      <c r="AO3"/>
      <c r="AP3"/>
    </row>
    <row r="4" spans="1:99" ht="20.100000000000001" customHeight="1" x14ac:dyDescent="0.45">
      <c r="A4"/>
      <c r="B4"/>
      <c r="C4"/>
      <c r="D4"/>
      <c r="E4"/>
      <c r="F4"/>
      <c r="G4"/>
      <c r="H4"/>
      <c r="I4"/>
      <c r="J4"/>
      <c r="K4"/>
      <c r="L4"/>
      <c r="M4"/>
      <c r="N4"/>
      <c r="O4"/>
      <c r="P4"/>
      <c r="Q4"/>
      <c r="R4"/>
      <c r="S4"/>
      <c r="T4"/>
      <c r="U4"/>
      <c r="V4"/>
      <c r="W4"/>
      <c r="X4"/>
      <c r="Y4"/>
      <c r="Z4"/>
      <c r="AA4"/>
      <c r="AB4"/>
      <c r="AC4"/>
      <c r="AD4"/>
      <c r="AE4"/>
      <c r="AF4"/>
      <c r="AG4"/>
      <c r="AH4"/>
      <c r="AI4"/>
      <c r="AJ4"/>
      <c r="AK4"/>
      <c r="AL4"/>
      <c r="AM4"/>
      <c r="AN4"/>
      <c r="AO4"/>
      <c r="AP4"/>
    </row>
    <row r="5" spans="1:99" ht="5.25" customHeight="1" x14ac:dyDescent="0.45">
      <c r="A5"/>
      <c r="B5"/>
      <c r="C5"/>
      <c r="D5"/>
      <c r="E5"/>
      <c r="F5"/>
      <c r="G5"/>
      <c r="H5"/>
      <c r="I5"/>
      <c r="J5"/>
      <c r="K5"/>
      <c r="L5"/>
      <c r="M5"/>
      <c r="N5"/>
      <c r="O5"/>
      <c r="P5"/>
      <c r="Q5"/>
      <c r="R5"/>
      <c r="S5"/>
      <c r="T5"/>
      <c r="U5"/>
      <c r="V5"/>
      <c r="W5"/>
      <c r="X5"/>
      <c r="Y5"/>
      <c r="Z5"/>
      <c r="AA5"/>
      <c r="AB5"/>
      <c r="AC5"/>
      <c r="AD5"/>
      <c r="AE5"/>
      <c r="AF5"/>
      <c r="AG5"/>
      <c r="AH5"/>
      <c r="AI5"/>
      <c r="AJ5"/>
      <c r="AK5"/>
      <c r="AL5"/>
      <c r="AM5"/>
      <c r="AN5"/>
      <c r="AO5"/>
      <c r="AP5"/>
    </row>
    <row r="6" spans="1:99" ht="19.5" customHeight="1" x14ac:dyDescent="0.45">
      <c r="B6" s="48" t="s">
        <v>125</v>
      </c>
      <c r="AV6" s="39"/>
      <c r="AW6" s="39"/>
      <c r="AX6" s="39"/>
      <c r="AY6" s="39"/>
      <c r="AZ6" s="39"/>
      <c r="BA6" s="39"/>
      <c r="BB6" s="39"/>
      <c r="BC6" s="39"/>
      <c r="BD6" s="39"/>
      <c r="BE6" s="39"/>
      <c r="BF6" s="39"/>
      <c r="BG6" s="39"/>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ht="20.100000000000001" customHeight="1" x14ac:dyDescent="0.45">
      <c r="A7" s="8"/>
      <c r="AV7" s="39"/>
      <c r="AW7" s="39"/>
      <c r="AX7" s="39"/>
      <c r="AY7" s="39"/>
      <c r="AZ7" s="39"/>
      <c r="BA7" s="39"/>
      <c r="BB7" s="39"/>
      <c r="BC7" s="39"/>
      <c r="BD7" s="39"/>
      <c r="BE7" s="39"/>
      <c r="BF7" s="39"/>
      <c r="BG7" s="39"/>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ht="20.100000000000001" customHeight="1" thickBot="1" x14ac:dyDescent="0.5">
      <c r="A8" s="5"/>
      <c r="B8" s="8"/>
      <c r="C8" s="25" t="s">
        <v>227</v>
      </c>
      <c r="D8" s="25"/>
      <c r="H8" s="25" t="s">
        <v>228</v>
      </c>
      <c r="I8" s="25"/>
      <c r="P8" s="25" t="s">
        <v>229</v>
      </c>
      <c r="Q8" s="25"/>
      <c r="AA8" s="25" t="s">
        <v>230</v>
      </c>
      <c r="AB8" s="25"/>
      <c r="AC8" s="39"/>
      <c r="AD8" s="39"/>
      <c r="AE8" s="39"/>
      <c r="AF8" s="25" t="s">
        <v>231</v>
      </c>
      <c r="AG8" s="25"/>
      <c r="AH8" s="39"/>
      <c r="AI8" s="39"/>
      <c r="AJ8" s="39"/>
      <c r="AK8" s="25" t="s">
        <v>233</v>
      </c>
      <c r="AL8" s="39"/>
      <c r="AM8" s="39"/>
      <c r="AN8" s="39"/>
      <c r="AO8" s="39"/>
      <c r="AP8" s="8"/>
      <c r="AQ8" s="25" t="s">
        <v>234</v>
      </c>
      <c r="AV8" s="39"/>
      <c r="AW8" s="25" t="s">
        <v>235</v>
      </c>
      <c r="AX8" s="39"/>
      <c r="AY8" s="39"/>
      <c r="AZ8" s="25" t="s">
        <v>236</v>
      </c>
      <c r="BA8" s="39"/>
      <c r="BB8" s="39"/>
      <c r="BC8" s="25" t="s">
        <v>237</v>
      </c>
      <c r="BD8" s="39"/>
      <c r="BE8" s="25" t="s">
        <v>238</v>
      </c>
      <c r="BF8" s="39"/>
      <c r="BG8" s="25" t="s">
        <v>239</v>
      </c>
      <c r="BH8"/>
      <c r="BI8"/>
      <c r="BJ8" s="25" t="s">
        <v>240</v>
      </c>
      <c r="BK8" s="39"/>
      <c r="BL8"/>
      <c r="BM8" s="25" t="s">
        <v>241</v>
      </c>
      <c r="BN8" s="14"/>
      <c r="BO8" s="14"/>
      <c r="BP8" s="39"/>
      <c r="BQ8" s="39"/>
      <c r="BR8"/>
      <c r="BS8" s="25" t="s">
        <v>242</v>
      </c>
      <c r="BT8" s="14"/>
      <c r="BU8" s="14"/>
      <c r="BV8" s="39"/>
      <c r="BW8" s="39"/>
      <c r="BX8"/>
      <c r="BY8" s="25" t="s">
        <v>243</v>
      </c>
      <c r="BZ8" s="14"/>
      <c r="CA8" s="14"/>
      <c r="CB8" s="39"/>
      <c r="CC8" s="39"/>
      <c r="CD8"/>
      <c r="CE8" s="25" t="s">
        <v>244</v>
      </c>
      <c r="CF8"/>
      <c r="CG8"/>
      <c r="CH8"/>
      <c r="CI8"/>
      <c r="CJ8"/>
      <c r="CK8"/>
      <c r="CL8"/>
      <c r="CM8"/>
      <c r="CN8" s="25" t="s">
        <v>245</v>
      </c>
      <c r="CO8"/>
      <c r="CP8"/>
      <c r="CQ8"/>
      <c r="CR8"/>
      <c r="CS8"/>
      <c r="CT8"/>
      <c r="CU8"/>
    </row>
    <row r="9" spans="1:99" s="6" customFormat="1" ht="63.6" thickTop="1" x14ac:dyDescent="0.45">
      <c r="A9" s="5"/>
      <c r="B9" s="5"/>
      <c r="C9" s="22" t="s">
        <v>12</v>
      </c>
      <c r="D9" s="98" t="s">
        <v>264</v>
      </c>
      <c r="E9" s="23" t="s">
        <v>19</v>
      </c>
      <c r="F9" s="44" t="s">
        <v>24</v>
      </c>
      <c r="G9" s="7"/>
      <c r="H9" s="108" t="s">
        <v>12</v>
      </c>
      <c r="I9" s="98" t="s">
        <v>264</v>
      </c>
      <c r="J9" s="103" t="s">
        <v>19</v>
      </c>
      <c r="K9" s="23" t="s">
        <v>25</v>
      </c>
      <c r="L9" s="103" t="s">
        <v>26</v>
      </c>
      <c r="M9" s="103" t="s">
        <v>27</v>
      </c>
      <c r="N9" s="107" t="s">
        <v>28</v>
      </c>
      <c r="O9" s="7"/>
      <c r="P9" s="108" t="s">
        <v>12</v>
      </c>
      <c r="Q9" s="98" t="s">
        <v>264</v>
      </c>
      <c r="R9" s="23" t="s">
        <v>19</v>
      </c>
      <c r="S9" s="103" t="s">
        <v>25</v>
      </c>
      <c r="T9" s="103" t="s">
        <v>26</v>
      </c>
      <c r="U9" s="23" t="s">
        <v>27</v>
      </c>
      <c r="V9" s="42" t="s">
        <v>29</v>
      </c>
      <c r="W9" s="42" t="s">
        <v>30</v>
      </c>
      <c r="X9" s="42" t="s">
        <v>31</v>
      </c>
      <c r="Y9" s="44" t="s">
        <v>32</v>
      </c>
      <c r="Z9" s="7"/>
      <c r="AA9" s="108" t="s">
        <v>12</v>
      </c>
      <c r="AB9" s="98" t="s">
        <v>264</v>
      </c>
      <c r="AC9" s="23" t="s">
        <v>19</v>
      </c>
      <c r="AD9" s="44" t="s">
        <v>24</v>
      </c>
      <c r="AE9" s="7"/>
      <c r="AF9" s="108" t="s">
        <v>12</v>
      </c>
      <c r="AG9" s="98" t="s">
        <v>264</v>
      </c>
      <c r="AH9" s="23" t="s">
        <v>19</v>
      </c>
      <c r="AI9" s="44" t="s">
        <v>33</v>
      </c>
      <c r="AJ9" s="7"/>
      <c r="AK9" s="123" t="s">
        <v>19</v>
      </c>
      <c r="AL9" s="23" t="s">
        <v>25</v>
      </c>
      <c r="AM9" s="109" t="s">
        <v>26</v>
      </c>
      <c r="AN9" s="23" t="s">
        <v>27</v>
      </c>
      <c r="AO9" s="107" t="s">
        <v>28</v>
      </c>
      <c r="AP9" s="5"/>
      <c r="AQ9" s="119" t="s">
        <v>19</v>
      </c>
      <c r="AR9" s="23" t="s">
        <v>25</v>
      </c>
      <c r="AS9" s="109" t="s">
        <v>26</v>
      </c>
      <c r="AT9" s="23" t="s">
        <v>27</v>
      </c>
      <c r="AU9" s="107" t="s">
        <v>28</v>
      </c>
      <c r="AV9" s="39"/>
      <c r="AW9" s="119" t="s">
        <v>19</v>
      </c>
      <c r="AX9" s="107" t="s">
        <v>24</v>
      </c>
      <c r="AY9" s="112"/>
      <c r="AZ9" s="119" t="s">
        <v>19</v>
      </c>
      <c r="BA9" s="107" t="s">
        <v>24</v>
      </c>
      <c r="BB9" s="112"/>
      <c r="BC9" s="124" t="s">
        <v>19</v>
      </c>
      <c r="BD9" s="112"/>
      <c r="BE9" s="124" t="s">
        <v>19</v>
      </c>
      <c r="BF9" s="112"/>
      <c r="BG9" s="124" t="s">
        <v>19</v>
      </c>
      <c r="BH9" s="113"/>
      <c r="BI9" s="113"/>
      <c r="BJ9" s="119" t="s">
        <v>19</v>
      </c>
      <c r="BK9" s="23" t="s">
        <v>33</v>
      </c>
      <c r="BL9" s="114"/>
      <c r="BM9" s="23" t="s">
        <v>19</v>
      </c>
      <c r="BN9" s="23" t="s">
        <v>25</v>
      </c>
      <c r="BO9" s="23" t="s">
        <v>26</v>
      </c>
      <c r="BP9" s="23" t="s">
        <v>27</v>
      </c>
      <c r="BQ9" s="107" t="s">
        <v>28</v>
      </c>
      <c r="BR9" s="113"/>
      <c r="BS9" s="119" t="s">
        <v>19</v>
      </c>
      <c r="BT9" s="23" t="s">
        <v>25</v>
      </c>
      <c r="BU9" s="23" t="s">
        <v>26</v>
      </c>
      <c r="BV9" s="23" t="s">
        <v>27</v>
      </c>
      <c r="BW9" s="107" t="s">
        <v>28</v>
      </c>
      <c r="BX9" s="113"/>
      <c r="BY9" s="119" t="s">
        <v>19</v>
      </c>
      <c r="BZ9" s="23" t="s">
        <v>25</v>
      </c>
      <c r="CA9" s="23" t="s">
        <v>26</v>
      </c>
      <c r="CB9" s="23" t="s">
        <v>27</v>
      </c>
      <c r="CC9" s="107" t="s">
        <v>28</v>
      </c>
      <c r="CD9" s="113"/>
      <c r="CE9" s="119" t="s">
        <v>19</v>
      </c>
      <c r="CF9" s="23" t="s">
        <v>25</v>
      </c>
      <c r="CG9" s="23" t="s">
        <v>26</v>
      </c>
      <c r="CH9" s="23" t="s">
        <v>27</v>
      </c>
      <c r="CI9" s="42" t="s">
        <v>29</v>
      </c>
      <c r="CJ9" s="42" t="s">
        <v>30</v>
      </c>
      <c r="CK9" s="42" t="s">
        <v>31</v>
      </c>
      <c r="CL9" s="44" t="s">
        <v>32</v>
      </c>
      <c r="CM9"/>
      <c r="CN9" s="119" t="s">
        <v>19</v>
      </c>
      <c r="CO9" s="23" t="s">
        <v>25</v>
      </c>
      <c r="CP9" s="23" t="s">
        <v>26</v>
      </c>
      <c r="CQ9" s="23" t="s">
        <v>27</v>
      </c>
      <c r="CR9" s="42" t="s">
        <v>29</v>
      </c>
      <c r="CS9" s="42" t="s">
        <v>30</v>
      </c>
      <c r="CT9" s="42" t="s">
        <v>31</v>
      </c>
      <c r="CU9" s="44" t="s">
        <v>32</v>
      </c>
    </row>
    <row r="10" spans="1:99" s="6" customFormat="1" ht="20.100000000000001" customHeight="1" thickBot="1" x14ac:dyDescent="0.5">
      <c r="A10" s="5"/>
      <c r="B10" s="5"/>
      <c r="C10" s="19">
        <v>1</v>
      </c>
      <c r="D10" s="95"/>
      <c r="E10" s="99"/>
      <c r="F10" s="45"/>
      <c r="G10" s="7"/>
      <c r="H10" s="19">
        <v>1</v>
      </c>
      <c r="I10" s="95"/>
      <c r="J10" s="99"/>
      <c r="K10" s="104"/>
      <c r="L10" s="104"/>
      <c r="M10" s="104"/>
      <c r="N10" s="45"/>
      <c r="O10" s="7"/>
      <c r="P10" s="19">
        <v>1</v>
      </c>
      <c r="Q10" s="95"/>
      <c r="R10" s="99"/>
      <c r="S10" s="104"/>
      <c r="T10" s="104"/>
      <c r="U10" s="104"/>
      <c r="V10" s="41" t="s">
        <v>20</v>
      </c>
      <c r="W10" s="41" t="s">
        <v>20</v>
      </c>
      <c r="X10" s="41" t="s">
        <v>20</v>
      </c>
      <c r="Y10" s="45" t="s">
        <v>20</v>
      </c>
      <c r="Z10" s="7"/>
      <c r="AA10" s="19">
        <v>1</v>
      </c>
      <c r="AB10" s="95"/>
      <c r="AC10" s="99"/>
      <c r="AD10" s="45"/>
      <c r="AE10" s="7"/>
      <c r="AF10" s="19">
        <v>1</v>
      </c>
      <c r="AG10" s="95"/>
      <c r="AH10" s="99"/>
      <c r="AI10" s="45"/>
      <c r="AJ10" s="7"/>
      <c r="AK10" s="120"/>
      <c r="AL10" s="106"/>
      <c r="AM10" s="49"/>
      <c r="AN10" s="106"/>
      <c r="AO10" s="46"/>
      <c r="AP10" s="5"/>
      <c r="AQ10" s="120"/>
      <c r="AR10" s="106"/>
      <c r="AS10" s="49"/>
      <c r="AT10" s="106"/>
      <c r="AU10" s="46"/>
      <c r="AV10" s="39"/>
      <c r="AW10" s="120"/>
      <c r="AX10" s="46"/>
      <c r="AY10" s="39"/>
      <c r="AZ10" s="120"/>
      <c r="BA10" s="46"/>
      <c r="BB10" s="39"/>
      <c r="BC10" s="125"/>
      <c r="BD10" s="39"/>
      <c r="BE10" s="125"/>
      <c r="BF10" s="39"/>
      <c r="BG10" s="125"/>
      <c r="BH10"/>
      <c r="BI10"/>
      <c r="BJ10" s="120"/>
      <c r="BK10" s="106"/>
      <c r="BL10" s="111"/>
      <c r="BM10" s="101"/>
      <c r="BN10" s="106"/>
      <c r="BO10" s="106"/>
      <c r="BP10" s="106"/>
      <c r="BQ10" s="46"/>
      <c r="BR10"/>
      <c r="BS10" s="120"/>
      <c r="BT10" s="106"/>
      <c r="BU10" s="106"/>
      <c r="BV10" s="106"/>
      <c r="BW10" s="46"/>
      <c r="BX10"/>
      <c r="BY10" s="120"/>
      <c r="BZ10" s="106"/>
      <c r="CA10" s="106"/>
      <c r="CB10" s="106"/>
      <c r="CC10" s="46"/>
      <c r="CD10"/>
      <c r="CE10" s="120"/>
      <c r="CF10" s="106"/>
      <c r="CG10" s="106"/>
      <c r="CH10" s="106"/>
      <c r="CI10" s="49" t="s">
        <v>20</v>
      </c>
      <c r="CJ10" s="49" t="s">
        <v>20</v>
      </c>
      <c r="CK10" s="49" t="s">
        <v>20</v>
      </c>
      <c r="CL10" s="46" t="s">
        <v>20</v>
      </c>
      <c r="CM10"/>
      <c r="CN10" s="120"/>
      <c r="CO10" s="106"/>
      <c r="CP10" s="106"/>
      <c r="CQ10" s="106"/>
      <c r="CR10" s="49" t="s">
        <v>20</v>
      </c>
      <c r="CS10" s="49" t="s">
        <v>20</v>
      </c>
      <c r="CT10" s="49" t="s">
        <v>20</v>
      </c>
      <c r="CU10" s="46" t="s">
        <v>20</v>
      </c>
    </row>
    <row r="11" spans="1:99" s="6" customFormat="1" ht="20.100000000000001" customHeight="1" thickTop="1" x14ac:dyDescent="0.45">
      <c r="A11" s="5"/>
      <c r="B11" s="5"/>
      <c r="C11" s="19">
        <v>2</v>
      </c>
      <c r="D11" s="95"/>
      <c r="E11" s="99"/>
      <c r="F11" s="45"/>
      <c r="G11" s="7"/>
      <c r="H11" s="19">
        <v>2</v>
      </c>
      <c r="I11" s="95"/>
      <c r="J11" s="99"/>
      <c r="K11" s="104"/>
      <c r="L11" s="104"/>
      <c r="M11" s="104"/>
      <c r="N11" s="45"/>
      <c r="O11" s="7"/>
      <c r="P11" s="19">
        <v>2</v>
      </c>
      <c r="Q11" s="95"/>
      <c r="R11" s="99"/>
      <c r="S11" s="104"/>
      <c r="T11" s="104"/>
      <c r="U11" s="104"/>
      <c r="V11" s="41" t="s">
        <v>20</v>
      </c>
      <c r="W11" s="41" t="s">
        <v>20</v>
      </c>
      <c r="X11" s="41" t="s">
        <v>20</v>
      </c>
      <c r="Y11" s="45" t="s">
        <v>20</v>
      </c>
      <c r="Z11" s="7"/>
      <c r="AA11" s="19">
        <v>2</v>
      </c>
      <c r="AB11" s="95"/>
      <c r="AC11" s="99"/>
      <c r="AD11" s="45"/>
      <c r="AE11" s="7"/>
      <c r="AF11" s="19">
        <v>2</v>
      </c>
      <c r="AG11" s="95"/>
      <c r="AH11" s="99"/>
      <c r="AI11" s="45"/>
      <c r="AJ11" s="7"/>
      <c r="AK11"/>
      <c r="AL11"/>
      <c r="AM11" s="7"/>
      <c r="AN11" s="7"/>
      <c r="AO11" s="7"/>
      <c r="AP11" s="5"/>
      <c r="AU11"/>
      <c r="AV11" s="39"/>
      <c r="AW11" s="39"/>
      <c r="AX11" s="39"/>
      <c r="AY11" s="39"/>
      <c r="AZ11" s="39"/>
      <c r="BA11" s="39"/>
      <c r="BB11" s="39"/>
      <c r="BC11" s="39"/>
      <c r="BD11" s="39"/>
      <c r="BE11" s="39"/>
      <c r="BF11" s="39"/>
      <c r="BG11" s="39"/>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row>
    <row r="12" spans="1:99" s="6" customFormat="1" ht="20.100000000000001" customHeight="1" x14ac:dyDescent="0.45">
      <c r="A12" s="5"/>
      <c r="B12" s="5"/>
      <c r="C12" s="19">
        <v>3</v>
      </c>
      <c r="D12" s="95"/>
      <c r="E12" s="99"/>
      <c r="F12" s="45"/>
      <c r="G12" s="7"/>
      <c r="H12" s="19">
        <v>3</v>
      </c>
      <c r="I12" s="95"/>
      <c r="J12" s="99"/>
      <c r="K12" s="104"/>
      <c r="L12" s="104"/>
      <c r="M12" s="104"/>
      <c r="N12" s="45"/>
      <c r="O12" s="7"/>
      <c r="P12" s="19">
        <v>3</v>
      </c>
      <c r="Q12" s="95"/>
      <c r="R12" s="99"/>
      <c r="S12" s="104"/>
      <c r="T12" s="104"/>
      <c r="U12" s="104"/>
      <c r="V12" s="41" t="s">
        <v>20</v>
      </c>
      <c r="W12" s="41" t="s">
        <v>20</v>
      </c>
      <c r="X12" s="41" t="s">
        <v>20</v>
      </c>
      <c r="Y12" s="45" t="s">
        <v>20</v>
      </c>
      <c r="Z12" s="7"/>
      <c r="AA12" s="19">
        <v>3</v>
      </c>
      <c r="AB12" s="95"/>
      <c r="AC12" s="99"/>
      <c r="AD12" s="45"/>
      <c r="AE12" s="7"/>
      <c r="AF12" s="19">
        <v>3</v>
      </c>
      <c r="AG12" s="95"/>
      <c r="AH12" s="99"/>
      <c r="AI12" s="45"/>
      <c r="AJ12" s="7"/>
      <c r="AK12"/>
      <c r="AL12"/>
      <c r="AM12" s="7"/>
      <c r="AN12" s="7"/>
      <c r="AO12" s="7"/>
      <c r="AP12" s="5"/>
      <c r="AU12"/>
      <c r="AV12" s="39"/>
      <c r="AW12" s="39"/>
      <c r="AX12" s="39"/>
      <c r="AY12" s="39"/>
      <c r="AZ12" s="39"/>
      <c r="BA12" s="39"/>
      <c r="BB12" s="39"/>
      <c r="BC12" s="39"/>
      <c r="BD12" s="39"/>
      <c r="BE12" s="39"/>
      <c r="BF12" s="39"/>
      <c r="BG12" s="39"/>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row>
    <row r="13" spans="1:99" s="6" customFormat="1" ht="20.100000000000001" customHeight="1" x14ac:dyDescent="0.45">
      <c r="A13" s="5"/>
      <c r="B13" s="5"/>
      <c r="C13" s="19">
        <v>4</v>
      </c>
      <c r="D13" s="95"/>
      <c r="E13" s="99"/>
      <c r="F13" s="45"/>
      <c r="G13" s="7"/>
      <c r="H13" s="19">
        <v>4</v>
      </c>
      <c r="I13" s="95"/>
      <c r="J13" s="99"/>
      <c r="K13" s="104"/>
      <c r="L13" s="104"/>
      <c r="M13" s="104"/>
      <c r="N13" s="45"/>
      <c r="O13" s="7"/>
      <c r="P13" s="19">
        <v>4</v>
      </c>
      <c r="Q13" s="95"/>
      <c r="R13" s="99"/>
      <c r="S13" s="104"/>
      <c r="T13" s="104"/>
      <c r="U13" s="104"/>
      <c r="V13" s="41" t="s">
        <v>20</v>
      </c>
      <c r="W13" s="41" t="s">
        <v>20</v>
      </c>
      <c r="X13" s="41" t="s">
        <v>20</v>
      </c>
      <c r="Y13" s="45" t="s">
        <v>20</v>
      </c>
      <c r="Z13" s="7"/>
      <c r="AA13" s="19">
        <v>4</v>
      </c>
      <c r="AB13" s="95"/>
      <c r="AC13" s="99"/>
      <c r="AD13" s="45"/>
      <c r="AE13" s="7"/>
      <c r="AF13" s="19">
        <v>4</v>
      </c>
      <c r="AG13" s="95"/>
      <c r="AH13" s="99"/>
      <c r="AI13" s="45"/>
      <c r="AJ13" s="7"/>
      <c r="AK13"/>
      <c r="AL13"/>
      <c r="AM13" s="7"/>
      <c r="AN13" s="7"/>
      <c r="AO13" s="7"/>
      <c r="AP13" s="5"/>
    </row>
    <row r="14" spans="1:99" s="6" customFormat="1" ht="20.100000000000001" customHeight="1" x14ac:dyDescent="0.45">
      <c r="A14" s="5"/>
      <c r="B14" s="5"/>
      <c r="C14" s="19">
        <v>5</v>
      </c>
      <c r="D14" s="97"/>
      <c r="E14" s="100"/>
      <c r="F14" s="45"/>
      <c r="G14" s="7"/>
      <c r="H14" s="19">
        <v>5</v>
      </c>
      <c r="I14" s="97"/>
      <c r="J14" s="100"/>
      <c r="K14" s="105"/>
      <c r="L14" s="105"/>
      <c r="M14" s="105"/>
      <c r="N14" s="50"/>
      <c r="O14" s="7"/>
      <c r="P14" s="19">
        <v>5</v>
      </c>
      <c r="Q14" s="97"/>
      <c r="R14" s="99"/>
      <c r="S14" s="104"/>
      <c r="T14" s="105"/>
      <c r="U14" s="105"/>
      <c r="V14" s="41" t="s">
        <v>20</v>
      </c>
      <c r="W14" s="41" t="s">
        <v>20</v>
      </c>
      <c r="X14" s="41" t="s">
        <v>20</v>
      </c>
      <c r="Y14" s="45" t="s">
        <v>20</v>
      </c>
      <c r="Z14" s="7"/>
      <c r="AA14" s="19">
        <v>5</v>
      </c>
      <c r="AB14" s="97"/>
      <c r="AC14" s="99"/>
      <c r="AD14" s="45"/>
      <c r="AE14" s="7"/>
      <c r="AF14" s="19">
        <v>5</v>
      </c>
      <c r="AG14" s="97"/>
      <c r="AH14" s="99"/>
      <c r="AI14" s="45"/>
      <c r="AJ14" s="7"/>
      <c r="AK14"/>
      <c r="AL14"/>
      <c r="AM14" s="7"/>
      <c r="AN14" s="7"/>
      <c r="AO14" s="7"/>
      <c r="AP14" s="5"/>
    </row>
    <row r="15" spans="1:99" s="6" customFormat="1" ht="20.100000000000001" customHeight="1" x14ac:dyDescent="0.45">
      <c r="A15" s="5"/>
      <c r="B15" s="5"/>
      <c r="C15" s="19">
        <v>6</v>
      </c>
      <c r="D15" s="95"/>
      <c r="E15" s="100"/>
      <c r="F15" s="45"/>
      <c r="G15" s="7"/>
      <c r="H15" s="19">
        <v>6</v>
      </c>
      <c r="I15" s="95"/>
      <c r="J15" s="99"/>
      <c r="K15" s="104"/>
      <c r="L15" s="104"/>
      <c r="M15" s="104"/>
      <c r="N15" s="45"/>
      <c r="O15"/>
      <c r="P15" s="19">
        <v>6</v>
      </c>
      <c r="Q15" s="95"/>
      <c r="R15" s="99"/>
      <c r="S15" s="104"/>
      <c r="T15" s="104"/>
      <c r="U15" s="104"/>
      <c r="V15" s="41" t="s">
        <v>20</v>
      </c>
      <c r="W15" s="41" t="s">
        <v>20</v>
      </c>
      <c r="X15" s="41" t="s">
        <v>20</v>
      </c>
      <c r="Y15" s="45" t="s">
        <v>20</v>
      </c>
      <c r="Z15" s="7"/>
      <c r="AA15" s="19">
        <v>6</v>
      </c>
      <c r="AB15" s="95"/>
      <c r="AC15" s="99"/>
      <c r="AD15" s="45"/>
      <c r="AE15" s="7"/>
      <c r="AF15" s="19">
        <v>6</v>
      </c>
      <c r="AG15" s="95"/>
      <c r="AH15" s="99"/>
      <c r="AI15" s="45"/>
      <c r="AJ15" s="7"/>
      <c r="AK15"/>
      <c r="AL15"/>
      <c r="AM15" s="7"/>
      <c r="AN15" s="7"/>
      <c r="AO15" s="7"/>
      <c r="AP15" s="39"/>
    </row>
    <row r="16" spans="1:99" s="6" customFormat="1" ht="20.100000000000001" customHeight="1" x14ac:dyDescent="0.45">
      <c r="A16" s="5"/>
      <c r="B16" s="5"/>
      <c r="C16" s="19">
        <v>7</v>
      </c>
      <c r="D16" s="95"/>
      <c r="E16" s="100"/>
      <c r="F16" s="45"/>
      <c r="G16" s="7"/>
      <c r="H16" s="19">
        <v>7</v>
      </c>
      <c r="I16" s="95"/>
      <c r="J16" s="99"/>
      <c r="K16" s="104"/>
      <c r="L16" s="104"/>
      <c r="M16" s="104"/>
      <c r="N16" s="45"/>
      <c r="O16"/>
      <c r="P16" s="19">
        <v>7</v>
      </c>
      <c r="Q16" s="95"/>
      <c r="R16" s="99"/>
      <c r="S16" s="104"/>
      <c r="T16" s="104"/>
      <c r="U16" s="104"/>
      <c r="V16" s="41" t="s">
        <v>20</v>
      </c>
      <c r="W16" s="41" t="s">
        <v>20</v>
      </c>
      <c r="X16" s="41" t="s">
        <v>20</v>
      </c>
      <c r="Y16" s="45" t="s">
        <v>20</v>
      </c>
      <c r="Z16"/>
      <c r="AA16" s="19">
        <v>7</v>
      </c>
      <c r="AB16" s="95"/>
      <c r="AC16" s="99"/>
      <c r="AD16" s="45"/>
      <c r="AE16"/>
      <c r="AF16" s="19">
        <v>7</v>
      </c>
      <c r="AG16" s="95"/>
      <c r="AH16" s="99"/>
      <c r="AI16" s="45"/>
      <c r="AJ16" s="39"/>
      <c r="AK16"/>
      <c r="AL16"/>
      <c r="AM16" s="39"/>
      <c r="AN16" s="39"/>
      <c r="AO16" s="39"/>
      <c r="AP16" s="39"/>
    </row>
    <row r="17" spans="2:100" ht="20.100000000000001" customHeight="1" x14ac:dyDescent="0.45">
      <c r="B17" s="8"/>
      <c r="C17" s="19">
        <v>8</v>
      </c>
      <c r="D17" s="95"/>
      <c r="E17" s="100"/>
      <c r="F17" s="45"/>
      <c r="H17" s="19">
        <v>8</v>
      </c>
      <c r="I17" s="95"/>
      <c r="J17" s="99"/>
      <c r="K17" s="104"/>
      <c r="L17" s="104"/>
      <c r="M17" s="104"/>
      <c r="N17" s="45"/>
      <c r="O17"/>
      <c r="P17" s="19">
        <v>8</v>
      </c>
      <c r="Q17" s="95"/>
      <c r="R17" s="99"/>
      <c r="S17" s="104"/>
      <c r="T17" s="104"/>
      <c r="U17" s="104"/>
      <c r="V17" s="41" t="s">
        <v>20</v>
      </c>
      <c r="W17" s="41" t="s">
        <v>20</v>
      </c>
      <c r="X17" s="41" t="s">
        <v>20</v>
      </c>
      <c r="Y17" s="45" t="s">
        <v>20</v>
      </c>
      <c r="Z17"/>
      <c r="AA17" s="19">
        <v>8</v>
      </c>
      <c r="AB17" s="95"/>
      <c r="AC17" s="99"/>
      <c r="AD17" s="45"/>
      <c r="AE17"/>
      <c r="AF17" s="19">
        <v>8</v>
      </c>
      <c r="AG17" s="95"/>
      <c r="AH17" s="99"/>
      <c r="AI17" s="45"/>
      <c r="AJ17" s="39"/>
      <c r="AK17"/>
      <c r="AL17"/>
      <c r="AM17" s="39"/>
      <c r="AN17" s="39"/>
      <c r="AO17" s="39"/>
      <c r="AP17" s="39"/>
    </row>
    <row r="18" spans="2:100" customFormat="1" ht="20.100000000000001" customHeight="1" x14ac:dyDescent="0.45">
      <c r="B18" s="8"/>
      <c r="C18" s="19">
        <v>9</v>
      </c>
      <c r="D18" s="95"/>
      <c r="E18" s="100"/>
      <c r="F18" s="45"/>
      <c r="G18" s="39"/>
      <c r="H18" s="19">
        <v>9</v>
      </c>
      <c r="I18" s="95"/>
      <c r="J18" s="99"/>
      <c r="K18" s="104"/>
      <c r="L18" s="104"/>
      <c r="M18" s="104"/>
      <c r="N18" s="45"/>
      <c r="P18" s="19">
        <v>9</v>
      </c>
      <c r="Q18" s="95"/>
      <c r="R18" s="99"/>
      <c r="S18" s="104"/>
      <c r="T18" s="104"/>
      <c r="U18" s="104"/>
      <c r="V18" s="41" t="s">
        <v>20</v>
      </c>
      <c r="W18" s="41" t="s">
        <v>20</v>
      </c>
      <c r="X18" s="41" t="s">
        <v>20</v>
      </c>
      <c r="Y18" s="45" t="s">
        <v>20</v>
      </c>
      <c r="AA18" s="19">
        <v>9</v>
      </c>
      <c r="AB18" s="95"/>
      <c r="AC18" s="99"/>
      <c r="AD18" s="45"/>
      <c r="AF18" s="19">
        <v>9</v>
      </c>
      <c r="AG18" s="95"/>
      <c r="AH18" s="99"/>
      <c r="AI18" s="45"/>
      <c r="AJ18" s="39"/>
      <c r="AM18" s="39"/>
      <c r="AN18" s="39"/>
      <c r="AO18" s="39"/>
      <c r="AP18" s="39"/>
      <c r="AQ18" s="7"/>
      <c r="AR18" s="7"/>
      <c r="AS18" s="7"/>
      <c r="AT18" s="7"/>
      <c r="AU18" s="7"/>
      <c r="AV18" s="7"/>
      <c r="AW18" s="7"/>
      <c r="AX18" s="7"/>
      <c r="AY18" s="7"/>
      <c r="AZ18" s="7"/>
      <c r="BA18" s="7"/>
      <c r="BB18" s="7"/>
      <c r="BC18" s="7"/>
      <c r="BD18" s="7"/>
      <c r="BE18" s="7"/>
      <c r="BF18" s="7"/>
      <c r="BG18" s="7"/>
      <c r="BH18" s="7"/>
      <c r="BI18" s="7"/>
    </row>
    <row r="19" spans="2:100" customFormat="1" ht="18.600000000000001" thickBot="1" x14ac:dyDescent="0.5">
      <c r="B19" s="8"/>
      <c r="C19" s="26">
        <v>10</v>
      </c>
      <c r="D19" s="96"/>
      <c r="E19" s="101"/>
      <c r="F19" s="46"/>
      <c r="H19" s="26">
        <v>10</v>
      </c>
      <c r="I19" s="96"/>
      <c r="J19" s="101"/>
      <c r="K19" s="106"/>
      <c r="L19" s="106"/>
      <c r="M19" s="106"/>
      <c r="N19" s="46"/>
      <c r="P19" s="26">
        <v>10</v>
      </c>
      <c r="Q19" s="96"/>
      <c r="R19" s="101"/>
      <c r="S19" s="106"/>
      <c r="T19" s="106"/>
      <c r="U19" s="106"/>
      <c r="V19" s="49" t="s">
        <v>20</v>
      </c>
      <c r="W19" s="49" t="s">
        <v>20</v>
      </c>
      <c r="X19" s="49" t="s">
        <v>20</v>
      </c>
      <c r="Y19" s="46" t="s">
        <v>20</v>
      </c>
      <c r="AA19" s="26">
        <v>10</v>
      </c>
      <c r="AB19" s="96"/>
      <c r="AC19" s="101"/>
      <c r="AD19" s="46"/>
      <c r="AF19" s="26">
        <v>10</v>
      </c>
      <c r="AG19" s="96"/>
      <c r="AH19" s="101"/>
      <c r="AI19" s="46"/>
      <c r="AJ19" s="39"/>
      <c r="AM19" s="39"/>
      <c r="AN19" s="39"/>
      <c r="AO19" s="39"/>
      <c r="AP19" s="39"/>
      <c r="AQ19" s="7"/>
      <c r="AR19" s="7"/>
      <c r="AS19" s="7"/>
      <c r="AT19" s="7"/>
      <c r="AU19" s="7"/>
      <c r="AV19" s="7"/>
      <c r="AW19" s="7"/>
      <c r="AX19" s="7"/>
      <c r="AY19" s="7"/>
      <c r="AZ19" s="7"/>
      <c r="BA19" s="7"/>
      <c r="BB19" s="7"/>
      <c r="BC19" s="7"/>
      <c r="BD19" s="7"/>
      <c r="BE19" s="7"/>
      <c r="BF19" s="7"/>
      <c r="BG19" s="7"/>
      <c r="BH19" s="7"/>
      <c r="BI19" s="7"/>
    </row>
    <row r="20" spans="2:100" customFormat="1" ht="20.100000000000001" customHeight="1" thickTop="1" x14ac:dyDescent="0.45">
      <c r="B20" s="8"/>
      <c r="C20" s="7"/>
      <c r="D20" s="7"/>
      <c r="E20" s="7"/>
      <c r="F20" s="7"/>
      <c r="G20" s="7"/>
      <c r="H20" s="7"/>
      <c r="I20" s="7"/>
      <c r="J20" s="7"/>
      <c r="K20" s="7"/>
      <c r="L20" s="7"/>
      <c r="M20" s="7"/>
      <c r="N20" s="7"/>
      <c r="O20" s="7"/>
      <c r="P20" s="7"/>
      <c r="Q20" s="7"/>
      <c r="R20" s="7"/>
      <c r="S20" s="7"/>
      <c r="T20" s="7"/>
      <c r="U20" s="7"/>
      <c r="V20" s="7"/>
      <c r="W20" s="7"/>
      <c r="X20" s="7"/>
      <c r="Y20" s="7"/>
      <c r="AA20" s="39"/>
      <c r="AB20" s="39"/>
      <c r="AC20" s="39"/>
      <c r="AD20" s="39"/>
      <c r="AE20" s="39"/>
      <c r="AF20" s="39"/>
      <c r="AG20" s="39"/>
      <c r="AH20" s="39"/>
      <c r="AI20" s="39"/>
      <c r="AJ20" s="39"/>
      <c r="AM20" s="39"/>
      <c r="AN20" s="39"/>
      <c r="AO20" s="39"/>
      <c r="AP20" s="39"/>
      <c r="AQ20" s="7"/>
      <c r="AR20" s="7"/>
      <c r="AS20" s="7"/>
      <c r="AT20" s="7"/>
      <c r="AU20" s="7"/>
      <c r="AV20" s="7"/>
      <c r="AW20" s="7"/>
      <c r="AX20" s="7"/>
      <c r="AY20" s="7"/>
      <c r="AZ20" s="7"/>
      <c r="BA20" s="7"/>
      <c r="BB20" s="7"/>
      <c r="BC20" s="7"/>
      <c r="BD20" s="7"/>
      <c r="BE20" s="7"/>
      <c r="BF20" s="7"/>
      <c r="BG20" s="7"/>
      <c r="BH20" s="7"/>
      <c r="BI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row>
    <row r="21" spans="2:100" customFormat="1" ht="20.100000000000001" customHeight="1" x14ac:dyDescent="0.45">
      <c r="B21" s="8"/>
      <c r="AA21" s="39"/>
      <c r="AB21" s="39"/>
      <c r="AC21" s="39"/>
      <c r="AD21" s="39"/>
      <c r="AE21" s="39"/>
      <c r="AF21" s="39"/>
      <c r="AG21" s="39"/>
      <c r="AH21" s="39"/>
      <c r="AI21" s="39"/>
      <c r="AJ21" s="39"/>
      <c r="AK21" s="39"/>
      <c r="AL21" s="39"/>
      <c r="AM21" s="39"/>
      <c r="AN21" s="39"/>
      <c r="AO21" s="39"/>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row>
    <row r="22" spans="2:100" customFormat="1" ht="18" x14ac:dyDescent="0.45">
      <c r="B22" s="8"/>
      <c r="AA22" s="39"/>
      <c r="AB22" s="39"/>
      <c r="AC22" s="39"/>
      <c r="AD22" s="39"/>
      <c r="AE22" s="39"/>
      <c r="AF22" s="39"/>
      <c r="AG22" s="39"/>
      <c r="AH22" s="39"/>
      <c r="AI22" s="39"/>
      <c r="AJ22" s="39"/>
      <c r="AK22" s="39"/>
      <c r="AL22" s="39"/>
      <c r="AM22" s="39"/>
      <c r="AN22" s="39"/>
      <c r="AO22" s="39"/>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row>
    <row r="23" spans="2:100" customFormat="1" ht="20.100000000000001" customHeight="1" x14ac:dyDescent="0.45">
      <c r="B23" s="8"/>
      <c r="AA23" s="39"/>
      <c r="AB23" s="39"/>
      <c r="AC23" s="39"/>
      <c r="AD23" s="39"/>
      <c r="AE23" s="39"/>
      <c r="AF23" s="39"/>
      <c r="AG23" s="39"/>
      <c r="AH23" s="39"/>
      <c r="AI23" s="39"/>
      <c r="AJ23" s="39"/>
      <c r="AK23" s="39"/>
      <c r="AL23" s="39"/>
      <c r="AM23" s="39"/>
      <c r="AN23" s="39"/>
      <c r="AO23" s="39"/>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row>
    <row r="24" spans="2:100" customFormat="1" ht="20.100000000000001" customHeight="1" x14ac:dyDescent="0.45">
      <c r="B24" s="8"/>
      <c r="AA24" s="39"/>
      <c r="AB24" s="39"/>
      <c r="AC24" s="39"/>
      <c r="AD24" s="39"/>
      <c r="AE24" s="39"/>
      <c r="AF24" s="39"/>
      <c r="AG24" s="39"/>
      <c r="AH24" s="39"/>
      <c r="AI24" s="39"/>
      <c r="AJ24" s="39"/>
      <c r="AK24" s="39"/>
      <c r="AL24" s="39"/>
      <c r="AM24" s="39"/>
      <c r="AN24" s="39"/>
      <c r="AO24" s="39"/>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row>
    <row r="25" spans="2:100" customFormat="1" ht="18" x14ac:dyDescent="0.45">
      <c r="B25" s="8"/>
      <c r="AA25" s="39"/>
      <c r="AB25" s="39"/>
      <c r="AC25" s="39"/>
      <c r="AD25" s="39"/>
      <c r="AE25" s="39"/>
      <c r="AF25" s="39"/>
      <c r="AG25" s="39"/>
      <c r="AH25" s="39"/>
      <c r="AI25" s="39"/>
      <c r="AJ25" s="39"/>
      <c r="AK25" s="39"/>
      <c r="AL25" s="39"/>
      <c r="AM25" s="39"/>
      <c r="AN25" s="39"/>
      <c r="AO25" s="39"/>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row>
    <row r="26" spans="2:100" customFormat="1" ht="20.100000000000001" customHeight="1" x14ac:dyDescent="0.45">
      <c r="B26" s="5"/>
      <c r="AA26" s="39"/>
      <c r="AB26" s="39"/>
      <c r="AC26" s="39"/>
      <c r="AD26" s="39"/>
      <c r="AE26" s="39"/>
      <c r="AF26" s="39"/>
      <c r="AG26" s="39"/>
      <c r="AH26" s="39"/>
      <c r="AI26" s="39"/>
      <c r="AJ26" s="39"/>
      <c r="AK26" s="39"/>
      <c r="AL26" s="39"/>
      <c r="AM26" s="39"/>
      <c r="AN26" s="39"/>
      <c r="AO26" s="39"/>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row>
    <row r="27" spans="2:100" customFormat="1" ht="20.100000000000001" customHeight="1" x14ac:dyDescent="0.45">
      <c r="B27" s="5"/>
      <c r="AA27" s="39"/>
      <c r="AB27" s="39"/>
      <c r="AC27" s="39"/>
      <c r="AD27" s="39"/>
      <c r="AE27" s="39"/>
      <c r="AF27" s="39"/>
      <c r="AG27" s="39"/>
      <c r="AH27" s="39"/>
      <c r="AI27" s="39"/>
      <c r="AJ27" s="39"/>
      <c r="AK27" s="39"/>
      <c r="AL27" s="39"/>
      <c r="AM27" s="39"/>
      <c r="AN27" s="39"/>
      <c r="AO27" s="39"/>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row>
    <row r="28" spans="2:100" customFormat="1" ht="20.100000000000001" customHeight="1" x14ac:dyDescent="0.45">
      <c r="B28" s="5"/>
      <c r="C28" s="7"/>
      <c r="D28" s="7"/>
      <c r="E28" s="7"/>
      <c r="F28" s="7"/>
      <c r="G28" s="7"/>
      <c r="H28" s="7"/>
      <c r="I28" s="7"/>
      <c r="J28" s="7"/>
      <c r="K28" s="7"/>
      <c r="L28" s="7"/>
      <c r="M28" s="7"/>
      <c r="N28" s="7"/>
      <c r="O28" s="7"/>
      <c r="P28" s="7"/>
      <c r="Q28" s="7"/>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row>
    <row r="29" spans="2:100" customFormat="1" ht="20.100000000000001" customHeight="1" x14ac:dyDescent="0.45">
      <c r="B29" s="5"/>
      <c r="C29" s="39"/>
      <c r="D29" s="39"/>
      <c r="E29" s="7"/>
      <c r="F29" s="7"/>
      <c r="G29" s="7"/>
      <c r="H29" s="7"/>
      <c r="I29" s="7"/>
      <c r="J29" s="7"/>
      <c r="K29" s="7"/>
      <c r="L29" s="7"/>
      <c r="M29" s="7"/>
      <c r="N29" s="7"/>
      <c r="O29" s="7"/>
      <c r="P29" s="7"/>
      <c r="Q29" s="7"/>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row>
    <row r="30" spans="2:100" customFormat="1" ht="20.100000000000001" customHeight="1" x14ac:dyDescent="0.45">
      <c r="B30" s="39"/>
      <c r="C30" s="39"/>
      <c r="D30" s="39"/>
      <c r="E30" s="7"/>
      <c r="F30" s="7"/>
      <c r="G30" s="7"/>
      <c r="H30" s="7"/>
      <c r="I30" s="7"/>
      <c r="J30" s="7"/>
      <c r="K30" s="7"/>
      <c r="L30" s="7"/>
      <c r="M30" s="7"/>
      <c r="N30" s="7"/>
      <c r="O30" s="7"/>
      <c r="P30" s="7"/>
      <c r="Q30" s="7"/>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row>
    <row r="31" spans="2:100" customFormat="1" ht="20.100000000000001" customHeight="1" x14ac:dyDescent="0.45">
      <c r="B31" s="39"/>
      <c r="C31" s="39"/>
      <c r="D31" s="39"/>
      <c r="E31" s="7"/>
      <c r="F31" s="7"/>
      <c r="G31" s="7"/>
      <c r="H31" s="7"/>
      <c r="I31" s="7"/>
      <c r="J31" s="7"/>
      <c r="K31" s="7"/>
      <c r="L31" s="7"/>
      <c r="M31" s="7"/>
      <c r="N31" s="7"/>
      <c r="O31" s="7"/>
      <c r="P31" s="7"/>
      <c r="Q31" s="7"/>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row>
    <row r="32" spans="2:100" customFormat="1" ht="18" x14ac:dyDescent="0.45">
      <c r="B32" s="39"/>
      <c r="C32" s="8"/>
      <c r="D32" s="8"/>
      <c r="E32" s="7"/>
      <c r="F32" s="7"/>
      <c r="G32" s="7"/>
      <c r="H32" s="7"/>
      <c r="I32" s="7"/>
      <c r="J32" s="7"/>
      <c r="K32" s="7"/>
      <c r="L32" s="7"/>
      <c r="M32" s="7"/>
      <c r="N32" s="7"/>
      <c r="O32" s="7"/>
      <c r="P32" s="7"/>
      <c r="Q32" s="7"/>
      <c r="R32" s="8"/>
      <c r="S32" s="8"/>
      <c r="T32" s="8"/>
      <c r="U32" s="8"/>
      <c r="V32" s="8"/>
      <c r="W32" s="8"/>
      <c r="X32" s="8"/>
      <c r="Y32" s="8"/>
      <c r="Z32" s="8"/>
      <c r="AA32" s="8"/>
      <c r="AB32" s="8"/>
      <c r="AC32" s="8"/>
      <c r="AD32" s="8"/>
      <c r="AE32" s="8"/>
      <c r="AF32" s="8"/>
      <c r="AG32" s="8"/>
      <c r="AH32" s="8"/>
      <c r="AI32" s="8"/>
      <c r="AJ32" s="8"/>
      <c r="AK32" s="8"/>
      <c r="AL32" s="8"/>
      <c r="AM32" s="8"/>
      <c r="AN32" s="8"/>
      <c r="AO32" s="8"/>
      <c r="AP32" s="39"/>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row>
    <row r="33" spans="2:42" ht="24" customHeight="1" x14ac:dyDescent="0.45">
      <c r="B33" s="39"/>
      <c r="C33" s="39"/>
      <c r="D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8"/>
    </row>
    <row r="34" spans="2:42" ht="20.100000000000001" customHeight="1" x14ac:dyDescent="0.45">
      <c r="B34" s="39"/>
      <c r="C34" s="39"/>
      <c r="D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8"/>
    </row>
    <row r="35" spans="2:42" ht="20.100000000000001" customHeight="1" x14ac:dyDescent="0.45">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8"/>
    </row>
    <row r="36" spans="2:42" ht="20.100000000000001" customHeight="1" x14ac:dyDescent="0.45">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8"/>
    </row>
    <row r="37" spans="2:42" ht="20.100000000000001" customHeight="1" x14ac:dyDescent="0.45">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8"/>
    </row>
    <row r="38" spans="2:42" ht="20.100000000000001" customHeight="1" x14ac:dyDescent="0.45">
      <c r="B38" s="39"/>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s="8"/>
    </row>
    <row r="39" spans="2:42" ht="20.100000000000001" customHeight="1" x14ac:dyDescent="0.45">
      <c r="B39" s="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s="8"/>
    </row>
    <row r="40" spans="2:42" ht="20.100000000000001" customHeight="1" x14ac:dyDescent="0.45">
      <c r="B40" s="39"/>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s="8"/>
    </row>
    <row r="41" spans="2:42" ht="28.35" customHeight="1" x14ac:dyDescent="0.45">
      <c r="B41" s="39"/>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s="8"/>
    </row>
    <row r="42" spans="2:42" ht="20.100000000000001" customHeight="1" x14ac:dyDescent="0.45">
      <c r="B42" s="39"/>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s="8"/>
    </row>
    <row r="43" spans="2:42" ht="20.100000000000001" customHeight="1" x14ac:dyDescent="0.45">
      <c r="B43" s="39"/>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s="8"/>
    </row>
    <row r="44" spans="2:42" ht="20.100000000000001" customHeight="1" x14ac:dyDescent="0.45">
      <c r="B44" s="8"/>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s="8"/>
    </row>
    <row r="45" spans="2:42" ht="20.100000000000001" customHeight="1" x14ac:dyDescent="0.45">
      <c r="B45" s="39"/>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s="8"/>
    </row>
    <row r="46" spans="2:42" ht="18" x14ac:dyDescent="0.45">
      <c r="B46" s="39"/>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s="8"/>
    </row>
    <row r="47" spans="2:42" ht="20.100000000000001" customHeight="1" x14ac:dyDescent="0.45">
      <c r="B47" s="39"/>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s="8"/>
    </row>
    <row r="48" spans="2:42" ht="20.100000000000001" customHeight="1" x14ac:dyDescent="0.45">
      <c r="B48" s="39"/>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s="8"/>
    </row>
    <row r="49" spans="1:42" ht="20.100000000000001" customHeight="1" x14ac:dyDescent="0.45">
      <c r="B49" s="3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s="8"/>
    </row>
    <row r="50" spans="1:42" ht="20.100000000000001" customHeight="1" x14ac:dyDescent="0.45">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row>
    <row r="51" spans="1:42" ht="20.100000000000001" customHeight="1" x14ac:dyDescent="0.45">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row>
    <row r="52" spans="1:42" ht="20.100000000000001" customHeight="1" x14ac:dyDescent="0.45">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row>
    <row r="53" spans="1:42" ht="20.100000000000001" customHeight="1" x14ac:dyDescent="0.4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row>
    <row r="54" spans="1:42" ht="20.100000000000001" customHeight="1" x14ac:dyDescent="0.4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row>
    <row r="55" spans="1:42" ht="20.100000000000001" customHeight="1" x14ac:dyDescent="0.4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row>
    <row r="56" spans="1:42" ht="20.100000000000001" customHeight="1" x14ac:dyDescent="0.4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row>
    <row r="57" spans="1:42" ht="20.100000000000001" customHeight="1" x14ac:dyDescent="0.45">
      <c r="A57"/>
      <c r="B57"/>
      <c r="C57" s="39"/>
      <c r="D57" s="39"/>
      <c r="E57" s="39"/>
      <c r="F57" s="39"/>
      <c r="G57" s="39"/>
      <c r="H57" s="39"/>
      <c r="I57" s="39"/>
      <c r="J57" s="39"/>
      <c r="K57" s="39"/>
      <c r="L57" s="39"/>
      <c r="M57" s="39"/>
      <c r="N57" s="39"/>
      <c r="O57" s="39"/>
      <c r="P57" s="39"/>
      <c r="Q57" s="39"/>
      <c r="R57" s="39"/>
      <c r="S57" s="39"/>
      <c r="T57" s="39"/>
      <c r="U57" s="39"/>
      <c r="V57" s="39"/>
      <c r="W57" s="39"/>
      <c r="X57" s="39"/>
      <c r="Y57"/>
      <c r="Z57"/>
      <c r="AA57"/>
      <c r="AB57"/>
      <c r="AC57"/>
      <c r="AD57"/>
      <c r="AE57"/>
      <c r="AF57"/>
      <c r="AG57"/>
      <c r="AH57"/>
      <c r="AI57"/>
      <c r="AJ57"/>
      <c r="AK57"/>
      <c r="AL57"/>
      <c r="AM57"/>
      <c r="AN57"/>
      <c r="AO57"/>
      <c r="AP57"/>
    </row>
    <row r="58" spans="1:42" ht="20.100000000000001" customHeight="1" x14ac:dyDescent="0.4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row>
    <row r="59" spans="1:42" ht="18" x14ac:dyDescent="0.4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row>
    <row r="60" spans="1:42" ht="20.100000000000001" customHeight="1" x14ac:dyDescent="0.4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row>
    <row r="61" spans="1:42" ht="20.100000000000001" customHeight="1" x14ac:dyDescent="0.4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row>
    <row r="62" spans="1:42" ht="20.100000000000001" customHeight="1" x14ac:dyDescent="0.4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row>
    <row r="63" spans="1:42" ht="20.100000000000001" customHeight="1" x14ac:dyDescent="0.4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row>
    <row r="64" spans="1:42" ht="20.100000000000001" customHeight="1" x14ac:dyDescent="0.4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row>
    <row r="65" spans="1:42" ht="20.100000000000001" customHeight="1" x14ac:dyDescent="0.4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row>
    <row r="66" spans="1:42" ht="20.100000000000001" customHeight="1" x14ac:dyDescent="0.4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row>
    <row r="67" spans="1:42" ht="20.100000000000001" customHeight="1" x14ac:dyDescent="0.4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row>
    <row r="68" spans="1:42" ht="20.100000000000001" customHeight="1" x14ac:dyDescent="0.4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row>
    <row r="69" spans="1:42" ht="20.100000000000001" customHeight="1" x14ac:dyDescent="0.45">
      <c r="A69"/>
      <c r="B69" s="3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row>
    <row r="70" spans="1:42" ht="20.100000000000001" customHeight="1" x14ac:dyDescent="0.4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row>
    <row r="71" spans="1:42" ht="20.100000000000001" customHeight="1" x14ac:dyDescent="0.4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row>
    <row r="72" spans="1:42" ht="18" x14ac:dyDescent="0.4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row>
    <row r="73" spans="1:42" ht="18" x14ac:dyDescent="0.4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row>
    <row r="74" spans="1:42" ht="20.100000000000001" customHeight="1" x14ac:dyDescent="0.4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row>
    <row r="75" spans="1:42" ht="20.100000000000001" customHeight="1" x14ac:dyDescent="0.4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row>
    <row r="76" spans="1:42" ht="20.100000000000001" customHeight="1" x14ac:dyDescent="0.4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row>
    <row r="77" spans="1:42" ht="20.100000000000001" customHeight="1" x14ac:dyDescent="0.4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row>
    <row r="78" spans="1:42" ht="20.100000000000001" customHeight="1" x14ac:dyDescent="0.4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row>
    <row r="79" spans="1:42" ht="20.100000000000001" customHeight="1" x14ac:dyDescent="0.4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row>
    <row r="80" spans="1:42" ht="20.100000000000001" customHeight="1" x14ac:dyDescent="0.4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row>
    <row r="81" spans="1:42" ht="18" x14ac:dyDescent="0.4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row>
    <row r="82" spans="1:42" ht="20.100000000000001" customHeight="1" x14ac:dyDescent="0.4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row>
    <row r="83" spans="1:42" ht="20.100000000000001" customHeight="1" x14ac:dyDescent="0.4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row>
    <row r="84" spans="1:42" ht="20.100000000000001" customHeight="1" x14ac:dyDescent="0.4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row>
    <row r="85" spans="1:42" ht="20.100000000000001" customHeight="1" x14ac:dyDescent="0.4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row>
    <row r="86" spans="1:42" ht="20.100000000000001" customHeight="1" x14ac:dyDescent="0.4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row>
    <row r="87" spans="1:42" ht="20.100000000000001" customHeight="1" x14ac:dyDescent="0.4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row>
    <row r="88" spans="1:42" ht="20.100000000000001" customHeight="1" x14ac:dyDescent="0.4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row>
    <row r="89" spans="1:42" ht="18" x14ac:dyDescent="0.4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row>
    <row r="90" spans="1:42" ht="20.100000000000001" customHeight="1" x14ac:dyDescent="0.4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row>
    <row r="91" spans="1:42" ht="20.100000000000001" customHeight="1" x14ac:dyDescent="0.4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row>
    <row r="92" spans="1:42" ht="20.100000000000001" customHeight="1" x14ac:dyDescent="0.4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row>
    <row r="93" spans="1:42" ht="20.100000000000001" customHeight="1" x14ac:dyDescent="0.4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row>
    <row r="94" spans="1:42" ht="20.100000000000001" customHeight="1" x14ac:dyDescent="0.4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row>
    <row r="95" spans="1:42" ht="20.100000000000001" customHeight="1" x14ac:dyDescent="0.4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row>
    <row r="96" spans="1:42" ht="20.100000000000001" customHeight="1" x14ac:dyDescent="0.4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row>
    <row r="97" spans="1:42" ht="18" x14ac:dyDescent="0.4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row>
    <row r="98" spans="1:42" ht="20.100000000000001" customHeight="1" x14ac:dyDescent="0.4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row>
    <row r="99" spans="1:42" ht="20.100000000000001" customHeight="1" x14ac:dyDescent="0.4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row>
    <row r="100" spans="1:42" ht="20.100000000000001" customHeight="1" x14ac:dyDescent="0.4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row>
    <row r="101" spans="1:42" ht="20.100000000000001" customHeight="1" x14ac:dyDescent="0.4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row>
    <row r="102" spans="1:42" ht="20.100000000000001" customHeight="1" x14ac:dyDescent="0.4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row>
    <row r="103" spans="1:42" ht="20.100000000000001" customHeight="1" x14ac:dyDescent="0.4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row>
    <row r="104" spans="1:42" ht="20.100000000000001" customHeight="1" x14ac:dyDescent="0.4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row>
    <row r="105" spans="1:42" ht="18" x14ac:dyDescent="0.4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row>
    <row r="106" spans="1:42" ht="20.100000000000001" customHeight="1" x14ac:dyDescent="0.4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row>
    <row r="107" spans="1:42" ht="20.100000000000001" customHeight="1" x14ac:dyDescent="0.4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row>
    <row r="108" spans="1:42" ht="20.100000000000001" customHeight="1" x14ac:dyDescent="0.4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row>
    <row r="109" spans="1:42" ht="20.100000000000001" customHeight="1" x14ac:dyDescent="0.4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row>
    <row r="110" spans="1:42" ht="20.100000000000001" customHeight="1" x14ac:dyDescent="0.4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row>
    <row r="111" spans="1:42" ht="20.100000000000001" customHeight="1" x14ac:dyDescent="0.4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row>
    <row r="112" spans="1:42" ht="20.100000000000001" customHeight="1" x14ac:dyDescent="0.4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row>
    <row r="113" spans="1:42" ht="18" x14ac:dyDescent="0.4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row>
    <row r="114" spans="1:42" ht="20.100000000000001" customHeight="1" x14ac:dyDescent="0.4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row>
    <row r="115" spans="1:42" ht="20.100000000000001" customHeight="1" x14ac:dyDescent="0.4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row>
    <row r="116" spans="1:42" ht="20.100000000000001" customHeight="1" x14ac:dyDescent="0.4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row>
    <row r="117" spans="1:42" ht="20.100000000000001" customHeight="1" x14ac:dyDescent="0.4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row>
    <row r="118" spans="1:42" ht="20.100000000000001" customHeight="1" x14ac:dyDescent="0.4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row>
    <row r="119" spans="1:42" ht="20.100000000000001" customHeight="1" x14ac:dyDescent="0.4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row>
    <row r="120" spans="1:42" ht="20.100000000000001" customHeight="1" x14ac:dyDescent="0.4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row>
    <row r="121" spans="1:42" ht="20.100000000000001" customHeight="1" x14ac:dyDescent="0.4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row>
    <row r="122" spans="1:42" customFormat="1" ht="20.100000000000001" customHeight="1" x14ac:dyDescent="0.45"/>
    <row r="123" spans="1:42" customFormat="1" ht="20.100000000000001" customHeight="1" x14ac:dyDescent="0.45"/>
    <row r="124" spans="1:42" customFormat="1" ht="20.100000000000001" customHeight="1" x14ac:dyDescent="0.45"/>
    <row r="125" spans="1:42" customFormat="1" ht="20.100000000000001" customHeight="1" x14ac:dyDescent="0.45"/>
    <row r="126" spans="1:42" customFormat="1" ht="20.100000000000001" customHeight="1" x14ac:dyDescent="0.45"/>
    <row r="127" spans="1:42" customFormat="1" ht="20.100000000000001" customHeight="1" x14ac:dyDescent="0.45"/>
    <row r="128" spans="1:42" customFormat="1" ht="20.100000000000001" customHeight="1" x14ac:dyDescent="0.45">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row>
    <row r="129" spans="3:41" customFormat="1" ht="20.100000000000001" customHeight="1" x14ac:dyDescent="0.45">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row>
    <row r="130" spans="3:41" customFormat="1" ht="20.100000000000001" customHeight="1" x14ac:dyDescent="0.45">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row>
    <row r="131" spans="3:41" customFormat="1" ht="20.100000000000001" customHeight="1" x14ac:dyDescent="0.45">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row>
    <row r="132" spans="3:41" customFormat="1" ht="20.100000000000001" customHeight="1" x14ac:dyDescent="0.45">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row>
    <row r="133" spans="3:41" customFormat="1" ht="20.100000000000001" customHeight="1" x14ac:dyDescent="0.45">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row>
    <row r="134" spans="3:41" customFormat="1" ht="20.100000000000001" customHeight="1" x14ac:dyDescent="0.45">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row>
    <row r="135" spans="3:41" customFormat="1" ht="20.100000000000001" customHeight="1" x14ac:dyDescent="0.45">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row>
    <row r="136" spans="3:41" customFormat="1" ht="20.100000000000001" customHeight="1" x14ac:dyDescent="0.45">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row>
    <row r="137" spans="3:41" customFormat="1" ht="20.100000000000001" customHeight="1" x14ac:dyDescent="0.45">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row>
    <row r="138" spans="3:41" customFormat="1" ht="20.100000000000001" customHeight="1" x14ac:dyDescent="0.45">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row>
    <row r="139" spans="3:41" customFormat="1" ht="20.100000000000001" customHeight="1" x14ac:dyDescent="0.45">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row>
  </sheetData>
  <phoneticPr fontId="2"/>
  <dataValidations count="1">
    <dataValidation type="list" showInputMessage="1" showErrorMessage="1" sqref="CI10:CL10 CR10:CU10 V10:Y19">
      <formula1>チェック</formula1>
    </dataValidation>
  </dataValidations>
  <pageMargins left="0.70866141732283472" right="0.70866141732283472" top="0.74803149606299213" bottom="0.74803149606299213" header="0.31496062992125984" footer="0.31496062992125984"/>
  <pageSetup paperSize="9" scale="10" fitToHeight="0" orientation="landscape" r:id="rId1"/>
  <headerFooter>
    <oddFooter>&amp;C&amp;P / &amp;N &amp;R©2024 SMS DataTech Corporation. All rights reserved.</oddFoot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OFFSET(参照!$AC$1,0,,COUNTA(コントロール種別_チェックフィルタ))</xm:f>
          </x14:formula1>
          <xm:sqref>BK10 AI10:AI19</xm:sqref>
        </x14:dataValidation>
        <x14:dataValidation type="list" allowBlank="1" showInputMessage="1" showErrorMessage="1">
          <x14:formula1>
            <xm:f>OFFSET(参照!$AA$1,0,,COUNTA(モード選択))</xm:f>
          </x14:formula1>
          <xm:sqref>BN10 BT10 BZ10 CF10 CO10 K10:K19 S10:S19 AL10 AR10</xm:sqref>
        </x14:dataValidation>
        <x14:dataValidation type="list" allowBlank="1" showInputMessage="1" showErrorMessage="1">
          <x14:formula1>
            <xm:f>OFFSET(参照!$Y$1,0,,COUNTA(検索の種類))</xm:f>
          </x14:formula1>
          <xm:sqref>F10:F19 AD10:AD19 AX10 BA10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AF22"/>
  <sheetViews>
    <sheetView showGridLines="0" view="pageBreakPreview" zoomScaleNormal="100" zoomScaleSheetLayoutView="100" workbookViewId="0">
      <selection activeCell="F25" sqref="F25"/>
    </sheetView>
  </sheetViews>
  <sheetFormatPr defaultColWidth="3.59765625" defaultRowHeight="20.100000000000001" customHeight="1" x14ac:dyDescent="0.45"/>
  <cols>
    <col min="1" max="1" width="1.09765625" style="7" customWidth="1"/>
    <col min="2" max="3" width="3.59765625" style="7" customWidth="1"/>
    <col min="4" max="4" width="5.8984375" style="7" bestFit="1" customWidth="1"/>
    <col min="5" max="5" width="30.59765625" style="7" customWidth="1"/>
    <col min="6" max="6" width="89.8984375" style="7" customWidth="1"/>
    <col min="7" max="7" width="83.59765625" style="7" customWidth="1"/>
    <col min="8" max="31" width="3.59765625" style="7" customWidth="1"/>
    <col min="32" max="32" width="1.09765625" style="7" customWidth="1"/>
    <col min="33" max="16384" width="3.59765625" style="7"/>
  </cols>
  <sheetData>
    <row r="1" spans="1:32" ht="5.25" customHeight="1" x14ac:dyDescent="0.45">
      <c r="A1"/>
      <c r="B1"/>
      <c r="C1"/>
      <c r="D1"/>
      <c r="E1"/>
      <c r="F1"/>
      <c r="G1"/>
      <c r="H1"/>
      <c r="I1"/>
      <c r="J1"/>
      <c r="K1"/>
      <c r="L1"/>
      <c r="M1"/>
      <c r="N1"/>
      <c r="O1"/>
      <c r="P1"/>
      <c r="Q1"/>
      <c r="R1"/>
      <c r="S1"/>
      <c r="T1"/>
      <c r="U1"/>
      <c r="V1"/>
      <c r="W1"/>
      <c r="X1"/>
      <c r="Y1"/>
      <c r="Z1"/>
      <c r="AA1"/>
      <c r="AB1"/>
      <c r="AC1"/>
      <c r="AD1"/>
      <c r="AE1"/>
      <c r="AF1"/>
    </row>
    <row r="2" spans="1:32" ht="20.100000000000001" customHeight="1" x14ac:dyDescent="0.45">
      <c r="A2"/>
      <c r="B2"/>
      <c r="C2"/>
      <c r="D2"/>
      <c r="E2"/>
      <c r="F2"/>
      <c r="G2"/>
      <c r="H2"/>
      <c r="I2"/>
      <c r="J2"/>
      <c r="K2"/>
      <c r="L2"/>
      <c r="M2"/>
      <c r="N2"/>
      <c r="O2"/>
      <c r="P2"/>
      <c r="Q2"/>
      <c r="R2"/>
      <c r="S2"/>
      <c r="T2"/>
      <c r="U2"/>
      <c r="V2"/>
      <c r="W2"/>
      <c r="X2"/>
      <c r="Y2"/>
      <c r="Z2"/>
      <c r="AA2"/>
      <c r="AB2"/>
      <c r="AC2"/>
      <c r="AD2"/>
      <c r="AE2"/>
      <c r="AF2"/>
    </row>
    <row r="3" spans="1:32" ht="20.100000000000001" customHeight="1" x14ac:dyDescent="0.45">
      <c r="A3"/>
      <c r="B3"/>
      <c r="C3"/>
      <c r="D3"/>
      <c r="E3"/>
      <c r="F3"/>
      <c r="G3"/>
      <c r="H3"/>
      <c r="I3"/>
      <c r="J3"/>
      <c r="K3"/>
      <c r="L3"/>
      <c r="M3"/>
      <c r="N3"/>
      <c r="O3"/>
      <c r="P3"/>
      <c r="Q3"/>
      <c r="R3"/>
      <c r="S3"/>
      <c r="T3"/>
      <c r="U3"/>
      <c r="V3"/>
      <c r="W3"/>
      <c r="X3"/>
      <c r="Y3"/>
      <c r="Z3"/>
      <c r="AA3"/>
      <c r="AB3"/>
      <c r="AC3"/>
      <c r="AD3"/>
      <c r="AE3"/>
      <c r="AF3"/>
    </row>
    <row r="4" spans="1:32" ht="20.100000000000001" customHeight="1" x14ac:dyDescent="0.45">
      <c r="A4"/>
      <c r="B4"/>
      <c r="C4"/>
      <c r="D4"/>
      <c r="E4"/>
      <c r="F4"/>
      <c r="G4"/>
      <c r="H4"/>
      <c r="I4"/>
      <c r="J4"/>
      <c r="K4"/>
      <c r="L4"/>
      <c r="M4"/>
      <c r="N4"/>
      <c r="O4"/>
      <c r="P4"/>
      <c r="Q4"/>
      <c r="R4"/>
      <c r="S4"/>
      <c r="T4"/>
      <c r="U4"/>
      <c r="V4"/>
      <c r="W4"/>
      <c r="X4"/>
      <c r="Y4"/>
      <c r="Z4"/>
      <c r="AA4"/>
      <c r="AB4"/>
      <c r="AC4"/>
      <c r="AD4"/>
      <c r="AE4"/>
      <c r="AF4"/>
    </row>
    <row r="5" spans="1:32" ht="5.25" customHeight="1" x14ac:dyDescent="0.45">
      <c r="A5"/>
      <c r="B5"/>
      <c r="C5"/>
      <c r="D5"/>
      <c r="E5"/>
      <c r="F5"/>
      <c r="G5"/>
      <c r="H5"/>
      <c r="I5"/>
      <c r="J5"/>
      <c r="K5"/>
      <c r="L5"/>
      <c r="M5"/>
      <c r="N5"/>
      <c r="O5"/>
      <c r="P5"/>
      <c r="Q5"/>
      <c r="R5"/>
      <c r="S5"/>
      <c r="T5"/>
      <c r="U5"/>
      <c r="V5"/>
      <c r="W5"/>
      <c r="X5"/>
      <c r="Y5"/>
      <c r="Z5"/>
      <c r="AA5"/>
      <c r="AB5"/>
      <c r="AC5"/>
      <c r="AD5"/>
      <c r="AE5"/>
      <c r="AF5"/>
    </row>
    <row r="6" spans="1:32" ht="19.5" customHeight="1" x14ac:dyDescent="0.45">
      <c r="B6" s="48" t="s">
        <v>128</v>
      </c>
    </row>
    <row r="7" spans="1:32" ht="20.100000000000001" customHeight="1" x14ac:dyDescent="0.45">
      <c r="A7" s="8"/>
    </row>
    <row r="8" spans="1:32" ht="20.100000000000001" customHeight="1" thickBot="1" x14ac:dyDescent="0.5">
      <c r="A8" s="8"/>
      <c r="B8" s="8"/>
      <c r="C8" s="25" t="s">
        <v>21</v>
      </c>
      <c r="D8" s="25"/>
      <c r="E8" s="8"/>
      <c r="F8" s="8"/>
      <c r="G8" s="8"/>
      <c r="H8" s="8"/>
      <c r="I8" s="8"/>
      <c r="J8" s="8"/>
      <c r="K8" s="8"/>
      <c r="L8" s="8"/>
      <c r="M8" s="8"/>
      <c r="N8" s="8"/>
      <c r="O8" s="8"/>
      <c r="P8" s="8"/>
      <c r="Q8" s="8"/>
      <c r="R8" s="8"/>
      <c r="S8" s="8"/>
      <c r="T8" s="8"/>
      <c r="U8" s="8"/>
      <c r="V8" s="8"/>
      <c r="W8" s="8"/>
      <c r="X8" s="8"/>
      <c r="Y8" s="8"/>
      <c r="Z8" s="8"/>
      <c r="AA8" s="8"/>
      <c r="AB8" s="8"/>
      <c r="AC8" s="8"/>
      <c r="AD8" s="8"/>
      <c r="AE8" s="8"/>
      <c r="AF8" s="8"/>
    </row>
    <row r="9" spans="1:32" ht="20.100000000000001" customHeight="1" thickTop="1" x14ac:dyDescent="0.45">
      <c r="A9" s="5"/>
      <c r="B9" s="8"/>
      <c r="C9" s="22" t="s">
        <v>12</v>
      </c>
      <c r="D9" s="23" t="s">
        <v>19</v>
      </c>
      <c r="E9" s="23" t="s">
        <v>22</v>
      </c>
      <c r="F9" s="107" t="s">
        <v>23</v>
      </c>
      <c r="G9" s="8"/>
      <c r="H9" s="8"/>
      <c r="I9" s="8"/>
      <c r="J9" s="8"/>
      <c r="K9" s="8"/>
      <c r="L9" s="8"/>
      <c r="M9" s="39"/>
      <c r="N9" s="39"/>
      <c r="O9" s="39"/>
      <c r="P9" s="39"/>
      <c r="Q9" s="39"/>
      <c r="R9" s="39"/>
      <c r="S9" s="39"/>
      <c r="T9" s="39"/>
      <c r="U9" s="39"/>
      <c r="V9" s="39"/>
      <c r="W9" s="39"/>
      <c r="X9" s="39"/>
      <c r="Y9" s="39"/>
      <c r="Z9" s="39"/>
      <c r="AA9" s="39"/>
      <c r="AB9" s="39"/>
      <c r="AC9" s="39"/>
      <c r="AD9" s="39"/>
      <c r="AE9" s="39"/>
    </row>
    <row r="10" spans="1:32" ht="20.100000000000001" customHeight="1" x14ac:dyDescent="0.45">
      <c r="A10" s="5"/>
      <c r="B10" s="5"/>
      <c r="C10" s="19">
        <f>ROW()-9</f>
        <v>1</v>
      </c>
      <c r="D10" s="99"/>
      <c r="E10" s="104" t="s">
        <v>132</v>
      </c>
      <c r="F10" s="118"/>
      <c r="H10" s="39"/>
      <c r="I10" s="39"/>
      <c r="J10" s="39"/>
      <c r="K10" s="5"/>
      <c r="L10" s="5"/>
      <c r="M10" s="39"/>
      <c r="N10" s="39"/>
      <c r="O10" s="39"/>
      <c r="P10" s="39"/>
      <c r="Q10" s="39"/>
      <c r="R10" s="39"/>
      <c r="S10" s="39"/>
      <c r="T10" s="39"/>
      <c r="U10" s="39"/>
      <c r="V10" s="39"/>
      <c r="W10" s="39"/>
      <c r="X10" s="39"/>
      <c r="Y10" s="39"/>
      <c r="Z10" s="39"/>
      <c r="AA10" s="39"/>
      <c r="AB10" s="39"/>
      <c r="AC10" s="39"/>
      <c r="AD10" s="39"/>
      <c r="AE10" s="39"/>
    </row>
    <row r="11" spans="1:32" ht="20.100000000000001" customHeight="1" x14ac:dyDescent="0.45">
      <c r="A11" s="5"/>
      <c r="B11" s="5"/>
      <c r="C11" s="19">
        <f t="shared" ref="C11:C19" si="0">ROW()-9</f>
        <v>2</v>
      </c>
      <c r="D11" s="99"/>
      <c r="E11" s="104" t="s">
        <v>132</v>
      </c>
      <c r="F11" s="118"/>
      <c r="H11" s="39"/>
      <c r="I11" s="39"/>
      <c r="J11" s="39"/>
      <c r="K11" s="5"/>
      <c r="L11" s="5"/>
      <c r="M11" s="39"/>
      <c r="N11" s="39"/>
      <c r="O11" s="39"/>
      <c r="P11" s="39"/>
      <c r="Q11" s="39"/>
      <c r="R11" s="39"/>
      <c r="S11" s="39"/>
      <c r="T11" s="39"/>
      <c r="U11" s="39"/>
      <c r="V11" s="39"/>
      <c r="W11" s="39"/>
      <c r="X11" s="39"/>
      <c r="Y11" s="39"/>
      <c r="Z11" s="39"/>
      <c r="AA11" s="39"/>
      <c r="AB11" s="39"/>
      <c r="AC11" s="39"/>
      <c r="AD11" s="39"/>
      <c r="AE11" s="39"/>
    </row>
    <row r="12" spans="1:32" ht="20.100000000000001" customHeight="1" x14ac:dyDescent="0.45">
      <c r="A12" s="5"/>
      <c r="B12" s="5"/>
      <c r="C12" s="19">
        <f t="shared" si="0"/>
        <v>3</v>
      </c>
      <c r="D12" s="99"/>
      <c r="E12" s="104" t="s">
        <v>132</v>
      </c>
      <c r="F12" s="118"/>
      <c r="H12" s="39"/>
      <c r="I12" s="39"/>
      <c r="J12" s="39"/>
      <c r="K12" s="5"/>
      <c r="L12" s="5"/>
      <c r="M12" s="39"/>
      <c r="N12" s="39"/>
      <c r="O12" s="39"/>
      <c r="P12" s="39"/>
      <c r="Q12" s="39"/>
      <c r="R12" s="39"/>
      <c r="S12" s="39"/>
      <c r="T12" s="39"/>
      <c r="U12" s="39"/>
      <c r="V12" s="39"/>
      <c r="W12" s="39"/>
      <c r="X12" s="39"/>
      <c r="Y12" s="39"/>
      <c r="Z12" s="39"/>
      <c r="AA12" s="39"/>
      <c r="AB12" s="39"/>
      <c r="AC12" s="39"/>
      <c r="AD12" s="39"/>
      <c r="AE12" s="39"/>
    </row>
    <row r="13" spans="1:32" ht="20.100000000000001" customHeight="1" x14ac:dyDescent="0.45">
      <c r="A13" s="5"/>
      <c r="B13" s="5"/>
      <c r="C13" s="19">
        <f t="shared" si="0"/>
        <v>4</v>
      </c>
      <c r="D13" s="99"/>
      <c r="E13" s="104" t="s">
        <v>132</v>
      </c>
      <c r="F13" s="118"/>
      <c r="H13" s="39"/>
      <c r="I13" s="39"/>
      <c r="J13" s="39"/>
      <c r="K13" s="5"/>
      <c r="L13" s="5"/>
      <c r="M13" s="39"/>
      <c r="N13" s="39"/>
      <c r="O13" s="39"/>
      <c r="P13" s="39"/>
      <c r="Q13" s="39"/>
      <c r="R13" s="39"/>
      <c r="S13" s="39"/>
      <c r="T13" s="39"/>
      <c r="U13" s="39"/>
      <c r="V13" s="39"/>
      <c r="W13" s="39"/>
      <c r="X13" s="39"/>
      <c r="Y13" s="39"/>
      <c r="Z13" s="39"/>
      <c r="AA13" s="39"/>
      <c r="AB13" s="39"/>
      <c r="AC13" s="39"/>
      <c r="AD13" s="39"/>
      <c r="AE13" s="39"/>
    </row>
    <row r="14" spans="1:32" ht="20.100000000000001" customHeight="1" x14ac:dyDescent="0.45">
      <c r="A14" s="5"/>
      <c r="B14" s="5"/>
      <c r="C14" s="19">
        <f t="shared" si="0"/>
        <v>5</v>
      </c>
      <c r="D14" s="99"/>
      <c r="E14" s="104" t="s">
        <v>132</v>
      </c>
      <c r="F14" s="118"/>
      <c r="H14" s="39"/>
      <c r="I14" s="39"/>
      <c r="J14" s="39"/>
      <c r="K14" s="5"/>
      <c r="L14" s="5"/>
      <c r="M14" s="39"/>
      <c r="N14" s="39"/>
      <c r="O14" s="39"/>
      <c r="P14" s="39"/>
      <c r="Q14" s="39"/>
      <c r="R14" s="39"/>
      <c r="S14" s="39"/>
      <c r="T14" s="39"/>
      <c r="U14" s="39"/>
      <c r="V14" s="39"/>
      <c r="W14" s="39"/>
      <c r="X14" s="39"/>
      <c r="Y14" s="39"/>
      <c r="Z14" s="39"/>
      <c r="AA14" s="39"/>
      <c r="AB14" s="39"/>
      <c r="AC14" s="39"/>
      <c r="AD14" s="39"/>
      <c r="AE14" s="39"/>
    </row>
    <row r="15" spans="1:32" ht="20.100000000000001" customHeight="1" x14ac:dyDescent="0.45">
      <c r="A15" s="5"/>
      <c r="B15" s="5"/>
      <c r="C15" s="19">
        <f t="shared" si="0"/>
        <v>6</v>
      </c>
      <c r="D15" s="99"/>
      <c r="E15" s="104" t="s">
        <v>132</v>
      </c>
      <c r="F15" s="118"/>
      <c r="H15" s="39"/>
      <c r="I15" s="39"/>
      <c r="J15" s="39"/>
      <c r="K15" s="5"/>
      <c r="L15" s="5"/>
      <c r="M15" s="39"/>
      <c r="N15" s="39"/>
      <c r="O15" s="39"/>
      <c r="P15" s="39"/>
      <c r="Q15" s="39"/>
      <c r="R15" s="39"/>
      <c r="S15" s="39"/>
      <c r="T15" s="39"/>
      <c r="U15" s="39"/>
      <c r="V15" s="39"/>
      <c r="W15" s="39"/>
      <c r="X15" s="39"/>
      <c r="Y15" s="39"/>
      <c r="Z15" s="39"/>
      <c r="AA15" s="39"/>
      <c r="AB15" s="39"/>
      <c r="AC15" s="39"/>
      <c r="AD15" s="39"/>
      <c r="AE15" s="39"/>
    </row>
    <row r="16" spans="1:32" ht="20.100000000000001" customHeight="1" x14ac:dyDescent="0.45">
      <c r="A16" s="5"/>
      <c r="B16" s="5"/>
      <c r="C16" s="19">
        <f t="shared" si="0"/>
        <v>7</v>
      </c>
      <c r="D16" s="99"/>
      <c r="E16" s="104" t="s">
        <v>132</v>
      </c>
      <c r="F16" s="118"/>
      <c r="H16" s="39"/>
      <c r="I16" s="39"/>
      <c r="J16" s="39"/>
      <c r="K16" s="39"/>
      <c r="L16" s="39"/>
      <c r="M16" s="39"/>
      <c r="N16" s="39"/>
      <c r="O16" s="39"/>
      <c r="P16" s="39"/>
      <c r="Q16" s="39"/>
      <c r="R16" s="39"/>
      <c r="S16" s="39"/>
      <c r="T16" s="39"/>
      <c r="U16" s="39"/>
      <c r="V16" s="39"/>
      <c r="W16" s="39"/>
      <c r="X16" s="39"/>
      <c r="Y16" s="39"/>
      <c r="Z16" s="39"/>
      <c r="AA16" s="39"/>
      <c r="AB16" s="39"/>
      <c r="AC16" s="39"/>
      <c r="AD16" s="39"/>
      <c r="AE16" s="39"/>
    </row>
    <row r="17" spans="1:32" ht="20.100000000000001" customHeight="1" x14ac:dyDescent="0.45">
      <c r="A17" s="5"/>
      <c r="B17" s="39"/>
      <c r="C17" s="19">
        <f t="shared" si="0"/>
        <v>8</v>
      </c>
      <c r="D17" s="99"/>
      <c r="E17" s="104" t="s">
        <v>132</v>
      </c>
      <c r="F17" s="118"/>
      <c r="H17" s="39"/>
      <c r="I17" s="39"/>
      <c r="J17" s="39"/>
      <c r="K17" s="39"/>
      <c r="L17" s="39"/>
      <c r="M17" s="39"/>
      <c r="N17" s="39"/>
      <c r="O17" s="39"/>
      <c r="P17" s="39"/>
      <c r="Q17" s="39"/>
      <c r="R17" s="39"/>
      <c r="S17" s="39"/>
      <c r="T17" s="39"/>
      <c r="U17" s="39"/>
      <c r="V17" s="39"/>
      <c r="W17" s="39"/>
      <c r="X17" s="39"/>
      <c r="Y17" s="39"/>
      <c r="Z17" s="39"/>
      <c r="AA17" s="39"/>
      <c r="AB17" s="39"/>
      <c r="AC17" s="39"/>
      <c r="AD17" s="39"/>
      <c r="AE17" s="39"/>
    </row>
    <row r="18" spans="1:32" ht="20.100000000000001" customHeight="1" x14ac:dyDescent="0.45">
      <c r="B18" s="39"/>
      <c r="C18" s="19">
        <f t="shared" si="0"/>
        <v>9</v>
      </c>
      <c r="D18" s="99"/>
      <c r="E18" s="104" t="s">
        <v>132</v>
      </c>
      <c r="F18" s="118"/>
      <c r="H18" s="39"/>
      <c r="I18" s="39"/>
      <c r="J18" s="39"/>
      <c r="K18" s="39"/>
      <c r="L18" s="39"/>
      <c r="M18" s="39"/>
      <c r="N18" s="39"/>
      <c r="O18" s="39"/>
      <c r="P18" s="39"/>
      <c r="Q18" s="39"/>
      <c r="R18" s="39"/>
      <c r="S18" s="39"/>
      <c r="T18" s="39"/>
      <c r="U18" s="39"/>
      <c r="V18" s="39"/>
      <c r="W18" s="39"/>
      <c r="X18" s="39"/>
      <c r="Y18" s="39"/>
      <c r="Z18" s="39"/>
      <c r="AA18" s="39"/>
      <c r="AB18" s="39"/>
      <c r="AC18" s="39"/>
      <c r="AD18" s="39"/>
      <c r="AE18" s="39"/>
    </row>
    <row r="19" spans="1:32" ht="20.100000000000001" customHeight="1" thickBot="1" x14ac:dyDescent="0.5">
      <c r="A19"/>
      <c r="B19" s="39"/>
      <c r="C19" s="26">
        <f t="shared" si="0"/>
        <v>10</v>
      </c>
      <c r="D19" s="101"/>
      <c r="E19" s="106" t="s">
        <v>132</v>
      </c>
      <c r="F19" s="110"/>
      <c r="H19" s="39"/>
      <c r="I19" s="39"/>
      <c r="J19" s="39"/>
      <c r="K19" s="39"/>
      <c r="L19" s="39"/>
      <c r="M19" s="39"/>
      <c r="N19" s="39"/>
      <c r="O19" s="39"/>
      <c r="P19" s="39"/>
      <c r="Q19" s="39"/>
      <c r="R19" s="39"/>
      <c r="S19" s="39"/>
      <c r="T19" s="39"/>
      <c r="U19" s="39"/>
      <c r="V19" s="39"/>
      <c r="W19" s="39"/>
      <c r="X19" s="39"/>
      <c r="Y19" s="39"/>
      <c r="Z19" s="39"/>
      <c r="AA19" s="39"/>
      <c r="AB19" s="39"/>
      <c r="AC19" s="39"/>
      <c r="AD19" s="39"/>
      <c r="AE19" s="39"/>
    </row>
    <row r="20" spans="1:32" ht="20.100000000000001" customHeight="1" thickTop="1" x14ac:dyDescent="0.45">
      <c r="A20"/>
      <c r="B20" s="39"/>
      <c r="C20" s="5"/>
      <c r="D20" s="5"/>
      <c r="E20" s="8"/>
      <c r="I20" s="39"/>
      <c r="J20" s="39"/>
      <c r="K20" s="39"/>
      <c r="L20" s="39"/>
      <c r="M20" s="39"/>
      <c r="N20" s="39"/>
      <c r="O20" s="39"/>
      <c r="P20" s="39"/>
      <c r="Q20" s="39"/>
      <c r="R20" s="39"/>
      <c r="S20" s="39"/>
      <c r="T20" s="39"/>
      <c r="U20" s="39"/>
      <c r="V20" s="39"/>
      <c r="W20" s="39"/>
      <c r="X20" s="39"/>
      <c r="Y20" s="39"/>
      <c r="Z20" s="39"/>
      <c r="AA20" s="39"/>
      <c r="AB20" s="39"/>
      <c r="AC20" s="39"/>
      <c r="AD20" s="39"/>
      <c r="AE20" s="39"/>
      <c r="AF20" s="39"/>
    </row>
    <row r="21" spans="1:32" ht="20.100000000000001" customHeight="1" x14ac:dyDescent="0.45">
      <c r="A21"/>
      <c r="B21" s="39"/>
      <c r="C21" s="8"/>
      <c r="D21" s="8"/>
      <c r="E21" s="8"/>
      <c r="F21" s="8"/>
      <c r="G21" s="8"/>
      <c r="H21" s="8"/>
      <c r="I21" s="8"/>
      <c r="J21" s="8"/>
      <c r="K21" s="39"/>
      <c r="L21" s="39"/>
      <c r="M21" s="39"/>
      <c r="N21" s="39"/>
      <c r="O21" s="39"/>
      <c r="P21" s="39"/>
      <c r="Q21" s="39"/>
      <c r="R21" s="39"/>
      <c r="S21" s="39"/>
      <c r="T21" s="39"/>
      <c r="U21" s="39"/>
      <c r="V21" s="39"/>
      <c r="W21" s="39"/>
      <c r="X21" s="39"/>
      <c r="Y21" s="39"/>
      <c r="Z21" s="39"/>
      <c r="AA21" s="39"/>
      <c r="AB21" s="39"/>
      <c r="AC21" s="39"/>
      <c r="AD21" s="39"/>
      <c r="AE21" s="39"/>
      <c r="AF21" s="39"/>
    </row>
    <row r="22" spans="1:32" ht="20.100000000000001" customHeight="1" x14ac:dyDescent="0.45">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sheetData>
  <phoneticPr fontId="2"/>
  <pageMargins left="0.70866141732283472" right="0.70866141732283472" top="0.74803149606299213" bottom="0.74803149606299213" header="0.31496062992125984" footer="0.31496062992125984"/>
  <pageSetup paperSize="9" scale="48" fitToHeight="0" orientation="landscape" r:id="rId1"/>
  <headerFooter>
    <oddFooter>&amp;C&amp;P / &amp;N &amp;R©2024 SMS DataTech Corporation. All rights reserved.</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Y60"/>
  <sheetViews>
    <sheetView showGridLines="0" view="pageBreakPreview" zoomScaleNormal="100" zoomScaleSheetLayoutView="100" workbookViewId="0"/>
  </sheetViews>
  <sheetFormatPr defaultColWidth="3.59765625" defaultRowHeight="20.100000000000001" customHeight="1" x14ac:dyDescent="0.45"/>
  <cols>
    <col min="1" max="1" width="1.09765625" style="7" customWidth="1"/>
    <col min="2" max="3" width="3.59765625" style="7" customWidth="1"/>
    <col min="4" max="4" width="30.09765625" style="7" customWidth="1"/>
    <col min="5" max="6" width="3.59765625" style="7" customWidth="1"/>
    <col min="7" max="7" width="30.09765625" style="7" customWidth="1"/>
    <col min="8" max="9" width="3.59765625" style="7" customWidth="1"/>
    <col min="10" max="10" width="30.09765625" style="7" customWidth="1"/>
    <col min="11" max="24" width="3.59765625" style="7" customWidth="1"/>
    <col min="25" max="25" width="1.09765625" style="7" customWidth="1"/>
    <col min="26" max="16384" width="3.59765625" style="7"/>
  </cols>
  <sheetData>
    <row r="1" spans="1:25" ht="5.25" customHeight="1" x14ac:dyDescent="0.45">
      <c r="A1"/>
      <c r="B1"/>
      <c r="C1"/>
      <c r="D1"/>
      <c r="E1"/>
      <c r="F1"/>
      <c r="G1"/>
      <c r="H1"/>
      <c r="I1"/>
      <c r="J1"/>
      <c r="K1"/>
      <c r="L1"/>
      <c r="M1"/>
      <c r="N1"/>
      <c r="O1"/>
      <c r="P1"/>
      <c r="Q1"/>
      <c r="R1"/>
      <c r="S1"/>
      <c r="T1"/>
      <c r="U1"/>
      <c r="V1"/>
      <c r="W1"/>
      <c r="X1"/>
      <c r="Y1"/>
    </row>
    <row r="2" spans="1:25" ht="20.100000000000001" customHeight="1" x14ac:dyDescent="0.45">
      <c r="A2"/>
      <c r="B2"/>
      <c r="C2"/>
      <c r="D2"/>
      <c r="E2"/>
      <c r="F2"/>
      <c r="G2"/>
      <c r="H2"/>
      <c r="I2"/>
      <c r="J2"/>
      <c r="K2"/>
      <c r="L2"/>
      <c r="M2"/>
      <c r="N2"/>
      <c r="O2"/>
      <c r="P2"/>
      <c r="Q2"/>
      <c r="R2"/>
      <c r="S2"/>
      <c r="T2"/>
      <c r="U2"/>
      <c r="V2"/>
      <c r="W2"/>
      <c r="X2"/>
      <c r="Y2"/>
    </row>
    <row r="3" spans="1:25" ht="20.100000000000001" customHeight="1" x14ac:dyDescent="0.45">
      <c r="A3"/>
      <c r="B3"/>
      <c r="C3"/>
      <c r="D3"/>
      <c r="E3"/>
      <c r="F3"/>
      <c r="G3"/>
      <c r="H3"/>
      <c r="I3"/>
      <c r="J3"/>
      <c r="K3"/>
      <c r="L3"/>
      <c r="M3"/>
      <c r="N3"/>
      <c r="O3"/>
      <c r="P3"/>
      <c r="Q3"/>
      <c r="R3"/>
      <c r="S3"/>
      <c r="T3"/>
      <c r="U3"/>
      <c r="V3"/>
      <c r="W3"/>
      <c r="X3"/>
      <c r="Y3"/>
    </row>
    <row r="4" spans="1:25" ht="20.100000000000001" customHeight="1" x14ac:dyDescent="0.45">
      <c r="A4"/>
      <c r="B4" s="39"/>
      <c r="C4" s="39"/>
      <c r="D4" s="39"/>
      <c r="E4" s="39"/>
      <c r="F4" s="39"/>
      <c r="G4" s="39"/>
      <c r="H4" s="39"/>
      <c r="I4" s="39"/>
      <c r="J4" s="39"/>
      <c r="K4" s="39"/>
      <c r="L4" s="39"/>
      <c r="M4" s="39"/>
      <c r="N4" s="39"/>
      <c r="O4" s="39"/>
      <c r="P4" s="39"/>
      <c r="Q4" s="39"/>
      <c r="R4" s="39"/>
      <c r="S4" s="39"/>
      <c r="T4" s="39"/>
      <c r="U4" s="39"/>
      <c r="V4" s="39"/>
      <c r="W4" s="39"/>
      <c r="X4" s="39"/>
      <c r="Y4"/>
    </row>
    <row r="5" spans="1:25" ht="5.25" customHeight="1" thickBot="1" x14ac:dyDescent="0.5">
      <c r="B5" s="14"/>
      <c r="C5" s="14"/>
      <c r="D5" s="14"/>
      <c r="E5" s="14"/>
      <c r="F5" s="14"/>
      <c r="G5" s="14"/>
      <c r="H5" s="14"/>
      <c r="I5" s="14"/>
      <c r="J5" s="14"/>
      <c r="K5" s="14"/>
      <c r="L5" s="14"/>
      <c r="M5" s="14"/>
      <c r="N5" s="14"/>
      <c r="O5" s="14"/>
      <c r="P5" s="14"/>
      <c r="Q5" s="14"/>
      <c r="R5" s="14"/>
      <c r="S5" s="14"/>
      <c r="T5" s="14"/>
      <c r="U5" s="14"/>
      <c r="V5" s="14"/>
      <c r="W5" s="14"/>
      <c r="X5" s="14"/>
    </row>
    <row r="6" spans="1:25" ht="20.100000000000001" customHeight="1" thickTop="1" x14ac:dyDescent="0.45">
      <c r="A6" s="10"/>
      <c r="B6" s="8"/>
      <c r="C6" s="8"/>
      <c r="D6" s="8"/>
      <c r="E6" s="8"/>
      <c r="F6" s="8"/>
      <c r="G6" s="8"/>
      <c r="H6" s="8"/>
      <c r="I6" s="8"/>
      <c r="J6" s="8"/>
      <c r="K6" s="8"/>
      <c r="L6" s="8"/>
      <c r="M6" s="8"/>
      <c r="N6" s="8"/>
      <c r="O6" s="8"/>
      <c r="P6" s="8"/>
      <c r="Q6" s="8"/>
      <c r="R6" s="8"/>
      <c r="S6" s="8"/>
      <c r="T6" s="8"/>
      <c r="U6" s="8"/>
      <c r="V6" s="8"/>
      <c r="W6" s="8"/>
      <c r="X6" s="8"/>
      <c r="Y6" s="16"/>
    </row>
    <row r="7" spans="1:25" ht="20.100000000000001" customHeight="1" x14ac:dyDescent="0.45">
      <c r="A7" s="10"/>
      <c r="B7" s="8"/>
      <c r="C7" s="8"/>
      <c r="D7" s="8"/>
      <c r="E7" s="8"/>
      <c r="F7" s="8"/>
      <c r="G7" s="8"/>
      <c r="H7" s="8"/>
      <c r="I7" s="8"/>
      <c r="J7" s="8"/>
      <c r="K7" s="8"/>
      <c r="L7" s="8"/>
      <c r="M7" s="8"/>
      <c r="N7" s="8"/>
      <c r="O7" s="8"/>
      <c r="P7" s="8"/>
      <c r="Q7" s="8"/>
      <c r="R7" s="5"/>
      <c r="S7" s="5"/>
      <c r="T7" s="5"/>
      <c r="U7" s="8"/>
      <c r="V7" s="8"/>
      <c r="W7" s="8"/>
      <c r="X7" s="8"/>
      <c r="Y7" s="16"/>
    </row>
    <row r="8" spans="1:25" ht="20.100000000000001" customHeight="1" x14ac:dyDescent="0.45">
      <c r="A8" s="10"/>
      <c r="B8" s="8"/>
      <c r="C8" s="8"/>
      <c r="D8" s="8"/>
      <c r="E8" s="8"/>
      <c r="F8" s="8"/>
      <c r="G8" s="8"/>
      <c r="H8" s="8"/>
      <c r="I8" s="8"/>
      <c r="J8" s="8"/>
      <c r="K8" s="8"/>
      <c r="L8" s="8"/>
      <c r="M8" s="8"/>
      <c r="N8" s="8"/>
      <c r="O8" s="8"/>
      <c r="P8" s="8"/>
      <c r="Q8" s="8"/>
      <c r="R8" s="5"/>
      <c r="S8" s="5"/>
      <c r="T8" s="5"/>
      <c r="U8" s="8"/>
      <c r="V8" s="8"/>
      <c r="W8" s="8"/>
      <c r="X8" s="8"/>
      <c r="Y8" s="16"/>
    </row>
    <row r="9" spans="1:25" ht="20.100000000000001" customHeight="1" x14ac:dyDescent="0.45">
      <c r="A9" s="10"/>
      <c r="B9" s="8"/>
      <c r="C9" s="8"/>
      <c r="D9" s="8"/>
      <c r="E9" s="8"/>
      <c r="F9" s="8"/>
      <c r="G9" s="8"/>
      <c r="H9" s="8"/>
      <c r="I9" s="8"/>
      <c r="J9" s="8"/>
      <c r="K9" s="8"/>
      <c r="L9" s="8"/>
      <c r="M9" s="8"/>
      <c r="N9" s="8"/>
      <c r="O9" s="8"/>
      <c r="P9" s="8"/>
      <c r="Q9" s="8"/>
      <c r="R9" s="5"/>
      <c r="S9" s="5"/>
      <c r="T9" s="5"/>
      <c r="U9" s="8"/>
      <c r="V9" s="8"/>
      <c r="W9" s="8"/>
      <c r="X9" s="8"/>
      <c r="Y9" s="16"/>
    </row>
    <row r="10" spans="1:25" ht="20.100000000000001" customHeight="1" x14ac:dyDescent="0.45">
      <c r="A10" s="10"/>
      <c r="B10" s="8"/>
      <c r="C10" s="8"/>
      <c r="D10" s="8"/>
      <c r="E10" s="8"/>
      <c r="F10" s="8"/>
      <c r="G10" s="8"/>
      <c r="H10" s="8"/>
      <c r="I10" s="8"/>
      <c r="J10" s="8"/>
      <c r="K10" s="8"/>
      <c r="L10" s="8"/>
      <c r="M10" s="8"/>
      <c r="N10" s="8"/>
      <c r="O10" s="8"/>
      <c r="P10" s="8"/>
      <c r="Q10" s="8"/>
      <c r="R10" s="5"/>
      <c r="S10" s="5"/>
      <c r="T10" s="5"/>
      <c r="U10" s="8"/>
      <c r="V10" s="8"/>
      <c r="W10" s="8"/>
      <c r="X10" s="8"/>
      <c r="Y10" s="16"/>
    </row>
    <row r="11" spans="1:25" ht="20.100000000000001" customHeight="1" x14ac:dyDescent="0.45">
      <c r="A11" s="10"/>
      <c r="B11" s="8"/>
      <c r="C11" s="8"/>
      <c r="D11" s="8"/>
      <c r="E11" s="8"/>
      <c r="F11" s="8"/>
      <c r="G11" s="8"/>
      <c r="H11" s="8"/>
      <c r="I11" s="8"/>
      <c r="J11" s="8"/>
      <c r="K11" s="8"/>
      <c r="L11" s="8"/>
      <c r="M11" s="8"/>
      <c r="N11" s="8"/>
      <c r="O11" s="8"/>
      <c r="P11" s="8"/>
      <c r="Q11" s="8"/>
      <c r="R11" s="5"/>
      <c r="S11" s="5"/>
      <c r="T11" s="5"/>
      <c r="U11" s="8"/>
      <c r="V11" s="8"/>
      <c r="W11" s="8"/>
      <c r="X11" s="8"/>
      <c r="Y11" s="16"/>
    </row>
    <row r="12" spans="1:25" ht="20.100000000000001" customHeight="1" x14ac:dyDescent="0.45">
      <c r="A12" s="10"/>
      <c r="B12" s="8"/>
      <c r="C12" s="8"/>
      <c r="D12" s="8"/>
      <c r="E12" s="8"/>
      <c r="F12" s="8"/>
      <c r="G12" s="8"/>
      <c r="H12" s="8"/>
      <c r="I12" s="8"/>
      <c r="J12" s="8"/>
      <c r="K12" s="8"/>
      <c r="L12" s="8"/>
      <c r="M12" s="8"/>
      <c r="N12" s="8"/>
      <c r="O12" s="8"/>
      <c r="P12" s="8"/>
      <c r="Q12" s="8"/>
      <c r="R12" s="5"/>
      <c r="S12" s="5"/>
      <c r="T12" s="5"/>
      <c r="U12" s="8"/>
      <c r="V12" s="8"/>
      <c r="W12" s="8"/>
      <c r="X12" s="8"/>
      <c r="Y12" s="16"/>
    </row>
    <row r="13" spans="1:25" ht="20.100000000000001" customHeight="1" x14ac:dyDescent="0.45">
      <c r="A13" s="10"/>
      <c r="B13" s="8"/>
      <c r="C13" s="8"/>
      <c r="D13" s="8"/>
      <c r="E13" s="8"/>
      <c r="F13" s="8"/>
      <c r="G13" s="8"/>
      <c r="H13" s="8"/>
      <c r="I13" s="8"/>
      <c r="J13" s="8"/>
      <c r="K13" s="8"/>
      <c r="L13" s="8"/>
      <c r="M13" s="8"/>
      <c r="N13" s="8"/>
      <c r="O13" s="8"/>
      <c r="P13" s="8"/>
      <c r="Q13" s="8"/>
      <c r="R13" s="5"/>
      <c r="S13" s="5"/>
      <c r="T13" s="5"/>
      <c r="U13" s="8"/>
      <c r="V13" s="8"/>
      <c r="W13" s="8"/>
      <c r="X13" s="8"/>
      <c r="Y13" s="16"/>
    </row>
    <row r="14" spans="1:25" ht="20.100000000000001" customHeight="1" x14ac:dyDescent="0.45">
      <c r="A14" s="10"/>
      <c r="B14" s="8"/>
      <c r="C14" s="8"/>
      <c r="D14" s="8"/>
      <c r="E14" s="8"/>
      <c r="F14" s="8"/>
      <c r="G14" s="8"/>
      <c r="H14" s="8"/>
      <c r="I14" s="8"/>
      <c r="J14" s="8"/>
      <c r="K14" s="8"/>
      <c r="L14" s="8"/>
      <c r="M14" s="8"/>
      <c r="N14" s="8"/>
      <c r="O14" s="8"/>
      <c r="P14" s="8"/>
      <c r="Q14" s="8"/>
      <c r="R14" s="5"/>
      <c r="S14" s="5"/>
      <c r="T14" s="5"/>
      <c r="U14" s="8"/>
      <c r="V14" s="8"/>
      <c r="W14" s="8"/>
      <c r="X14" s="8"/>
      <c r="Y14" s="16"/>
    </row>
    <row r="15" spans="1:25" ht="20.100000000000001" customHeight="1" x14ac:dyDescent="0.45">
      <c r="A15" s="10"/>
      <c r="B15" s="8"/>
      <c r="C15" s="8"/>
      <c r="D15" s="8"/>
      <c r="E15" s="8"/>
      <c r="F15" s="8"/>
      <c r="G15" s="8"/>
      <c r="H15" s="8"/>
      <c r="I15" s="8"/>
      <c r="J15" s="8"/>
      <c r="K15" s="8"/>
      <c r="L15" s="8"/>
      <c r="M15" s="8"/>
      <c r="N15" s="8"/>
      <c r="O15" s="8"/>
      <c r="P15" s="8"/>
      <c r="Q15" s="8"/>
      <c r="R15" s="5"/>
      <c r="S15" s="5"/>
      <c r="T15" s="5"/>
      <c r="U15" s="8"/>
      <c r="V15" s="8"/>
      <c r="W15" s="8"/>
      <c r="X15" s="8"/>
      <c r="Y15" s="16"/>
    </row>
    <row r="16" spans="1:25" ht="20.100000000000001" customHeight="1" x14ac:dyDescent="0.45">
      <c r="A16" s="10"/>
      <c r="B16" s="8"/>
      <c r="C16" s="8"/>
      <c r="D16" s="8"/>
      <c r="E16" s="8"/>
      <c r="F16" s="8"/>
      <c r="G16" s="8"/>
      <c r="H16" s="8"/>
      <c r="I16" s="8"/>
      <c r="J16" s="8"/>
      <c r="K16" s="8"/>
      <c r="L16" s="8"/>
      <c r="M16" s="8"/>
      <c r="N16" s="8"/>
      <c r="O16" s="8"/>
      <c r="P16" s="8"/>
      <c r="Q16" s="8"/>
      <c r="R16" s="5"/>
      <c r="S16" s="5"/>
      <c r="T16" s="5"/>
      <c r="U16" s="8"/>
      <c r="V16" s="8"/>
      <c r="W16" s="8"/>
      <c r="X16" s="8"/>
      <c r="Y16" s="16"/>
    </row>
    <row r="17" spans="1:25" ht="20.100000000000001" customHeight="1" x14ac:dyDescent="0.45">
      <c r="A17" s="10"/>
      <c r="B17" s="8"/>
      <c r="C17" s="8"/>
      <c r="D17" s="8"/>
      <c r="E17" s="8"/>
      <c r="F17" s="8"/>
      <c r="G17" s="8"/>
      <c r="H17" s="8"/>
      <c r="I17" s="8"/>
      <c r="J17" s="8"/>
      <c r="K17" s="8"/>
      <c r="L17" s="8"/>
      <c r="M17" s="8"/>
      <c r="N17" s="8"/>
      <c r="O17" s="8"/>
      <c r="P17" s="8"/>
      <c r="Q17" s="8"/>
      <c r="R17" s="5"/>
      <c r="S17" s="5"/>
      <c r="T17" s="5"/>
      <c r="U17" s="8"/>
      <c r="V17" s="8"/>
      <c r="W17" s="8"/>
      <c r="X17" s="8"/>
      <c r="Y17" s="16"/>
    </row>
    <row r="18" spans="1:25" ht="20.100000000000001" customHeight="1" x14ac:dyDescent="0.45">
      <c r="A18" s="10"/>
      <c r="B18" s="8"/>
      <c r="C18" s="8"/>
      <c r="D18" s="8"/>
      <c r="E18" s="8"/>
      <c r="F18" s="8"/>
      <c r="G18" s="8"/>
      <c r="H18" s="8"/>
      <c r="I18" s="8"/>
      <c r="J18" s="8"/>
      <c r="K18" s="8"/>
      <c r="L18" s="8"/>
      <c r="M18" s="8"/>
      <c r="N18" s="8"/>
      <c r="O18" s="8"/>
      <c r="P18" s="8"/>
      <c r="Q18" s="8"/>
      <c r="R18" s="5"/>
      <c r="S18" s="5"/>
      <c r="T18" s="5"/>
      <c r="U18" s="8"/>
      <c r="V18" s="8"/>
      <c r="W18" s="8"/>
      <c r="X18" s="8"/>
      <c r="Y18" s="16"/>
    </row>
    <row r="19" spans="1:25" ht="20.100000000000001" customHeight="1" x14ac:dyDescent="0.45">
      <c r="A19" s="10"/>
      <c r="B19" s="8"/>
      <c r="C19" s="8"/>
      <c r="D19" s="8"/>
      <c r="E19" s="8"/>
      <c r="F19" s="8"/>
      <c r="G19" s="8"/>
      <c r="H19" s="8"/>
      <c r="I19" s="8"/>
      <c r="J19" s="8"/>
      <c r="K19" s="8"/>
      <c r="L19" s="8"/>
      <c r="M19" s="8"/>
      <c r="N19" s="8"/>
      <c r="O19" s="8"/>
      <c r="P19" s="8"/>
      <c r="Q19" s="8"/>
      <c r="R19" s="5"/>
      <c r="S19" s="5"/>
      <c r="T19" s="5"/>
      <c r="U19" s="8"/>
      <c r="V19" s="8"/>
      <c r="W19" s="8"/>
      <c r="X19" s="8"/>
      <c r="Y19" s="16"/>
    </row>
    <row r="20" spans="1:25" ht="20.100000000000001" customHeight="1" x14ac:dyDescent="0.45">
      <c r="A20" s="10"/>
      <c r="B20" s="8"/>
      <c r="C20" s="8"/>
      <c r="D20" s="8"/>
      <c r="E20" s="8"/>
      <c r="F20" s="8"/>
      <c r="G20" s="8"/>
      <c r="H20" s="8"/>
      <c r="I20" s="8"/>
      <c r="J20" s="8"/>
      <c r="K20" s="8"/>
      <c r="L20" s="8"/>
      <c r="M20" s="8"/>
      <c r="N20" s="8"/>
      <c r="O20" s="8"/>
      <c r="P20" s="8"/>
      <c r="Q20" s="8"/>
      <c r="R20" s="5"/>
      <c r="S20" s="5"/>
      <c r="T20" s="5"/>
      <c r="U20" s="8"/>
      <c r="V20" s="8"/>
      <c r="W20" s="8"/>
      <c r="X20" s="8"/>
      <c r="Y20" s="16"/>
    </row>
    <row r="21" spans="1:25" ht="20.100000000000001" customHeight="1" x14ac:dyDescent="0.45">
      <c r="A21" s="10"/>
      <c r="B21" s="8"/>
      <c r="C21" s="8"/>
      <c r="D21" s="8"/>
      <c r="E21" s="8"/>
      <c r="F21" s="8"/>
      <c r="G21" s="8"/>
      <c r="H21" s="8"/>
      <c r="I21" s="8"/>
      <c r="J21" s="8"/>
      <c r="K21" s="8"/>
      <c r="L21" s="8"/>
      <c r="M21" s="8"/>
      <c r="N21" s="8"/>
      <c r="O21" s="8"/>
      <c r="P21" s="8"/>
      <c r="Q21" s="8"/>
      <c r="R21" s="5"/>
      <c r="S21" s="5"/>
      <c r="T21" s="5"/>
      <c r="U21" s="8"/>
      <c r="V21" s="8"/>
      <c r="W21" s="8"/>
      <c r="X21" s="8"/>
      <c r="Y21" s="16"/>
    </row>
    <row r="22" spans="1:25" ht="20.100000000000001" customHeight="1" x14ac:dyDescent="0.45">
      <c r="A22" s="10"/>
      <c r="B22" s="8"/>
      <c r="C22" s="8"/>
      <c r="D22" s="8"/>
      <c r="E22" s="8"/>
      <c r="F22" s="8"/>
      <c r="G22" s="8"/>
      <c r="H22" s="8"/>
      <c r="I22" s="8"/>
      <c r="J22" s="8"/>
      <c r="K22" s="8"/>
      <c r="L22" s="8"/>
      <c r="M22" s="8"/>
      <c r="N22" s="8"/>
      <c r="O22" s="8"/>
      <c r="P22" s="8"/>
      <c r="Q22" s="8"/>
      <c r="R22" s="5"/>
      <c r="S22" s="5"/>
      <c r="T22" s="5"/>
      <c r="U22" s="8"/>
      <c r="V22" s="8"/>
      <c r="W22" s="8"/>
      <c r="X22" s="8"/>
      <c r="Y22" s="16"/>
    </row>
    <row r="23" spans="1:25" ht="20.100000000000001" customHeight="1" x14ac:dyDescent="0.45">
      <c r="A23" s="10"/>
      <c r="B23" s="8"/>
      <c r="C23" s="8"/>
      <c r="D23" s="8"/>
      <c r="E23" s="8"/>
      <c r="F23" s="8"/>
      <c r="G23" s="8"/>
      <c r="H23" s="8"/>
      <c r="I23" s="8"/>
      <c r="J23" s="8"/>
      <c r="K23" s="8"/>
      <c r="L23" s="8"/>
      <c r="M23" s="8"/>
      <c r="N23" s="8"/>
      <c r="O23" s="8"/>
      <c r="P23" s="8"/>
      <c r="Q23" s="8"/>
      <c r="R23" s="5"/>
      <c r="S23" s="5"/>
      <c r="T23" s="5"/>
      <c r="U23" s="8"/>
      <c r="V23" s="8"/>
      <c r="W23" s="8"/>
      <c r="X23" s="8"/>
      <c r="Y23" s="16"/>
    </row>
    <row r="24" spans="1:25" ht="20.100000000000001" customHeight="1" x14ac:dyDescent="0.45">
      <c r="A24" s="10"/>
      <c r="B24" s="8"/>
      <c r="C24" s="8"/>
      <c r="D24" s="8"/>
      <c r="E24" s="8"/>
      <c r="F24" s="8"/>
      <c r="G24" s="8"/>
      <c r="H24" s="8"/>
      <c r="I24" s="8"/>
      <c r="J24" s="8"/>
      <c r="K24" s="8"/>
      <c r="L24" s="8"/>
      <c r="M24" s="8"/>
      <c r="N24" s="8"/>
      <c r="O24" s="8"/>
      <c r="P24" s="8"/>
      <c r="Q24" s="8"/>
      <c r="R24" s="5"/>
      <c r="S24" s="5"/>
      <c r="T24" s="5"/>
      <c r="U24" s="8"/>
      <c r="V24" s="8"/>
      <c r="W24" s="8"/>
      <c r="X24" s="8"/>
      <c r="Y24" s="16"/>
    </row>
    <row r="25" spans="1:25" ht="20.100000000000001" customHeight="1" x14ac:dyDescent="0.45">
      <c r="A25" s="10"/>
      <c r="B25" s="8"/>
      <c r="C25" s="8"/>
      <c r="D25" s="8"/>
      <c r="E25" s="8"/>
      <c r="F25" s="8"/>
      <c r="G25" s="8"/>
      <c r="H25" s="8"/>
      <c r="I25" s="8"/>
      <c r="J25" s="8"/>
      <c r="K25" s="8"/>
      <c r="L25" s="8"/>
      <c r="M25" s="8"/>
      <c r="N25" s="8"/>
      <c r="O25" s="8"/>
      <c r="P25" s="8"/>
      <c r="Q25" s="8"/>
      <c r="R25" s="5"/>
      <c r="S25" s="5"/>
      <c r="T25" s="5"/>
      <c r="U25" s="8"/>
      <c r="V25" s="8"/>
      <c r="W25" s="8"/>
      <c r="X25" s="8"/>
      <c r="Y25" s="16"/>
    </row>
    <row r="26" spans="1:25" ht="20.100000000000001" customHeight="1" x14ac:dyDescent="0.45">
      <c r="A26" s="10"/>
      <c r="B26" s="8"/>
      <c r="C26" s="8"/>
      <c r="D26" s="8"/>
      <c r="E26" s="8"/>
      <c r="F26" s="8"/>
      <c r="G26" s="8"/>
      <c r="H26" s="8"/>
      <c r="I26" s="8"/>
      <c r="J26" s="8"/>
      <c r="K26" s="8"/>
      <c r="L26" s="8"/>
      <c r="M26" s="8"/>
      <c r="N26" s="8"/>
      <c r="O26" s="8"/>
      <c r="P26" s="8"/>
      <c r="Q26" s="8"/>
      <c r="R26" s="5"/>
      <c r="S26" s="5"/>
      <c r="T26" s="5"/>
      <c r="U26" s="8"/>
      <c r="V26" s="8"/>
      <c r="W26" s="8"/>
      <c r="X26" s="8"/>
      <c r="Y26" s="16"/>
    </row>
    <row r="27" spans="1:25" ht="20.100000000000001" customHeight="1" x14ac:dyDescent="0.45">
      <c r="A27" s="10"/>
      <c r="B27" s="8"/>
      <c r="C27" s="8"/>
      <c r="D27" s="8"/>
      <c r="E27" s="8"/>
      <c r="F27" s="8"/>
      <c r="G27" s="8"/>
      <c r="H27" s="8"/>
      <c r="I27" s="8"/>
      <c r="J27" s="8"/>
      <c r="K27" s="8"/>
      <c r="L27" s="8"/>
      <c r="M27" s="8"/>
      <c r="N27" s="8"/>
      <c r="O27" s="8"/>
      <c r="P27" s="8"/>
      <c r="Q27" s="8"/>
      <c r="R27" s="5"/>
      <c r="S27" s="5"/>
      <c r="T27" s="5"/>
      <c r="U27" s="8"/>
      <c r="V27" s="8"/>
      <c r="W27" s="8"/>
      <c r="X27" s="8"/>
      <c r="Y27" s="16"/>
    </row>
    <row r="28" spans="1:25" ht="20.100000000000001" customHeight="1" x14ac:dyDescent="0.45">
      <c r="A28" s="10"/>
      <c r="B28" s="8"/>
      <c r="C28" s="8"/>
      <c r="D28" s="8"/>
      <c r="E28" s="8"/>
      <c r="F28" s="8"/>
      <c r="G28" s="8"/>
      <c r="H28" s="8"/>
      <c r="I28" s="8"/>
      <c r="J28" s="8"/>
      <c r="K28" s="8"/>
      <c r="L28" s="8"/>
      <c r="M28" s="8"/>
      <c r="N28" s="8"/>
      <c r="O28" s="8"/>
      <c r="P28" s="8"/>
      <c r="Q28" s="8"/>
      <c r="R28" s="5"/>
      <c r="S28" s="5"/>
      <c r="T28" s="5"/>
      <c r="U28" s="8"/>
      <c r="V28" s="8"/>
      <c r="W28" s="8"/>
      <c r="X28" s="8"/>
      <c r="Y28" s="16"/>
    </row>
    <row r="29" spans="1:25" ht="20.100000000000001" customHeight="1" x14ac:dyDescent="0.45">
      <c r="A29" s="10"/>
      <c r="B29" s="8"/>
      <c r="C29" s="8"/>
      <c r="D29" s="8"/>
      <c r="E29" s="8"/>
      <c r="F29" s="8"/>
      <c r="G29" s="8"/>
      <c r="H29" s="8"/>
      <c r="I29" s="8"/>
      <c r="J29" s="8"/>
      <c r="K29" s="8"/>
      <c r="L29" s="8"/>
      <c r="M29" s="8"/>
      <c r="N29" s="8"/>
      <c r="O29" s="8"/>
      <c r="P29" s="8"/>
      <c r="Q29" s="8"/>
      <c r="R29" s="5"/>
      <c r="S29" s="5"/>
      <c r="T29" s="5"/>
      <c r="U29" s="8"/>
      <c r="V29" s="8"/>
      <c r="W29" s="8"/>
      <c r="X29" s="8"/>
      <c r="Y29" s="16"/>
    </row>
    <row r="30" spans="1:25" ht="20.100000000000001" customHeight="1" x14ac:dyDescent="0.45">
      <c r="A30" s="10"/>
      <c r="B30" s="8"/>
      <c r="C30" s="8"/>
      <c r="D30" s="8"/>
      <c r="E30" s="8"/>
      <c r="F30" s="8"/>
      <c r="G30" s="8"/>
      <c r="H30" s="8"/>
      <c r="I30" s="8"/>
      <c r="J30" s="8"/>
      <c r="K30" s="8"/>
      <c r="L30" s="8"/>
      <c r="M30" s="8"/>
      <c r="N30" s="8"/>
      <c r="O30" s="8"/>
      <c r="P30" s="8"/>
      <c r="Q30" s="8"/>
      <c r="R30" s="5"/>
      <c r="S30" s="5"/>
      <c r="T30" s="5"/>
      <c r="U30" s="8"/>
      <c r="V30" s="8"/>
      <c r="W30" s="8"/>
      <c r="X30" s="8"/>
      <c r="Y30" s="16"/>
    </row>
    <row r="31" spans="1:25" ht="20.100000000000001" customHeight="1" x14ac:dyDescent="0.45">
      <c r="A31" s="10"/>
      <c r="B31" s="8"/>
      <c r="C31" s="8"/>
      <c r="D31" s="8"/>
      <c r="E31" s="8"/>
      <c r="F31" s="8"/>
      <c r="G31" s="8"/>
      <c r="H31" s="8"/>
      <c r="I31" s="8"/>
      <c r="J31" s="8"/>
      <c r="K31" s="8"/>
      <c r="L31" s="8"/>
      <c r="M31" s="8"/>
      <c r="N31" s="8"/>
      <c r="O31" s="8"/>
      <c r="P31" s="8"/>
      <c r="Q31" s="8"/>
      <c r="R31" s="5"/>
      <c r="S31" s="5"/>
      <c r="T31" s="5"/>
      <c r="U31" s="8"/>
      <c r="V31" s="8"/>
      <c r="W31" s="8"/>
      <c r="X31" s="8"/>
      <c r="Y31" s="16"/>
    </row>
    <row r="32" spans="1:25" ht="20.100000000000001" customHeight="1" x14ac:dyDescent="0.45">
      <c r="A32" s="10"/>
      <c r="B32" s="8"/>
      <c r="C32" s="8"/>
      <c r="D32" s="8"/>
      <c r="E32" s="8"/>
      <c r="F32" s="8"/>
      <c r="G32" s="8"/>
      <c r="H32" s="8"/>
      <c r="I32" s="8"/>
      <c r="J32" s="8"/>
      <c r="K32" s="8"/>
      <c r="L32" s="8"/>
      <c r="M32" s="8"/>
      <c r="N32" s="8"/>
      <c r="O32" s="8"/>
      <c r="P32" s="8"/>
      <c r="Q32" s="8"/>
      <c r="R32" s="5"/>
      <c r="S32" s="5"/>
      <c r="T32" s="5"/>
      <c r="U32" s="8"/>
      <c r="V32" s="8"/>
      <c r="W32" s="8"/>
      <c r="X32" s="8"/>
      <c r="Y32" s="16"/>
    </row>
    <row r="33" spans="1:25" ht="20.100000000000001" customHeight="1" x14ac:dyDescent="0.45">
      <c r="A33" s="10"/>
      <c r="B33" s="8"/>
      <c r="C33" s="8"/>
      <c r="D33" s="8"/>
      <c r="E33" s="8"/>
      <c r="F33" s="8"/>
      <c r="G33" s="8"/>
      <c r="H33" s="8"/>
      <c r="I33" s="8"/>
      <c r="J33" s="8"/>
      <c r="K33" s="8"/>
      <c r="L33" s="8"/>
      <c r="M33" s="8"/>
      <c r="N33" s="8"/>
      <c r="O33" s="8"/>
      <c r="P33" s="8"/>
      <c r="Q33" s="8"/>
      <c r="R33" s="5"/>
      <c r="S33" s="5"/>
      <c r="T33" s="5"/>
      <c r="U33" s="8"/>
      <c r="V33" s="8"/>
      <c r="W33" s="8"/>
      <c r="X33" s="8"/>
      <c r="Y33" s="16"/>
    </row>
    <row r="34" spans="1:25" ht="20.100000000000001" customHeight="1" x14ac:dyDescent="0.45">
      <c r="A34" s="10"/>
      <c r="D34" s="8"/>
      <c r="E34" s="8"/>
      <c r="F34" s="8"/>
      <c r="G34" s="8"/>
      <c r="H34" s="8"/>
      <c r="I34" s="8"/>
      <c r="J34" s="8"/>
      <c r="K34" s="8"/>
      <c r="L34" s="8"/>
      <c r="M34" s="8"/>
      <c r="N34" s="8"/>
      <c r="O34" s="8"/>
      <c r="P34" s="8"/>
      <c r="Q34" s="8"/>
      <c r="R34" s="8"/>
      <c r="S34" s="8"/>
      <c r="T34" s="8"/>
      <c r="U34" s="8"/>
      <c r="V34" s="8"/>
      <c r="W34" s="8"/>
      <c r="X34" s="8"/>
      <c r="Y34" s="16"/>
    </row>
    <row r="35" spans="1:25" ht="20.100000000000001" customHeight="1" thickBot="1" x14ac:dyDescent="0.5">
      <c r="A35" s="10"/>
      <c r="B35" s="36"/>
      <c r="C35" s="14"/>
      <c r="D35" s="14"/>
      <c r="E35" s="14"/>
      <c r="F35" s="14"/>
      <c r="G35" s="14"/>
      <c r="H35" s="14"/>
      <c r="I35" s="14"/>
      <c r="J35" s="14"/>
      <c r="K35" s="14"/>
      <c r="L35" s="14"/>
      <c r="M35" s="14"/>
      <c r="N35" s="14"/>
      <c r="O35" s="14"/>
      <c r="P35" s="14"/>
      <c r="Q35" s="14"/>
      <c r="R35" s="14"/>
      <c r="S35" s="14"/>
      <c r="T35" s="14"/>
      <c r="U35" s="14"/>
      <c r="V35" s="14"/>
      <c r="W35" s="14"/>
      <c r="X35" s="37"/>
      <c r="Y35" s="16"/>
    </row>
    <row r="36" spans="1:25" ht="20.100000000000001" customHeight="1" thickTop="1" x14ac:dyDescent="0.45">
      <c r="A36" s="8"/>
      <c r="B36" s="12"/>
      <c r="C36" s="12"/>
      <c r="D36" s="12"/>
      <c r="E36" s="12"/>
      <c r="F36" s="12"/>
      <c r="G36" s="12"/>
      <c r="H36" s="12"/>
      <c r="I36" s="12"/>
      <c r="J36" s="12"/>
      <c r="K36" s="12"/>
      <c r="L36" s="12"/>
      <c r="M36" s="12"/>
      <c r="N36" s="12"/>
      <c r="O36" s="12"/>
      <c r="P36" s="12"/>
      <c r="Q36" s="12"/>
      <c r="R36" s="12"/>
      <c r="S36" s="12"/>
      <c r="T36" s="12"/>
      <c r="U36" s="12"/>
      <c r="V36" s="12"/>
      <c r="W36" s="12"/>
      <c r="X36" s="12"/>
      <c r="Y36" s="8"/>
    </row>
    <row r="37" spans="1:25" ht="20.100000000000001" customHeight="1" x14ac:dyDescent="0.45">
      <c r="A37" s="8"/>
      <c r="B37" s="8"/>
      <c r="C37" s="8"/>
      <c r="D37" s="8"/>
      <c r="E37" s="8"/>
      <c r="F37" s="8"/>
      <c r="G37" s="8"/>
      <c r="H37" s="8"/>
      <c r="I37" s="8"/>
      <c r="J37" s="8"/>
      <c r="K37" s="8"/>
    </row>
    <row r="38" spans="1:25" ht="20.100000000000001" customHeight="1" thickBot="1" x14ac:dyDescent="0.5">
      <c r="A38" s="8"/>
      <c r="C38" s="25" t="s">
        <v>129</v>
      </c>
      <c r="D38" s="14"/>
      <c r="E38" s="8"/>
      <c r="F38" s="25" t="s">
        <v>130</v>
      </c>
      <c r="G38" s="14"/>
      <c r="H38" s="8"/>
      <c r="I38" s="25" t="s">
        <v>128</v>
      </c>
      <c r="J38" s="14"/>
      <c r="K38" s="8"/>
    </row>
    <row r="39" spans="1:25" ht="20.100000000000001" customHeight="1" thickTop="1" x14ac:dyDescent="0.45">
      <c r="B39" s="8"/>
      <c r="C39" s="22" t="s">
        <v>12</v>
      </c>
      <c r="D39" s="24" t="s">
        <v>275</v>
      </c>
      <c r="E39" s="8"/>
      <c r="F39" s="22" t="s">
        <v>12</v>
      </c>
      <c r="G39" s="107" t="s">
        <v>275</v>
      </c>
      <c r="H39" s="8"/>
      <c r="I39" s="22" t="s">
        <v>12</v>
      </c>
      <c r="J39" s="107" t="s">
        <v>275</v>
      </c>
      <c r="K39" s="39"/>
    </row>
    <row r="40" spans="1:25" ht="20.100000000000001" customHeight="1" x14ac:dyDescent="0.45">
      <c r="C40" s="19">
        <v>1</v>
      </c>
      <c r="D40" s="130" t="s">
        <v>300</v>
      </c>
      <c r="E40" s="8"/>
      <c r="F40" s="19">
        <v>1</v>
      </c>
      <c r="G40" s="130"/>
      <c r="H40" s="8"/>
      <c r="I40" s="19">
        <v>1</v>
      </c>
      <c r="J40" s="127"/>
    </row>
    <row r="41" spans="1:25" ht="20.100000000000001" customHeight="1" x14ac:dyDescent="0.45">
      <c r="C41" s="19">
        <v>2</v>
      </c>
      <c r="D41" s="130" t="s">
        <v>302</v>
      </c>
      <c r="E41" s="39"/>
      <c r="F41" s="19">
        <v>2</v>
      </c>
      <c r="G41" s="130"/>
      <c r="H41" s="8"/>
      <c r="I41" s="19">
        <v>2</v>
      </c>
      <c r="J41" s="127"/>
    </row>
    <row r="42" spans="1:25" ht="20.100000000000001" customHeight="1" x14ac:dyDescent="0.45">
      <c r="C42" s="19">
        <v>3</v>
      </c>
      <c r="D42" s="130" t="s">
        <v>303</v>
      </c>
      <c r="E42" s="39"/>
      <c r="F42" s="19">
        <v>3</v>
      </c>
      <c r="G42" s="130"/>
      <c r="H42" s="18"/>
      <c r="I42" s="19">
        <v>3</v>
      </c>
      <c r="J42" s="127"/>
    </row>
    <row r="43" spans="1:25" ht="20.100000000000001" customHeight="1" x14ac:dyDescent="0.45">
      <c r="C43" s="19">
        <v>4</v>
      </c>
      <c r="D43" s="130" t="s">
        <v>296</v>
      </c>
      <c r="E43" s="39"/>
      <c r="F43" s="19">
        <v>4</v>
      </c>
      <c r="G43" s="130"/>
      <c r="H43" s="18"/>
      <c r="I43" s="19">
        <v>4</v>
      </c>
      <c r="J43" s="127"/>
    </row>
    <row r="44" spans="1:25" ht="20.100000000000001" customHeight="1" x14ac:dyDescent="0.45">
      <c r="C44" s="19">
        <v>5</v>
      </c>
      <c r="D44" s="130" t="s">
        <v>298</v>
      </c>
      <c r="E44" s="39"/>
      <c r="F44" s="19">
        <v>5</v>
      </c>
      <c r="G44" s="130"/>
      <c r="H44" s="18"/>
      <c r="I44" s="19">
        <v>5</v>
      </c>
      <c r="J44" s="127"/>
    </row>
    <row r="45" spans="1:25" ht="20.100000000000001" customHeight="1" x14ac:dyDescent="0.45">
      <c r="C45" s="19">
        <v>6</v>
      </c>
      <c r="D45" s="130" t="s">
        <v>305</v>
      </c>
      <c r="E45" s="39"/>
      <c r="F45" s="19">
        <v>6</v>
      </c>
      <c r="G45" s="130"/>
      <c r="H45" s="18"/>
      <c r="I45" s="19">
        <v>6</v>
      </c>
      <c r="J45" s="127"/>
    </row>
    <row r="46" spans="1:25" ht="20.100000000000001" customHeight="1" x14ac:dyDescent="0.45">
      <c r="C46" s="19">
        <v>7</v>
      </c>
      <c r="D46" s="130" t="s">
        <v>307</v>
      </c>
      <c r="E46" s="39"/>
      <c r="F46" s="19">
        <v>7</v>
      </c>
      <c r="G46" s="130"/>
      <c r="H46" s="18"/>
      <c r="I46" s="19">
        <v>7</v>
      </c>
      <c r="J46" s="127"/>
    </row>
    <row r="47" spans="1:25" ht="20.100000000000001" customHeight="1" x14ac:dyDescent="0.45">
      <c r="C47" s="19">
        <v>8</v>
      </c>
      <c r="D47" s="130" t="s">
        <v>309</v>
      </c>
      <c r="E47" s="39"/>
      <c r="F47" s="19">
        <v>8</v>
      </c>
      <c r="G47" s="130"/>
      <c r="H47" s="18"/>
      <c r="I47" s="19">
        <v>8</v>
      </c>
      <c r="J47" s="127"/>
    </row>
    <row r="48" spans="1:25" ht="20.100000000000001" customHeight="1" x14ac:dyDescent="0.45">
      <c r="C48" s="19">
        <v>9</v>
      </c>
      <c r="D48" s="130" t="s">
        <v>311</v>
      </c>
      <c r="E48" s="39"/>
      <c r="F48" s="19">
        <v>9</v>
      </c>
      <c r="G48" s="130"/>
      <c r="H48" s="18"/>
      <c r="I48" s="19">
        <v>9</v>
      </c>
      <c r="J48" s="127"/>
    </row>
    <row r="49" spans="3:10" ht="20.100000000000001" customHeight="1" x14ac:dyDescent="0.45">
      <c r="C49" s="19">
        <v>10</v>
      </c>
      <c r="D49" s="130" t="s">
        <v>313</v>
      </c>
      <c r="E49" s="39"/>
      <c r="F49" s="19">
        <v>10</v>
      </c>
      <c r="G49" s="127"/>
      <c r="H49" s="18"/>
      <c r="I49" s="19">
        <v>10</v>
      </c>
      <c r="J49" s="127"/>
    </row>
    <row r="50" spans="3:10" ht="20.100000000000001" customHeight="1" x14ac:dyDescent="0.45">
      <c r="C50" s="19">
        <v>11</v>
      </c>
      <c r="D50" s="130" t="s">
        <v>315</v>
      </c>
      <c r="E50" s="39"/>
      <c r="F50" s="19">
        <v>11</v>
      </c>
      <c r="G50" s="127"/>
      <c r="H50" s="18"/>
      <c r="I50" s="19">
        <v>11</v>
      </c>
      <c r="J50" s="127"/>
    </row>
    <row r="51" spans="3:10" ht="20.100000000000001" customHeight="1" x14ac:dyDescent="0.45">
      <c r="C51" s="19">
        <v>12</v>
      </c>
      <c r="D51" s="130" t="s">
        <v>317</v>
      </c>
      <c r="E51" s="39"/>
      <c r="F51" s="19">
        <v>12</v>
      </c>
      <c r="G51" s="127"/>
      <c r="H51" s="18"/>
      <c r="I51" s="19">
        <v>12</v>
      </c>
      <c r="J51" s="127"/>
    </row>
    <row r="52" spans="3:10" ht="20.100000000000001" customHeight="1" x14ac:dyDescent="0.45">
      <c r="C52" s="19">
        <v>13</v>
      </c>
      <c r="D52" s="130" t="s">
        <v>319</v>
      </c>
      <c r="E52" s="39"/>
      <c r="F52" s="19">
        <v>13</v>
      </c>
      <c r="G52" s="127"/>
      <c r="H52" s="18"/>
      <c r="I52" s="19">
        <v>13</v>
      </c>
      <c r="J52" s="127"/>
    </row>
    <row r="53" spans="3:10" ht="20.100000000000001" customHeight="1" x14ac:dyDescent="0.45">
      <c r="C53" s="19">
        <v>14</v>
      </c>
      <c r="D53" s="130" t="s">
        <v>321</v>
      </c>
      <c r="E53" s="39"/>
      <c r="F53" s="19">
        <v>14</v>
      </c>
      <c r="G53" s="127"/>
      <c r="H53" s="18"/>
      <c r="I53" s="19">
        <v>14</v>
      </c>
      <c r="J53" s="127"/>
    </row>
    <row r="54" spans="3:10" ht="20.100000000000001" customHeight="1" x14ac:dyDescent="0.45">
      <c r="C54" s="19">
        <v>15</v>
      </c>
      <c r="D54" s="130"/>
      <c r="E54" s="39"/>
      <c r="F54" s="19">
        <v>15</v>
      </c>
      <c r="G54" s="127"/>
      <c r="H54" s="18"/>
      <c r="I54" s="19">
        <v>15</v>
      </c>
      <c r="J54" s="127"/>
    </row>
    <row r="55" spans="3:10" ht="20.100000000000001" customHeight="1" x14ac:dyDescent="0.45">
      <c r="C55" s="19">
        <v>16</v>
      </c>
      <c r="D55" s="130"/>
      <c r="E55" s="39"/>
      <c r="F55" s="19">
        <v>16</v>
      </c>
      <c r="G55" s="127"/>
      <c r="H55" s="18"/>
      <c r="I55" s="19">
        <v>16</v>
      </c>
      <c r="J55" s="127"/>
    </row>
    <row r="56" spans="3:10" ht="20.100000000000001" customHeight="1" x14ac:dyDescent="0.45">
      <c r="C56" s="19">
        <v>17</v>
      </c>
      <c r="D56" s="130"/>
      <c r="E56" s="39"/>
      <c r="F56" s="19">
        <v>17</v>
      </c>
      <c r="G56" s="127"/>
      <c r="H56" s="18"/>
      <c r="I56" s="19">
        <v>17</v>
      </c>
      <c r="J56" s="127"/>
    </row>
    <row r="57" spans="3:10" ht="20.100000000000001" customHeight="1" x14ac:dyDescent="0.45">
      <c r="C57" s="19">
        <v>18</v>
      </c>
      <c r="D57" s="130"/>
      <c r="E57" s="39"/>
      <c r="F57" s="19">
        <v>18</v>
      </c>
      <c r="G57" s="127"/>
      <c r="H57" s="18"/>
      <c r="I57" s="19">
        <v>18</v>
      </c>
      <c r="J57" s="127"/>
    </row>
    <row r="58" spans="3:10" ht="20.100000000000001" customHeight="1" x14ac:dyDescent="0.45">
      <c r="C58" s="19">
        <v>19</v>
      </c>
      <c r="D58" s="130"/>
      <c r="E58" s="39"/>
      <c r="F58" s="19">
        <v>19</v>
      </c>
      <c r="G58" s="127"/>
      <c r="H58" s="18"/>
      <c r="I58" s="19">
        <v>19</v>
      </c>
      <c r="J58" s="127"/>
    </row>
    <row r="59" spans="3:10" ht="20.100000000000001" customHeight="1" thickBot="1" x14ac:dyDescent="0.5">
      <c r="C59" s="26">
        <v>20</v>
      </c>
      <c r="D59" s="131"/>
      <c r="E59" s="39"/>
      <c r="F59" s="26">
        <v>20</v>
      </c>
      <c r="G59" s="129"/>
      <c r="H59" s="10"/>
      <c r="I59" s="26">
        <v>20</v>
      </c>
      <c r="J59" s="129"/>
    </row>
    <row r="60" spans="3:10" ht="20.100000000000001" customHeight="1" thickTop="1" x14ac:dyDescent="0.45"/>
  </sheetData>
  <phoneticPr fontId="2"/>
  <pageMargins left="0.70866141732283472" right="0.70866141732283472" top="0.74803149606299213" bottom="0.74803149606299213" header="0.31496062992125984" footer="0.31496062992125984"/>
  <pageSetup paperSize="9" scale="71" fitToHeight="0" orientation="landscape" r:id="rId1"/>
  <headerFooter>
    <oddFooter>&amp;C&amp;P / &amp;N &amp;R©2024 SMS DataTech Corporation. All rights reserved.</oddFooter>
  </headerFooter>
  <rowBreaks count="1" manualBreakCount="1">
    <brk id="36"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pageSetUpPr fitToPage="1"/>
  </sheetPr>
  <dimension ref="A1:EN76"/>
  <sheetViews>
    <sheetView showGridLines="0" view="pageBreakPreview" zoomScaleNormal="100" zoomScaleSheetLayoutView="100" workbookViewId="0"/>
  </sheetViews>
  <sheetFormatPr defaultColWidth="3.59765625" defaultRowHeight="20.100000000000001" customHeight="1" x14ac:dyDescent="0.45"/>
  <cols>
    <col min="1" max="1" width="1.09765625" style="7" customWidth="1"/>
    <col min="2" max="3" width="3.59765625" style="7" customWidth="1"/>
    <col min="4" max="4" width="5.8984375" style="7" bestFit="1" customWidth="1"/>
    <col min="5" max="5" width="9" style="7" bestFit="1" customWidth="1"/>
    <col min="6" max="6" width="5.59765625" style="7" bestFit="1" customWidth="1"/>
    <col min="7" max="7" width="8.8984375" style="7" bestFit="1" customWidth="1"/>
    <col min="8" max="8" width="5.8984375" style="7" bestFit="1" customWidth="1"/>
    <col min="9" max="14" width="3.59765625" style="7" customWidth="1"/>
    <col min="15" max="15" width="5.8984375" style="7" bestFit="1" customWidth="1"/>
    <col min="16" max="16" width="14.59765625" style="7" bestFit="1" customWidth="1"/>
    <col min="17" max="17" width="8.8984375" style="7" bestFit="1" customWidth="1"/>
    <col min="18" max="18" width="12.09765625" style="7" bestFit="1" customWidth="1"/>
    <col min="19" max="25" width="3.59765625" style="7" customWidth="1"/>
    <col min="26" max="26" width="9.59765625" style="7" bestFit="1" customWidth="1"/>
    <col min="27" max="27" width="11.09765625" style="7" bestFit="1" customWidth="1"/>
    <col min="28" max="28" width="12.5" style="7" bestFit="1" customWidth="1"/>
    <col min="29" max="29" width="25.3984375" style="7" bestFit="1" customWidth="1"/>
    <col min="30" max="31" width="3.59765625" style="7"/>
    <col min="32" max="33" width="5.8984375" style="7" bestFit="1" customWidth="1"/>
    <col min="34" max="34" width="4.3984375" style="7" bestFit="1" customWidth="1"/>
    <col min="35" max="35" width="5.59765625" style="7" bestFit="1" customWidth="1"/>
    <col min="36" max="41" width="3.59765625" style="7"/>
    <col min="42" max="42" width="5.8984375" style="7" bestFit="1" customWidth="1"/>
    <col min="43" max="43" width="4.3984375" style="7" bestFit="1" customWidth="1"/>
    <col min="44" max="44" width="8.09765625" style="7" bestFit="1" customWidth="1"/>
    <col min="45" max="45" width="4.3984375" style="7" bestFit="1" customWidth="1"/>
    <col min="46" max="46" width="12.09765625" style="7" bestFit="1" customWidth="1"/>
    <col min="47" max="47" width="10.3984375" style="7" bestFit="1" customWidth="1"/>
    <col min="48" max="48" width="11.09765625" style="7" bestFit="1" customWidth="1"/>
    <col min="49" max="51" width="4.3984375" style="7" bestFit="1" customWidth="1"/>
    <col min="52" max="54" width="3.59765625" style="7"/>
    <col min="55" max="55" width="9.59765625" style="7" bestFit="1" customWidth="1"/>
    <col min="56" max="56" width="11.09765625" style="7" bestFit="1" customWidth="1"/>
    <col min="57" max="57" width="12.5" style="7" bestFit="1" customWidth="1"/>
    <col min="58" max="58" width="28.3984375" style="7" bestFit="1" customWidth="1"/>
    <col min="59" max="60" width="3.59765625" style="7"/>
    <col min="61" max="62" width="5.8984375" style="7" bestFit="1" customWidth="1"/>
    <col min="63" max="63" width="4.3984375" style="7" bestFit="1" customWidth="1"/>
    <col min="64" max="64" width="5.59765625" style="7" bestFit="1" customWidth="1"/>
    <col min="65" max="69" width="3.59765625" style="7"/>
    <col min="70" max="70" width="9.59765625" style="7" bestFit="1" customWidth="1"/>
    <col min="71" max="71" width="5.8984375" style="7" bestFit="1" customWidth="1"/>
    <col min="72" max="72" width="4.3984375" style="7" bestFit="1" customWidth="1"/>
    <col min="73" max="75" width="3.59765625" style="7"/>
    <col min="76" max="76" width="9.59765625" style="7" bestFit="1" customWidth="1"/>
    <col min="77" max="77" width="11.09765625" style="7" bestFit="1" customWidth="1"/>
    <col min="78" max="78" width="12.5" style="7" bestFit="1" customWidth="1"/>
    <col min="79" max="79" width="26.5" style="7" bestFit="1" customWidth="1"/>
    <col min="80" max="81" width="3.59765625" style="7"/>
    <col min="82" max="83" width="5.8984375" style="7" bestFit="1" customWidth="1"/>
    <col min="84" max="84" width="4.3984375" style="7" bestFit="1" customWidth="1"/>
    <col min="85" max="85" width="8.8984375" style="7" bestFit="1" customWidth="1"/>
    <col min="86" max="86" width="5.59765625" style="7" bestFit="1" customWidth="1"/>
    <col min="87" max="87" width="8.59765625" style="7" bestFit="1" customWidth="1"/>
    <col min="88" max="94" width="3.59765625" style="7"/>
    <col min="95" max="95" width="10.8984375" style="7" bestFit="1" customWidth="1"/>
    <col min="96" max="96" width="5.8984375" style="7" bestFit="1" customWidth="1"/>
    <col min="97" max="97" width="4.3984375" style="7" bestFit="1" customWidth="1"/>
    <col min="98" max="100" width="3.59765625" style="7"/>
    <col min="101" max="101" width="9.59765625" style="7" bestFit="1" customWidth="1"/>
    <col min="102" max="102" width="11.09765625" style="7" bestFit="1" customWidth="1"/>
    <col min="103" max="103" width="12.5" style="7" bestFit="1" customWidth="1"/>
    <col min="104" max="104" width="4.3984375" style="7" bestFit="1" customWidth="1"/>
    <col min="105" max="106" width="3.59765625" style="7"/>
    <col min="107" max="108" width="5.8984375" style="7" bestFit="1" customWidth="1"/>
    <col min="109" max="109" width="4.3984375" style="7" bestFit="1" customWidth="1"/>
    <col min="110" max="110" width="5.59765625" style="7" bestFit="1" customWidth="1"/>
    <col min="111" max="115" width="3.59765625" style="7"/>
    <col min="116" max="116" width="4.3984375" style="7" bestFit="1" customWidth="1"/>
    <col min="117" max="119" width="3.59765625" style="7"/>
    <col min="120" max="120" width="9.59765625" style="7" bestFit="1" customWidth="1"/>
    <col min="121" max="121" width="11.09765625" style="7" bestFit="1" customWidth="1"/>
    <col min="122" max="122" width="12.5" style="7" bestFit="1" customWidth="1"/>
    <col min="123" max="123" width="4.3984375" style="7" bestFit="1" customWidth="1"/>
    <col min="124" max="125" width="3.59765625" style="7"/>
    <col min="126" max="127" width="5.8984375" style="7" bestFit="1" customWidth="1"/>
    <col min="128" max="128" width="4.3984375" style="7" bestFit="1" customWidth="1"/>
    <col min="129" max="133" width="3.59765625" style="7"/>
    <col min="134" max="134" width="10.09765625" style="7" bestFit="1" customWidth="1"/>
    <col min="135" max="135" width="12.59765625" style="7" bestFit="1" customWidth="1"/>
    <col min="136" max="136" width="14.3984375" style="7" bestFit="1" customWidth="1"/>
    <col min="137" max="137" width="4.3984375" style="7" bestFit="1" customWidth="1"/>
    <col min="138" max="140" width="3.59765625" style="7"/>
    <col min="141" max="141" width="9.59765625" style="7" bestFit="1" customWidth="1"/>
    <col min="142" max="142" width="11.09765625" style="7" bestFit="1" customWidth="1"/>
    <col min="143" max="143" width="12.5" style="7" bestFit="1" customWidth="1"/>
    <col min="144" max="144" width="4.3984375" style="7" bestFit="1" customWidth="1"/>
    <col min="145" max="16384" width="3.59765625" style="7"/>
  </cols>
  <sheetData>
    <row r="1" spans="1:144" ht="5.25" customHeight="1" x14ac:dyDescent="0.45">
      <c r="A1"/>
      <c r="B1"/>
      <c r="C1"/>
      <c r="D1"/>
      <c r="E1"/>
      <c r="F1"/>
      <c r="G1"/>
      <c r="H1"/>
      <c r="I1"/>
      <c r="J1"/>
      <c r="K1"/>
      <c r="L1"/>
      <c r="M1"/>
      <c r="N1"/>
      <c r="O1"/>
      <c r="P1"/>
      <c r="Q1"/>
      <c r="R1"/>
      <c r="S1"/>
      <c r="T1"/>
      <c r="U1"/>
      <c r="V1"/>
      <c r="W1"/>
      <c r="X1"/>
      <c r="Y1"/>
      <c r="Z1"/>
      <c r="AA1"/>
      <c r="AB1"/>
      <c r="AC1"/>
    </row>
    <row r="2" spans="1:144" ht="20.100000000000001" customHeight="1" x14ac:dyDescent="0.45">
      <c r="A2"/>
      <c r="B2"/>
      <c r="C2"/>
      <c r="D2"/>
      <c r="E2"/>
      <c r="F2"/>
      <c r="G2"/>
      <c r="H2"/>
      <c r="I2"/>
      <c r="J2"/>
      <c r="K2"/>
      <c r="L2"/>
      <c r="M2"/>
      <c r="N2"/>
      <c r="O2"/>
      <c r="P2"/>
      <c r="Q2"/>
      <c r="R2"/>
      <c r="S2"/>
      <c r="T2"/>
      <c r="U2"/>
      <c r="V2"/>
      <c r="W2"/>
      <c r="X2"/>
      <c r="Y2"/>
      <c r="Z2"/>
      <c r="AA2"/>
      <c r="AB2"/>
      <c r="AC2"/>
    </row>
    <row r="3" spans="1:144" ht="20.100000000000001" customHeight="1" x14ac:dyDescent="0.45">
      <c r="A3"/>
      <c r="B3"/>
      <c r="C3"/>
      <c r="D3"/>
      <c r="E3"/>
      <c r="F3"/>
      <c r="G3"/>
      <c r="H3"/>
      <c r="I3"/>
      <c r="J3"/>
      <c r="K3"/>
      <c r="L3"/>
      <c r="M3"/>
      <c r="N3"/>
      <c r="O3"/>
      <c r="P3"/>
      <c r="Q3"/>
      <c r="R3"/>
      <c r="S3"/>
      <c r="T3"/>
      <c r="U3"/>
      <c r="V3"/>
      <c r="W3"/>
      <c r="X3"/>
      <c r="Y3"/>
      <c r="Z3"/>
      <c r="AA3"/>
      <c r="AB3"/>
      <c r="AC3"/>
    </row>
    <row r="4" spans="1:144" ht="20.100000000000001" customHeight="1" x14ac:dyDescent="0.45">
      <c r="A4"/>
      <c r="B4"/>
      <c r="C4"/>
      <c r="D4"/>
      <c r="E4"/>
      <c r="F4"/>
      <c r="G4"/>
      <c r="H4"/>
      <c r="I4"/>
      <c r="J4"/>
      <c r="K4"/>
      <c r="L4"/>
      <c r="M4"/>
      <c r="N4"/>
      <c r="O4"/>
      <c r="P4"/>
      <c r="Q4"/>
      <c r="R4"/>
      <c r="S4"/>
      <c r="T4"/>
      <c r="U4"/>
      <c r="V4"/>
      <c r="W4"/>
      <c r="X4"/>
      <c r="Y4"/>
      <c r="Z4"/>
      <c r="AA4"/>
      <c r="AB4"/>
      <c r="AC4"/>
    </row>
    <row r="5" spans="1:144" ht="5.25" customHeight="1" x14ac:dyDescent="0.45">
      <c r="A5"/>
      <c r="B5"/>
      <c r="C5"/>
      <c r="D5"/>
      <c r="E5"/>
      <c r="F5"/>
      <c r="G5"/>
      <c r="H5"/>
      <c r="I5"/>
      <c r="J5"/>
      <c r="K5"/>
      <c r="L5"/>
      <c r="M5"/>
      <c r="N5"/>
      <c r="O5"/>
      <c r="P5"/>
      <c r="Q5"/>
      <c r="R5"/>
      <c r="S5"/>
      <c r="T5"/>
      <c r="U5"/>
      <c r="V5"/>
      <c r="W5"/>
      <c r="X5"/>
      <c r="Y5"/>
      <c r="Z5"/>
      <c r="AA5"/>
      <c r="AB5"/>
      <c r="AC5"/>
    </row>
    <row r="6" spans="1:144" ht="19.5" customHeight="1" x14ac:dyDescent="0.45">
      <c r="B6" s="48" t="s">
        <v>129</v>
      </c>
    </row>
    <row r="7" spans="1:144" ht="20.100000000000001" customHeight="1" x14ac:dyDescent="0.45">
      <c r="A7" s="8"/>
      <c r="B7" s="8"/>
    </row>
    <row r="8" spans="1:144" ht="20.100000000000001" customHeight="1" thickBot="1" x14ac:dyDescent="0.5">
      <c r="A8" s="8"/>
      <c r="B8" s="8"/>
      <c r="C8" s="25" t="s">
        <v>227</v>
      </c>
      <c r="D8" s="25"/>
      <c r="E8" s="8"/>
      <c r="F8" s="8"/>
      <c r="G8" s="8"/>
      <c r="H8" s="8"/>
      <c r="I8" s="8"/>
      <c r="J8" s="8"/>
      <c r="K8" s="8"/>
      <c r="L8" s="8"/>
      <c r="M8" s="8"/>
      <c r="N8" s="8"/>
      <c r="O8" s="8"/>
      <c r="P8" s="8"/>
      <c r="Q8" s="8"/>
      <c r="R8" s="8"/>
      <c r="S8" s="8"/>
      <c r="T8" s="8"/>
      <c r="U8" s="8"/>
      <c r="V8" s="8"/>
      <c r="W8" s="8"/>
      <c r="X8" s="8"/>
      <c r="Y8" s="8"/>
      <c r="Z8" s="8"/>
      <c r="AA8" s="8"/>
      <c r="AB8" s="8"/>
      <c r="AC8" s="8"/>
      <c r="AD8" s="8"/>
      <c r="AE8" s="25" t="s">
        <v>228</v>
      </c>
      <c r="AF8" s="25"/>
      <c r="AG8" s="8"/>
      <c r="BH8" s="25" t="s">
        <v>229</v>
      </c>
      <c r="BI8" s="25"/>
      <c r="BJ8" s="14"/>
      <c r="BK8" s="14"/>
      <c r="BL8" s="14"/>
      <c r="BM8" s="14"/>
      <c r="BN8" s="14"/>
      <c r="BO8" s="14"/>
      <c r="BP8" s="14"/>
      <c r="BQ8" s="14"/>
      <c r="BR8" s="14"/>
      <c r="BS8" s="14"/>
      <c r="BT8" s="14"/>
      <c r="BU8" s="14"/>
      <c r="BV8" s="14"/>
      <c r="BW8" s="14"/>
      <c r="BX8" s="14"/>
      <c r="BY8" s="14"/>
      <c r="BZ8" s="14"/>
      <c r="CA8" s="14"/>
      <c r="CC8" s="25" t="s">
        <v>230</v>
      </c>
      <c r="CD8" s="25"/>
      <c r="CE8" s="14"/>
      <c r="CF8" s="14"/>
      <c r="CG8" s="14"/>
      <c r="CH8" s="14"/>
      <c r="CI8" s="14"/>
      <c r="CJ8" s="14"/>
      <c r="CK8" s="14"/>
      <c r="CL8" s="14"/>
      <c r="CM8" s="14"/>
      <c r="CN8" s="14"/>
      <c r="CO8" s="14"/>
      <c r="CP8" s="14"/>
      <c r="CQ8" s="14"/>
      <c r="CR8" s="14"/>
      <c r="CS8" s="14"/>
      <c r="CT8" s="14"/>
      <c r="CU8" s="14"/>
      <c r="CV8" s="14"/>
      <c r="CW8" s="14"/>
      <c r="CX8" s="14"/>
      <c r="CY8" s="14"/>
      <c r="CZ8" s="14"/>
      <c r="DB8" s="25" t="s">
        <v>231</v>
      </c>
      <c r="DC8" s="25"/>
      <c r="DD8" s="14"/>
      <c r="DE8" s="14"/>
      <c r="DF8" s="14"/>
      <c r="DG8" s="14"/>
      <c r="DH8" s="14"/>
      <c r="DI8" s="14"/>
      <c r="DJ8" s="14"/>
      <c r="DK8" s="14"/>
      <c r="DL8" s="14"/>
      <c r="DM8" s="14"/>
      <c r="DN8" s="14"/>
      <c r="DO8" s="14"/>
      <c r="DP8" s="14"/>
      <c r="DQ8" s="14"/>
      <c r="DR8" s="14"/>
      <c r="DS8" s="14"/>
      <c r="DU8" s="25" t="s">
        <v>232</v>
      </c>
      <c r="DV8" s="25"/>
      <c r="DW8" s="14"/>
      <c r="DX8" s="14"/>
      <c r="DY8" s="14"/>
      <c r="DZ8" s="14"/>
      <c r="EA8" s="14"/>
      <c r="EB8" s="14"/>
      <c r="EC8" s="14"/>
      <c r="ED8" s="14"/>
      <c r="EE8" s="14"/>
      <c r="EF8" s="14"/>
      <c r="EG8" s="14"/>
      <c r="EH8" s="14"/>
      <c r="EI8" s="14"/>
      <c r="EJ8" s="14"/>
      <c r="EK8" s="14"/>
      <c r="EL8" s="14"/>
      <c r="EM8" s="14"/>
      <c r="EN8" s="14"/>
    </row>
    <row r="9" spans="1:144" ht="126.6" thickTop="1" x14ac:dyDescent="0.45">
      <c r="B9" s="8"/>
      <c r="C9" s="22" t="s">
        <v>124</v>
      </c>
      <c r="D9" s="98" t="s">
        <v>264</v>
      </c>
      <c r="E9" s="23" t="s">
        <v>19</v>
      </c>
      <c r="F9" s="23" t="s">
        <v>98</v>
      </c>
      <c r="G9" s="23" t="s">
        <v>267</v>
      </c>
      <c r="H9" s="23" t="s">
        <v>103</v>
      </c>
      <c r="I9" s="42" t="s">
        <v>97</v>
      </c>
      <c r="J9" s="42" t="s">
        <v>102</v>
      </c>
      <c r="K9" s="42" t="s">
        <v>108</v>
      </c>
      <c r="L9" s="42" t="s">
        <v>101</v>
      </c>
      <c r="M9" s="42" t="s">
        <v>96</v>
      </c>
      <c r="N9" s="42" t="s">
        <v>107</v>
      </c>
      <c r="O9" s="23" t="s">
        <v>100</v>
      </c>
      <c r="P9" s="23" t="s">
        <v>90</v>
      </c>
      <c r="Q9" s="23" t="s">
        <v>123</v>
      </c>
      <c r="R9" s="23" t="s">
        <v>114</v>
      </c>
      <c r="S9" s="42" t="s">
        <v>122</v>
      </c>
      <c r="T9" s="42" t="s">
        <v>121</v>
      </c>
      <c r="U9" s="42" t="s">
        <v>120</v>
      </c>
      <c r="V9" s="42" t="s">
        <v>119</v>
      </c>
      <c r="W9" s="42" t="s">
        <v>89</v>
      </c>
      <c r="X9" s="42" t="s">
        <v>88</v>
      </c>
      <c r="Y9" s="42" t="s">
        <v>87</v>
      </c>
      <c r="Z9" s="23" t="s">
        <v>265</v>
      </c>
      <c r="AA9" s="23" t="s">
        <v>266</v>
      </c>
      <c r="AB9" s="23" t="s">
        <v>86</v>
      </c>
      <c r="AC9" s="107" t="s">
        <v>23</v>
      </c>
      <c r="AD9" s="8"/>
      <c r="AE9" s="22" t="s">
        <v>104</v>
      </c>
      <c r="AF9" s="98" t="s">
        <v>264</v>
      </c>
      <c r="AG9" s="23" t="s">
        <v>19</v>
      </c>
      <c r="AH9" s="23" t="s">
        <v>98</v>
      </c>
      <c r="AI9" s="23" t="s">
        <v>118</v>
      </c>
      <c r="AJ9" s="42" t="s">
        <v>97</v>
      </c>
      <c r="AK9" s="42" t="s">
        <v>102</v>
      </c>
      <c r="AL9" s="42" t="s">
        <v>108</v>
      </c>
      <c r="AM9" s="42" t="s">
        <v>101</v>
      </c>
      <c r="AN9" s="42" t="s">
        <v>96</v>
      </c>
      <c r="AO9" s="42" t="s">
        <v>117</v>
      </c>
      <c r="AP9" s="23" t="s">
        <v>100</v>
      </c>
      <c r="AQ9" s="23" t="s">
        <v>116</v>
      </c>
      <c r="AR9" s="109" t="s">
        <v>274</v>
      </c>
      <c r="AS9" s="23" t="s">
        <v>270</v>
      </c>
      <c r="AT9" s="23" t="s">
        <v>273</v>
      </c>
      <c r="AU9" s="23" t="s">
        <v>115</v>
      </c>
      <c r="AV9" s="23" t="s">
        <v>114</v>
      </c>
      <c r="AW9" s="23" t="s">
        <v>113</v>
      </c>
      <c r="AX9" s="23" t="s">
        <v>112</v>
      </c>
      <c r="AY9" s="23" t="s">
        <v>90</v>
      </c>
      <c r="AZ9" s="42" t="s">
        <v>89</v>
      </c>
      <c r="BA9" s="42" t="s">
        <v>88</v>
      </c>
      <c r="BB9" s="42" t="s">
        <v>87</v>
      </c>
      <c r="BC9" s="23" t="s">
        <v>265</v>
      </c>
      <c r="BD9" s="23" t="s">
        <v>266</v>
      </c>
      <c r="BE9" s="23" t="s">
        <v>86</v>
      </c>
      <c r="BF9" s="107" t="s">
        <v>23</v>
      </c>
      <c r="BH9" s="22" t="s">
        <v>85</v>
      </c>
      <c r="BI9" s="98" t="s">
        <v>264</v>
      </c>
      <c r="BJ9" s="23" t="s">
        <v>19</v>
      </c>
      <c r="BK9" s="23" t="s">
        <v>98</v>
      </c>
      <c r="BL9" s="23" t="s">
        <v>103</v>
      </c>
      <c r="BM9" s="42" t="s">
        <v>97</v>
      </c>
      <c r="BN9" s="42" t="s">
        <v>102</v>
      </c>
      <c r="BO9" s="42" t="s">
        <v>108</v>
      </c>
      <c r="BP9" s="42" t="s">
        <v>101</v>
      </c>
      <c r="BQ9" s="42" t="s">
        <v>96</v>
      </c>
      <c r="BR9" s="23" t="s">
        <v>111</v>
      </c>
      <c r="BS9" s="23" t="s">
        <v>110</v>
      </c>
      <c r="BT9" s="23" t="s">
        <v>90</v>
      </c>
      <c r="BU9" s="42" t="s">
        <v>89</v>
      </c>
      <c r="BV9" s="42" t="s">
        <v>88</v>
      </c>
      <c r="BW9" s="42" t="s">
        <v>87</v>
      </c>
      <c r="BX9" s="23" t="s">
        <v>265</v>
      </c>
      <c r="BY9" s="23" t="s">
        <v>266</v>
      </c>
      <c r="BZ9" s="23" t="s">
        <v>86</v>
      </c>
      <c r="CA9" s="107" t="s">
        <v>23</v>
      </c>
      <c r="CC9" s="22" t="s">
        <v>109</v>
      </c>
      <c r="CD9" s="98" t="s">
        <v>264</v>
      </c>
      <c r="CE9" s="23" t="s">
        <v>19</v>
      </c>
      <c r="CF9" s="23" t="s">
        <v>98</v>
      </c>
      <c r="CG9" s="23" t="s">
        <v>267</v>
      </c>
      <c r="CH9" s="23" t="s">
        <v>103</v>
      </c>
      <c r="CI9" s="23" t="s">
        <v>272</v>
      </c>
      <c r="CJ9" s="42" t="s">
        <v>97</v>
      </c>
      <c r="CK9" s="42" t="s">
        <v>102</v>
      </c>
      <c r="CL9" s="42" t="s">
        <v>108</v>
      </c>
      <c r="CM9" s="42" t="s">
        <v>101</v>
      </c>
      <c r="CN9" s="42" t="s">
        <v>96</v>
      </c>
      <c r="CO9" s="42" t="s">
        <v>107</v>
      </c>
      <c r="CP9" s="42" t="s">
        <v>106</v>
      </c>
      <c r="CQ9" s="23" t="s">
        <v>105</v>
      </c>
      <c r="CR9" s="23" t="s">
        <v>100</v>
      </c>
      <c r="CS9" s="23" t="s">
        <v>90</v>
      </c>
      <c r="CT9" s="42" t="s">
        <v>89</v>
      </c>
      <c r="CU9" s="42" t="s">
        <v>88</v>
      </c>
      <c r="CV9" s="42" t="s">
        <v>87</v>
      </c>
      <c r="CW9" s="23" t="s">
        <v>265</v>
      </c>
      <c r="CX9" s="23" t="s">
        <v>266</v>
      </c>
      <c r="CY9" s="23" t="s">
        <v>86</v>
      </c>
      <c r="CZ9" s="107" t="s">
        <v>23</v>
      </c>
      <c r="DB9" s="22" t="s">
        <v>104</v>
      </c>
      <c r="DC9" s="98" t="s">
        <v>264</v>
      </c>
      <c r="DD9" s="23" t="s">
        <v>19</v>
      </c>
      <c r="DE9" s="23" t="s">
        <v>98</v>
      </c>
      <c r="DF9" s="23" t="s">
        <v>103</v>
      </c>
      <c r="DG9" s="42" t="s">
        <v>97</v>
      </c>
      <c r="DH9" s="42" t="s">
        <v>102</v>
      </c>
      <c r="DI9" s="42" t="s">
        <v>101</v>
      </c>
      <c r="DJ9" s="42" t="s">
        <v>96</v>
      </c>
      <c r="DK9" s="42" t="s">
        <v>100</v>
      </c>
      <c r="DL9" s="23" t="s">
        <v>90</v>
      </c>
      <c r="DM9" s="42" t="s">
        <v>89</v>
      </c>
      <c r="DN9" s="42" t="s">
        <v>88</v>
      </c>
      <c r="DO9" s="42" t="s">
        <v>87</v>
      </c>
      <c r="DP9" s="23" t="s">
        <v>265</v>
      </c>
      <c r="DQ9" s="23" t="s">
        <v>266</v>
      </c>
      <c r="DR9" s="23" t="s">
        <v>86</v>
      </c>
      <c r="DS9" s="107" t="s">
        <v>23</v>
      </c>
      <c r="DU9" s="22" t="s">
        <v>99</v>
      </c>
      <c r="DV9" s="98" t="s">
        <v>264</v>
      </c>
      <c r="DW9" s="23" t="s">
        <v>19</v>
      </c>
      <c r="DX9" s="23" t="s">
        <v>98</v>
      </c>
      <c r="DY9" s="42" t="s">
        <v>97</v>
      </c>
      <c r="DZ9" s="42" t="s">
        <v>96</v>
      </c>
      <c r="EA9" s="42" t="s">
        <v>95</v>
      </c>
      <c r="EB9" s="42" t="s">
        <v>271</v>
      </c>
      <c r="EC9" s="42" t="s">
        <v>94</v>
      </c>
      <c r="ED9" s="23" t="s">
        <v>93</v>
      </c>
      <c r="EE9" s="23" t="s">
        <v>92</v>
      </c>
      <c r="EF9" s="23" t="s">
        <v>91</v>
      </c>
      <c r="EG9" s="23" t="s">
        <v>90</v>
      </c>
      <c r="EH9" s="42" t="s">
        <v>89</v>
      </c>
      <c r="EI9" s="42" t="s">
        <v>88</v>
      </c>
      <c r="EJ9" s="42" t="s">
        <v>87</v>
      </c>
      <c r="EK9" s="23" t="s">
        <v>265</v>
      </c>
      <c r="EL9" s="23" t="s">
        <v>266</v>
      </c>
      <c r="EM9" s="23" t="s">
        <v>86</v>
      </c>
      <c r="EN9" s="107" t="s">
        <v>23</v>
      </c>
    </row>
    <row r="10" spans="1:144" ht="20.100000000000001" customHeight="1" x14ac:dyDescent="0.45">
      <c r="A10" s="8"/>
      <c r="B10" s="8"/>
      <c r="C10" s="19">
        <v>1</v>
      </c>
      <c r="D10" s="95" t="s">
        <v>332</v>
      </c>
      <c r="E10" s="99" t="s">
        <v>299</v>
      </c>
      <c r="F10" s="104" t="s">
        <v>38</v>
      </c>
      <c r="G10" s="104"/>
      <c r="H10" s="104"/>
      <c r="I10" s="41" t="s">
        <v>262</v>
      </c>
      <c r="J10" s="41"/>
      <c r="K10" s="41"/>
      <c r="L10" s="41"/>
      <c r="M10" s="41"/>
      <c r="N10" s="41"/>
      <c r="O10" s="104"/>
      <c r="P10" s="104"/>
      <c r="Q10" s="104" t="s">
        <v>346</v>
      </c>
      <c r="R10" s="104"/>
      <c r="S10" s="41" t="s">
        <v>262</v>
      </c>
      <c r="T10" s="41"/>
      <c r="U10" s="41"/>
      <c r="V10" s="41"/>
      <c r="W10" s="104" t="s">
        <v>346</v>
      </c>
      <c r="X10" s="41" t="s">
        <v>262</v>
      </c>
      <c r="Y10" s="41"/>
      <c r="Z10" s="99"/>
      <c r="AA10" s="99"/>
      <c r="AB10" s="116"/>
      <c r="AC10" s="118" t="s">
        <v>323</v>
      </c>
      <c r="AE10" s="19">
        <v>1</v>
      </c>
      <c r="AF10" s="95" t="s">
        <v>332</v>
      </c>
      <c r="AG10" s="99" t="s">
        <v>314</v>
      </c>
      <c r="AH10" s="104" t="s">
        <v>47</v>
      </c>
      <c r="AI10" s="104"/>
      <c r="AJ10" s="41"/>
      <c r="AK10" s="41"/>
      <c r="AL10" s="41"/>
      <c r="AM10" s="41"/>
      <c r="AN10" s="41"/>
      <c r="AO10" s="41"/>
      <c r="AP10" s="104"/>
      <c r="AQ10" s="104" t="s">
        <v>52</v>
      </c>
      <c r="AR10" s="41" t="s">
        <v>262</v>
      </c>
      <c r="AS10" s="104"/>
      <c r="AT10" s="104"/>
      <c r="AU10" s="104"/>
      <c r="AV10" s="104"/>
      <c r="AW10" s="104"/>
      <c r="AX10" s="104"/>
      <c r="AY10" s="104"/>
      <c r="AZ10" s="41"/>
      <c r="BA10" s="41"/>
      <c r="BB10" s="41"/>
      <c r="BC10" s="99"/>
      <c r="BD10" s="99"/>
      <c r="BE10" s="116"/>
      <c r="BF10" s="118" t="s">
        <v>324</v>
      </c>
      <c r="BH10" s="19">
        <v>1</v>
      </c>
      <c r="BI10" s="95"/>
      <c r="BJ10" s="99"/>
      <c r="BK10" s="104"/>
      <c r="BL10" s="104"/>
      <c r="BM10" s="41"/>
      <c r="BN10" s="41"/>
      <c r="BO10" s="41"/>
      <c r="BP10" s="41"/>
      <c r="BQ10" s="41"/>
      <c r="BR10" s="104"/>
      <c r="BS10" s="104"/>
      <c r="BT10" s="104"/>
      <c r="BU10" s="41"/>
      <c r="BV10" s="41"/>
      <c r="BW10" s="41"/>
      <c r="BX10" s="99"/>
      <c r="BY10" s="99"/>
      <c r="BZ10" s="116"/>
      <c r="CA10" s="118"/>
      <c r="CC10" s="19">
        <v>1</v>
      </c>
      <c r="CD10" s="95"/>
      <c r="CE10" s="99"/>
      <c r="CF10" s="104"/>
      <c r="CG10" s="104"/>
      <c r="CH10" s="104"/>
      <c r="CI10" s="104"/>
      <c r="CJ10" s="41"/>
      <c r="CK10" s="41"/>
      <c r="CL10" s="41"/>
      <c r="CM10" s="41"/>
      <c r="CN10" s="41"/>
      <c r="CO10" s="41"/>
      <c r="CP10" s="41"/>
      <c r="CQ10" s="104"/>
      <c r="CR10" s="104"/>
      <c r="CS10" s="104"/>
      <c r="CT10" s="41" t="s">
        <v>20</v>
      </c>
      <c r="CU10" s="41" t="s">
        <v>20</v>
      </c>
      <c r="CV10" s="41" t="s">
        <v>20</v>
      </c>
      <c r="CW10" s="99"/>
      <c r="CX10" s="99"/>
      <c r="CY10" s="116"/>
      <c r="CZ10" s="118"/>
      <c r="DB10" s="19">
        <v>1</v>
      </c>
      <c r="DC10" s="95"/>
      <c r="DD10" s="99"/>
      <c r="DE10" s="104"/>
      <c r="DF10" s="104"/>
      <c r="DG10" s="41"/>
      <c r="DH10" s="41"/>
      <c r="DI10" s="41"/>
      <c r="DJ10" s="41"/>
      <c r="DK10" s="41"/>
      <c r="DL10" s="104"/>
      <c r="DM10" s="41" t="s">
        <v>20</v>
      </c>
      <c r="DN10" s="41" t="s">
        <v>20</v>
      </c>
      <c r="DO10" s="41" t="s">
        <v>20</v>
      </c>
      <c r="DP10" s="99"/>
      <c r="DQ10" s="99"/>
      <c r="DR10" s="116"/>
      <c r="DS10" s="118"/>
      <c r="DU10" s="19">
        <v>1</v>
      </c>
      <c r="DV10" s="95"/>
      <c r="DW10" s="99"/>
      <c r="DX10" s="104"/>
      <c r="DY10" s="41"/>
      <c r="DZ10" s="41"/>
      <c r="EA10" s="41"/>
      <c r="EB10" s="41"/>
      <c r="EC10" s="41"/>
      <c r="ED10" s="104"/>
      <c r="EE10" s="104"/>
      <c r="EF10" s="104"/>
      <c r="EG10" s="104"/>
      <c r="EH10" s="41"/>
      <c r="EI10" s="41"/>
      <c r="EJ10" s="41"/>
      <c r="EK10" s="99"/>
      <c r="EL10" s="99"/>
      <c r="EM10" s="116"/>
      <c r="EN10" s="118"/>
    </row>
    <row r="11" spans="1:144" ht="20.100000000000001" customHeight="1" x14ac:dyDescent="0.45">
      <c r="A11" s="8"/>
      <c r="B11" s="8"/>
      <c r="C11" s="19">
        <v>2</v>
      </c>
      <c r="D11" s="95" t="s">
        <v>333</v>
      </c>
      <c r="E11" s="99" t="s">
        <v>301</v>
      </c>
      <c r="F11" s="104" t="s">
        <v>38</v>
      </c>
      <c r="G11" s="104"/>
      <c r="H11" s="104"/>
      <c r="I11" s="41"/>
      <c r="J11" s="41"/>
      <c r="K11" s="41"/>
      <c r="L11" s="41"/>
      <c r="M11" s="41" t="s">
        <v>262</v>
      </c>
      <c r="N11" s="41"/>
      <c r="O11" s="104"/>
      <c r="P11" s="104"/>
      <c r="Q11" s="41"/>
      <c r="R11" s="104"/>
      <c r="S11" s="41"/>
      <c r="T11" s="41"/>
      <c r="U11" s="41"/>
      <c r="V11" s="41"/>
      <c r="W11" s="41" t="s">
        <v>262</v>
      </c>
      <c r="X11" s="41" t="s">
        <v>262</v>
      </c>
      <c r="Y11" s="41"/>
      <c r="Z11" s="99"/>
      <c r="AA11" s="99"/>
      <c r="AB11" s="116"/>
      <c r="AC11" s="118"/>
      <c r="AE11" s="19">
        <v>2</v>
      </c>
      <c r="AF11" s="95" t="s">
        <v>333</v>
      </c>
      <c r="AG11" s="99" t="s">
        <v>316</v>
      </c>
      <c r="AH11" s="104" t="s">
        <v>47</v>
      </c>
      <c r="AI11" s="104"/>
      <c r="AJ11" s="41"/>
      <c r="AK11" s="41"/>
      <c r="AL11" s="41"/>
      <c r="AM11" s="41"/>
      <c r="AN11" s="41"/>
      <c r="AO11" s="41"/>
      <c r="AP11" s="104"/>
      <c r="AQ11" s="104" t="s">
        <v>52</v>
      </c>
      <c r="AR11" s="41" t="s">
        <v>262</v>
      </c>
      <c r="AS11" s="104"/>
      <c r="AT11" s="104"/>
      <c r="AU11" s="104"/>
      <c r="AV11" s="104"/>
      <c r="AW11" s="104"/>
      <c r="AX11" s="104"/>
      <c r="AY11" s="104"/>
      <c r="AZ11" s="41"/>
      <c r="BA11" s="41"/>
      <c r="BB11" s="41"/>
      <c r="BC11" s="99"/>
      <c r="BD11" s="99"/>
      <c r="BE11" s="116"/>
      <c r="BF11" s="118" t="s">
        <v>325</v>
      </c>
      <c r="BH11" s="19">
        <v>2</v>
      </c>
      <c r="BI11" s="95"/>
      <c r="BJ11" s="99"/>
      <c r="BK11" s="104"/>
      <c r="BL11" s="104"/>
      <c r="BM11" s="41"/>
      <c r="BN11" s="41"/>
      <c r="BO11" s="41"/>
      <c r="BP11" s="41"/>
      <c r="BQ11" s="41"/>
      <c r="BR11" s="104"/>
      <c r="BS11" s="104"/>
      <c r="BT11" s="104"/>
      <c r="BU11" s="41"/>
      <c r="BV11" s="41"/>
      <c r="BW11" s="41"/>
      <c r="BX11" s="99"/>
      <c r="BY11" s="99"/>
      <c r="BZ11" s="116"/>
      <c r="CA11" s="118"/>
      <c r="CC11" s="19">
        <v>2</v>
      </c>
      <c r="CD11" s="95"/>
      <c r="CE11" s="99"/>
      <c r="CF11" s="104"/>
      <c r="CG11" s="104"/>
      <c r="CH11" s="104"/>
      <c r="CI11" s="104"/>
      <c r="CJ11" s="41"/>
      <c r="CK11" s="41"/>
      <c r="CL11" s="41"/>
      <c r="CM11" s="41"/>
      <c r="CN11" s="41"/>
      <c r="CO11" s="41"/>
      <c r="CP11" s="41"/>
      <c r="CQ11" s="104"/>
      <c r="CR11" s="104"/>
      <c r="CS11" s="104"/>
      <c r="CT11" s="41" t="s">
        <v>20</v>
      </c>
      <c r="CU11" s="41" t="s">
        <v>20</v>
      </c>
      <c r="CV11" s="41" t="s">
        <v>20</v>
      </c>
      <c r="CW11" s="99"/>
      <c r="CX11" s="99"/>
      <c r="CY11" s="116"/>
      <c r="CZ11" s="118"/>
      <c r="DB11" s="19">
        <v>2</v>
      </c>
      <c r="DC11" s="95"/>
      <c r="DD11" s="99"/>
      <c r="DE11" s="104"/>
      <c r="DF11" s="104"/>
      <c r="DG11" s="41"/>
      <c r="DH11" s="41"/>
      <c r="DI11" s="41"/>
      <c r="DJ11" s="41"/>
      <c r="DK11" s="41"/>
      <c r="DL11" s="104"/>
      <c r="DM11" s="41" t="s">
        <v>20</v>
      </c>
      <c r="DN11" s="41" t="s">
        <v>20</v>
      </c>
      <c r="DO11" s="41" t="s">
        <v>20</v>
      </c>
      <c r="DP11" s="99"/>
      <c r="DQ11" s="99"/>
      <c r="DR11" s="116"/>
      <c r="DS11" s="118"/>
      <c r="DU11" s="19">
        <v>2</v>
      </c>
      <c r="DV11" s="95"/>
      <c r="DW11" s="99"/>
      <c r="DX11" s="104"/>
      <c r="DY11" s="41"/>
      <c r="DZ11" s="41"/>
      <c r="EA11" s="41"/>
      <c r="EB11" s="41"/>
      <c r="EC11" s="41"/>
      <c r="ED11" s="104"/>
      <c r="EE11" s="104"/>
      <c r="EF11" s="104"/>
      <c r="EG11" s="104"/>
      <c r="EH11" s="41"/>
      <c r="EI11" s="41"/>
      <c r="EJ11" s="41"/>
      <c r="EK11" s="99"/>
      <c r="EL11" s="99"/>
      <c r="EM11" s="116"/>
      <c r="EN11" s="118"/>
    </row>
    <row r="12" spans="1:144" ht="15" x14ac:dyDescent="0.45">
      <c r="A12" s="5"/>
      <c r="B12" s="5"/>
      <c r="C12" s="19">
        <v>3</v>
      </c>
      <c r="D12" s="95" t="s">
        <v>334</v>
      </c>
      <c r="E12" s="99" t="s">
        <v>295</v>
      </c>
      <c r="F12" s="104" t="s">
        <v>38</v>
      </c>
      <c r="G12" s="104"/>
      <c r="H12" s="104"/>
      <c r="I12" s="41" t="s">
        <v>262</v>
      </c>
      <c r="J12" s="41"/>
      <c r="K12" s="41"/>
      <c r="L12" s="41"/>
      <c r="M12" s="41"/>
      <c r="N12" s="41"/>
      <c r="O12" s="104"/>
      <c r="P12" s="104"/>
      <c r="Q12" s="104" t="s">
        <v>346</v>
      </c>
      <c r="R12" s="104"/>
      <c r="S12" s="41" t="s">
        <v>262</v>
      </c>
      <c r="T12" s="41"/>
      <c r="U12" s="41"/>
      <c r="V12" s="41"/>
      <c r="W12" s="41"/>
      <c r="X12" s="41" t="s">
        <v>262</v>
      </c>
      <c r="Y12" s="41"/>
      <c r="Z12" s="99"/>
      <c r="AA12" s="99"/>
      <c r="AB12" s="116"/>
      <c r="AC12" s="118" t="s">
        <v>326</v>
      </c>
      <c r="AE12" s="19">
        <v>3</v>
      </c>
      <c r="AF12" s="95" t="s">
        <v>334</v>
      </c>
      <c r="AG12" s="99" t="s">
        <v>318</v>
      </c>
      <c r="AH12" s="104" t="s">
        <v>47</v>
      </c>
      <c r="AI12" s="104"/>
      <c r="AJ12" s="41"/>
      <c r="AK12" s="41"/>
      <c r="AL12" s="41"/>
      <c r="AM12" s="41"/>
      <c r="AN12" s="41"/>
      <c r="AO12" s="41"/>
      <c r="AP12" s="104"/>
      <c r="AQ12" s="104" t="s">
        <v>52</v>
      </c>
      <c r="AR12" s="41" t="s">
        <v>262</v>
      </c>
      <c r="AS12" s="104"/>
      <c r="AT12" s="104"/>
      <c r="AU12" s="104"/>
      <c r="AV12" s="104"/>
      <c r="AW12" s="104"/>
      <c r="AX12" s="104"/>
      <c r="AY12" s="104"/>
      <c r="AZ12" s="41"/>
      <c r="BA12" s="41"/>
      <c r="BB12" s="41"/>
      <c r="BC12" s="99"/>
      <c r="BD12" s="99"/>
      <c r="BE12" s="116"/>
      <c r="BF12" s="118" t="s">
        <v>327</v>
      </c>
      <c r="BH12" s="19">
        <v>3</v>
      </c>
      <c r="BI12" s="95"/>
      <c r="BJ12" s="99"/>
      <c r="BK12" s="104"/>
      <c r="BL12" s="104"/>
      <c r="BM12" s="41"/>
      <c r="BN12" s="41"/>
      <c r="BO12" s="41"/>
      <c r="BP12" s="41"/>
      <c r="BQ12" s="41"/>
      <c r="BR12" s="104"/>
      <c r="BS12" s="104"/>
      <c r="BT12" s="104"/>
      <c r="BU12" s="41"/>
      <c r="BV12" s="41"/>
      <c r="BW12" s="41"/>
      <c r="BX12" s="99"/>
      <c r="BY12" s="99"/>
      <c r="BZ12" s="116"/>
      <c r="CA12" s="118"/>
      <c r="CC12" s="19">
        <v>3</v>
      </c>
      <c r="CD12" s="95"/>
      <c r="CE12" s="99"/>
      <c r="CF12" s="104"/>
      <c r="CG12" s="104"/>
      <c r="CH12" s="104"/>
      <c r="CI12" s="104"/>
      <c r="CJ12" s="41"/>
      <c r="CK12" s="41"/>
      <c r="CL12" s="41"/>
      <c r="CM12" s="41"/>
      <c r="CN12" s="41"/>
      <c r="CO12" s="41"/>
      <c r="CP12" s="41"/>
      <c r="CQ12" s="104"/>
      <c r="CR12" s="104"/>
      <c r="CS12" s="104"/>
      <c r="CT12" s="41" t="s">
        <v>20</v>
      </c>
      <c r="CU12" s="41" t="s">
        <v>20</v>
      </c>
      <c r="CV12" s="41" t="s">
        <v>20</v>
      </c>
      <c r="CW12" s="99"/>
      <c r="CX12" s="99"/>
      <c r="CY12" s="116"/>
      <c r="CZ12" s="118"/>
      <c r="DB12" s="19">
        <v>3</v>
      </c>
      <c r="DC12" s="95"/>
      <c r="DD12" s="99"/>
      <c r="DE12" s="104"/>
      <c r="DF12" s="104"/>
      <c r="DG12" s="41"/>
      <c r="DH12" s="41"/>
      <c r="DI12" s="41"/>
      <c r="DJ12" s="41"/>
      <c r="DK12" s="41"/>
      <c r="DL12" s="104"/>
      <c r="DM12" s="41" t="s">
        <v>20</v>
      </c>
      <c r="DN12" s="41" t="s">
        <v>20</v>
      </c>
      <c r="DO12" s="41" t="s">
        <v>20</v>
      </c>
      <c r="DP12" s="99"/>
      <c r="DQ12" s="99"/>
      <c r="DR12" s="116"/>
      <c r="DS12" s="118"/>
      <c r="DU12" s="19">
        <v>3</v>
      </c>
      <c r="DV12" s="95"/>
      <c r="DW12" s="99"/>
      <c r="DX12" s="104"/>
      <c r="DY12" s="41"/>
      <c r="DZ12" s="41"/>
      <c r="EA12" s="41"/>
      <c r="EB12" s="41"/>
      <c r="EC12" s="41"/>
      <c r="ED12" s="104"/>
      <c r="EE12" s="104"/>
      <c r="EF12" s="104"/>
      <c r="EG12" s="104"/>
      <c r="EH12" s="41"/>
      <c r="EI12" s="41"/>
      <c r="EJ12" s="41"/>
      <c r="EK12" s="99"/>
      <c r="EL12" s="99"/>
      <c r="EM12" s="116"/>
      <c r="EN12" s="118"/>
    </row>
    <row r="13" spans="1:144" s="6" customFormat="1" ht="15" x14ac:dyDescent="0.45">
      <c r="A13" s="5"/>
      <c r="B13" s="5"/>
      <c r="C13" s="19">
        <v>4</v>
      </c>
      <c r="D13" s="95" t="s">
        <v>335</v>
      </c>
      <c r="E13" s="99" t="s">
        <v>297</v>
      </c>
      <c r="F13" s="104" t="s">
        <v>38</v>
      </c>
      <c r="G13" s="104"/>
      <c r="H13" s="104"/>
      <c r="I13" s="41"/>
      <c r="J13" s="41"/>
      <c r="K13" s="41"/>
      <c r="L13" s="41"/>
      <c r="M13" s="41" t="s">
        <v>262</v>
      </c>
      <c r="N13" s="41"/>
      <c r="O13" s="104"/>
      <c r="P13" s="104"/>
      <c r="Q13" s="104"/>
      <c r="R13" s="104"/>
      <c r="S13" s="41"/>
      <c r="T13" s="41"/>
      <c r="U13" s="41"/>
      <c r="V13" s="41"/>
      <c r="W13" s="41"/>
      <c r="X13" s="41"/>
      <c r="Y13" s="41"/>
      <c r="Z13" s="99"/>
      <c r="AA13" s="99"/>
      <c r="AB13" s="116"/>
      <c r="AC13" s="118"/>
      <c r="AE13" s="19">
        <v>4</v>
      </c>
      <c r="AF13" s="95" t="s">
        <v>335</v>
      </c>
      <c r="AG13" s="99" t="s">
        <v>320</v>
      </c>
      <c r="AH13" s="104" t="s">
        <v>47</v>
      </c>
      <c r="AI13" s="104"/>
      <c r="AJ13" s="41" t="s">
        <v>20</v>
      </c>
      <c r="AK13" s="41" t="s">
        <v>20</v>
      </c>
      <c r="AL13" s="41" t="s">
        <v>20</v>
      </c>
      <c r="AM13" s="41" t="s">
        <v>20</v>
      </c>
      <c r="AN13" s="41" t="s">
        <v>20</v>
      </c>
      <c r="AO13" s="41" t="s">
        <v>20</v>
      </c>
      <c r="AP13" s="104"/>
      <c r="AQ13" s="104" t="s">
        <v>52</v>
      </c>
      <c r="AR13" s="41" t="s">
        <v>262</v>
      </c>
      <c r="AS13" s="104"/>
      <c r="AT13" s="104"/>
      <c r="AU13" s="104"/>
      <c r="AV13" s="104"/>
      <c r="AW13" s="104"/>
      <c r="AX13" s="104"/>
      <c r="AY13" s="104"/>
      <c r="AZ13" s="41" t="s">
        <v>20</v>
      </c>
      <c r="BA13" s="41" t="s">
        <v>20</v>
      </c>
      <c r="BB13" s="41" t="s">
        <v>20</v>
      </c>
      <c r="BC13" s="99"/>
      <c r="BD13" s="99"/>
      <c r="BE13" s="116"/>
      <c r="BF13" s="118" t="s">
        <v>328</v>
      </c>
      <c r="BH13" s="19">
        <v>4</v>
      </c>
      <c r="BI13" s="95"/>
      <c r="BJ13" s="99"/>
      <c r="BK13" s="104"/>
      <c r="BL13" s="104"/>
      <c r="BM13" s="41"/>
      <c r="BN13" s="41"/>
      <c r="BO13" s="41"/>
      <c r="BP13" s="41"/>
      <c r="BQ13" s="41"/>
      <c r="BR13" s="104"/>
      <c r="BS13" s="104"/>
      <c r="BT13" s="104"/>
      <c r="BU13" s="41"/>
      <c r="BV13" s="41"/>
      <c r="BW13" s="41"/>
      <c r="BX13" s="99"/>
      <c r="BY13" s="99"/>
      <c r="BZ13" s="116"/>
      <c r="CA13" s="118"/>
      <c r="CC13" s="19">
        <v>4</v>
      </c>
      <c r="CD13" s="95"/>
      <c r="CE13" s="99"/>
      <c r="CF13" s="104"/>
      <c r="CG13" s="104"/>
      <c r="CH13" s="104"/>
      <c r="CI13" s="104"/>
      <c r="CJ13" s="41"/>
      <c r="CK13" s="41"/>
      <c r="CL13" s="41"/>
      <c r="CM13" s="41"/>
      <c r="CN13" s="41"/>
      <c r="CO13" s="41"/>
      <c r="CP13" s="41"/>
      <c r="CQ13" s="104"/>
      <c r="CR13" s="104"/>
      <c r="CS13" s="104"/>
      <c r="CT13" s="41" t="s">
        <v>20</v>
      </c>
      <c r="CU13" s="41" t="s">
        <v>20</v>
      </c>
      <c r="CV13" s="41" t="s">
        <v>20</v>
      </c>
      <c r="CW13" s="99"/>
      <c r="CX13" s="99"/>
      <c r="CY13" s="116"/>
      <c r="CZ13" s="118"/>
      <c r="DB13" s="19">
        <v>4</v>
      </c>
      <c r="DC13" s="95"/>
      <c r="DD13" s="99"/>
      <c r="DE13" s="104"/>
      <c r="DF13" s="104"/>
      <c r="DG13" s="41"/>
      <c r="DH13" s="41"/>
      <c r="DI13" s="41"/>
      <c r="DJ13" s="41"/>
      <c r="DK13" s="41"/>
      <c r="DL13" s="104"/>
      <c r="DM13" s="41" t="s">
        <v>20</v>
      </c>
      <c r="DN13" s="41" t="s">
        <v>20</v>
      </c>
      <c r="DO13" s="41" t="s">
        <v>20</v>
      </c>
      <c r="DP13" s="99"/>
      <c r="DQ13" s="99"/>
      <c r="DR13" s="116"/>
      <c r="DS13" s="118"/>
      <c r="DU13" s="19">
        <v>4</v>
      </c>
      <c r="DV13" s="95"/>
      <c r="DW13" s="99"/>
      <c r="DX13" s="104"/>
      <c r="DY13" s="41"/>
      <c r="DZ13" s="41"/>
      <c r="EA13" s="41"/>
      <c r="EB13" s="41"/>
      <c r="EC13" s="41"/>
      <c r="ED13" s="104"/>
      <c r="EE13" s="104"/>
      <c r="EF13" s="104"/>
      <c r="EG13" s="104"/>
      <c r="EH13" s="41"/>
      <c r="EI13" s="41"/>
      <c r="EJ13" s="41"/>
      <c r="EK13" s="99"/>
      <c r="EL13" s="99"/>
      <c r="EM13" s="116"/>
      <c r="EN13" s="118"/>
    </row>
    <row r="14" spans="1:144" s="6" customFormat="1" ht="15" x14ac:dyDescent="0.45">
      <c r="A14" s="5"/>
      <c r="B14" s="5"/>
      <c r="C14" s="19">
        <v>5</v>
      </c>
      <c r="D14" s="97" t="s">
        <v>336</v>
      </c>
      <c r="E14" s="99" t="s">
        <v>304</v>
      </c>
      <c r="F14" s="104" t="s">
        <v>38</v>
      </c>
      <c r="G14" s="104">
        <v>1</v>
      </c>
      <c r="H14" s="104"/>
      <c r="I14" s="41"/>
      <c r="J14" s="41"/>
      <c r="K14" s="41"/>
      <c r="L14" s="41"/>
      <c r="M14" s="41"/>
      <c r="N14" s="41"/>
      <c r="O14" s="104"/>
      <c r="P14" s="104"/>
      <c r="Q14" s="104"/>
      <c r="R14" s="104"/>
      <c r="S14" s="41"/>
      <c r="T14" s="41"/>
      <c r="U14" s="41"/>
      <c r="V14" s="41"/>
      <c r="W14" s="41"/>
      <c r="X14" s="41" t="s">
        <v>262</v>
      </c>
      <c r="Y14" s="41"/>
      <c r="Z14" s="99"/>
      <c r="AA14" s="99"/>
      <c r="AB14" s="116"/>
      <c r="AC14" s="118" t="s">
        <v>329</v>
      </c>
      <c r="AE14" s="19">
        <v>5</v>
      </c>
      <c r="AF14" s="97"/>
      <c r="AG14" s="99"/>
      <c r="AH14" s="104"/>
      <c r="AI14" s="104"/>
      <c r="AJ14" s="41" t="s">
        <v>20</v>
      </c>
      <c r="AK14" s="41" t="s">
        <v>20</v>
      </c>
      <c r="AL14" s="41" t="s">
        <v>20</v>
      </c>
      <c r="AM14" s="41" t="s">
        <v>20</v>
      </c>
      <c r="AN14" s="41" t="s">
        <v>20</v>
      </c>
      <c r="AO14" s="41" t="s">
        <v>20</v>
      </c>
      <c r="AP14" s="104"/>
      <c r="AQ14" s="104"/>
      <c r="AR14" s="41" t="s">
        <v>20</v>
      </c>
      <c r="AS14" s="104"/>
      <c r="AT14" s="104"/>
      <c r="AU14" s="104"/>
      <c r="AV14" s="104"/>
      <c r="AW14" s="104"/>
      <c r="AX14" s="104"/>
      <c r="AY14" s="104"/>
      <c r="AZ14" s="41" t="s">
        <v>20</v>
      </c>
      <c r="BA14" s="41" t="s">
        <v>20</v>
      </c>
      <c r="BB14" s="41" t="s">
        <v>20</v>
      </c>
      <c r="BC14" s="99"/>
      <c r="BD14" s="99"/>
      <c r="BE14" s="116"/>
      <c r="BF14" s="118"/>
      <c r="BH14" s="19">
        <v>5</v>
      </c>
      <c r="BI14" s="97"/>
      <c r="BJ14" s="99"/>
      <c r="BK14" s="104"/>
      <c r="BL14" s="104"/>
      <c r="BM14" s="41" t="s">
        <v>20</v>
      </c>
      <c r="BN14" s="41" t="s">
        <v>20</v>
      </c>
      <c r="BO14" s="41" t="s">
        <v>20</v>
      </c>
      <c r="BP14" s="41" t="s">
        <v>20</v>
      </c>
      <c r="BQ14" s="41" t="s">
        <v>20</v>
      </c>
      <c r="BR14" s="104"/>
      <c r="BS14" s="104"/>
      <c r="BT14" s="104"/>
      <c r="BU14" s="41" t="s">
        <v>20</v>
      </c>
      <c r="BV14" s="41" t="s">
        <v>20</v>
      </c>
      <c r="BW14" s="41" t="s">
        <v>20</v>
      </c>
      <c r="BX14" s="99"/>
      <c r="BY14" s="99"/>
      <c r="BZ14" s="116"/>
      <c r="CA14" s="118"/>
      <c r="CC14" s="19">
        <v>5</v>
      </c>
      <c r="CD14" s="97"/>
      <c r="CE14" s="99"/>
      <c r="CF14" s="104"/>
      <c r="CG14" s="104"/>
      <c r="CH14" s="104"/>
      <c r="CI14" s="104"/>
      <c r="CJ14" s="41"/>
      <c r="CK14" s="41"/>
      <c r="CL14" s="41"/>
      <c r="CM14" s="41"/>
      <c r="CN14" s="41"/>
      <c r="CO14" s="41"/>
      <c r="CP14" s="41"/>
      <c r="CQ14" s="104"/>
      <c r="CR14" s="104"/>
      <c r="CS14" s="104"/>
      <c r="CT14" s="41" t="s">
        <v>20</v>
      </c>
      <c r="CU14" s="41" t="s">
        <v>20</v>
      </c>
      <c r="CV14" s="41" t="s">
        <v>20</v>
      </c>
      <c r="CW14" s="99"/>
      <c r="CX14" s="99"/>
      <c r="CY14" s="116"/>
      <c r="CZ14" s="118"/>
      <c r="DB14" s="19">
        <v>5</v>
      </c>
      <c r="DC14" s="97"/>
      <c r="DD14" s="99"/>
      <c r="DE14" s="104"/>
      <c r="DF14" s="104"/>
      <c r="DG14" s="41"/>
      <c r="DH14" s="41"/>
      <c r="DI14" s="41"/>
      <c r="DJ14" s="41"/>
      <c r="DK14" s="41"/>
      <c r="DL14" s="104"/>
      <c r="DM14" s="41" t="s">
        <v>20</v>
      </c>
      <c r="DN14" s="41" t="s">
        <v>20</v>
      </c>
      <c r="DO14" s="41" t="s">
        <v>20</v>
      </c>
      <c r="DP14" s="99"/>
      <c r="DQ14" s="99"/>
      <c r="DR14" s="116"/>
      <c r="DS14" s="118"/>
      <c r="DU14" s="19">
        <v>5</v>
      </c>
      <c r="DV14" s="97"/>
      <c r="DW14" s="99"/>
      <c r="DX14" s="104"/>
      <c r="DY14" s="41"/>
      <c r="DZ14" s="41"/>
      <c r="EA14" s="41"/>
      <c r="EB14" s="41"/>
      <c r="EC14" s="41"/>
      <c r="ED14" s="104"/>
      <c r="EE14" s="104"/>
      <c r="EF14" s="104"/>
      <c r="EG14" s="104"/>
      <c r="EH14" s="41"/>
      <c r="EI14" s="41"/>
      <c r="EJ14" s="41"/>
      <c r="EK14" s="99"/>
      <c r="EL14" s="99"/>
      <c r="EM14" s="116"/>
      <c r="EN14" s="118"/>
    </row>
    <row r="15" spans="1:144" s="6" customFormat="1" ht="20.100000000000001" customHeight="1" x14ac:dyDescent="0.45">
      <c r="A15" s="5"/>
      <c r="B15" s="5"/>
      <c r="C15" s="19">
        <v>6</v>
      </c>
      <c r="D15" s="95" t="s">
        <v>337</v>
      </c>
      <c r="E15" s="99" t="s">
        <v>306</v>
      </c>
      <c r="F15" s="104" t="s">
        <v>38</v>
      </c>
      <c r="G15" s="104"/>
      <c r="H15" s="104"/>
      <c r="I15" s="41" t="s">
        <v>262</v>
      </c>
      <c r="J15" s="41"/>
      <c r="K15" s="41"/>
      <c r="L15" s="41"/>
      <c r="M15" s="41"/>
      <c r="N15" s="41"/>
      <c r="O15" s="104"/>
      <c r="P15" s="104"/>
      <c r="Q15" s="41" t="s">
        <v>262</v>
      </c>
      <c r="R15" s="104"/>
      <c r="S15" s="41" t="s">
        <v>262</v>
      </c>
      <c r="T15" s="41"/>
      <c r="U15" s="41"/>
      <c r="V15" s="41"/>
      <c r="W15" s="41" t="s">
        <v>262</v>
      </c>
      <c r="X15" s="41"/>
      <c r="Y15" s="41"/>
      <c r="Z15" s="99"/>
      <c r="AA15" s="99"/>
      <c r="AB15" s="116"/>
      <c r="AC15" s="118" t="s">
        <v>330</v>
      </c>
      <c r="AE15" s="19">
        <v>6</v>
      </c>
      <c r="AF15" s="95"/>
      <c r="AG15" s="99"/>
      <c r="AH15" s="104"/>
      <c r="AI15" s="104"/>
      <c r="AJ15" s="41" t="s">
        <v>20</v>
      </c>
      <c r="AK15" s="41" t="s">
        <v>20</v>
      </c>
      <c r="AL15" s="41" t="s">
        <v>20</v>
      </c>
      <c r="AM15" s="41" t="s">
        <v>20</v>
      </c>
      <c r="AN15" s="41" t="s">
        <v>20</v>
      </c>
      <c r="AO15" s="41" t="s">
        <v>20</v>
      </c>
      <c r="AP15" s="104"/>
      <c r="AQ15" s="104"/>
      <c r="AR15" s="41" t="s">
        <v>20</v>
      </c>
      <c r="AS15" s="104"/>
      <c r="AT15" s="104"/>
      <c r="AU15" s="104"/>
      <c r="AV15" s="104"/>
      <c r="AW15" s="104"/>
      <c r="AX15" s="104"/>
      <c r="AY15" s="104"/>
      <c r="AZ15" s="41" t="s">
        <v>20</v>
      </c>
      <c r="BA15" s="41" t="s">
        <v>20</v>
      </c>
      <c r="BB15" s="41" t="s">
        <v>20</v>
      </c>
      <c r="BC15" s="99"/>
      <c r="BD15" s="99"/>
      <c r="BE15" s="116"/>
      <c r="BF15" s="118"/>
      <c r="BH15" s="19">
        <v>6</v>
      </c>
      <c r="BI15" s="95"/>
      <c r="BJ15" s="99"/>
      <c r="BK15" s="104"/>
      <c r="BL15" s="104"/>
      <c r="BM15" s="41" t="s">
        <v>20</v>
      </c>
      <c r="BN15" s="41" t="s">
        <v>20</v>
      </c>
      <c r="BO15" s="41" t="s">
        <v>20</v>
      </c>
      <c r="BP15" s="41" t="s">
        <v>20</v>
      </c>
      <c r="BQ15" s="41" t="s">
        <v>20</v>
      </c>
      <c r="BR15" s="104"/>
      <c r="BS15" s="104"/>
      <c r="BT15" s="104"/>
      <c r="BU15" s="41" t="s">
        <v>20</v>
      </c>
      <c r="BV15" s="41" t="s">
        <v>20</v>
      </c>
      <c r="BW15" s="41" t="s">
        <v>20</v>
      </c>
      <c r="BX15" s="99"/>
      <c r="BY15" s="99"/>
      <c r="BZ15" s="116"/>
      <c r="CA15" s="118"/>
      <c r="CC15" s="19">
        <v>6</v>
      </c>
      <c r="CD15" s="95"/>
      <c r="CE15" s="99"/>
      <c r="CF15" s="104"/>
      <c r="CG15" s="104"/>
      <c r="CH15" s="104"/>
      <c r="CI15" s="104"/>
      <c r="CJ15" s="41"/>
      <c r="CK15" s="41"/>
      <c r="CL15" s="41"/>
      <c r="CM15" s="41"/>
      <c r="CN15" s="41"/>
      <c r="CO15" s="41"/>
      <c r="CP15" s="41"/>
      <c r="CQ15" s="104"/>
      <c r="CR15" s="104"/>
      <c r="CS15" s="104"/>
      <c r="CT15" s="41" t="s">
        <v>20</v>
      </c>
      <c r="CU15" s="41" t="s">
        <v>20</v>
      </c>
      <c r="CV15" s="41" t="s">
        <v>20</v>
      </c>
      <c r="CW15" s="99"/>
      <c r="CX15" s="99"/>
      <c r="CY15" s="116"/>
      <c r="CZ15" s="118"/>
      <c r="DB15" s="19">
        <v>6</v>
      </c>
      <c r="DC15" s="95"/>
      <c r="DD15" s="99"/>
      <c r="DE15" s="104"/>
      <c r="DF15" s="104"/>
      <c r="DG15" s="41"/>
      <c r="DH15" s="41"/>
      <c r="DI15" s="41"/>
      <c r="DJ15" s="41"/>
      <c r="DK15" s="41"/>
      <c r="DL15" s="104"/>
      <c r="DM15" s="41" t="s">
        <v>20</v>
      </c>
      <c r="DN15" s="41" t="s">
        <v>20</v>
      </c>
      <c r="DO15" s="41" t="s">
        <v>20</v>
      </c>
      <c r="DP15" s="99"/>
      <c r="DQ15" s="99"/>
      <c r="DR15" s="116"/>
      <c r="DS15" s="118"/>
      <c r="DU15" s="19">
        <v>6</v>
      </c>
      <c r="DV15" s="95"/>
      <c r="DW15" s="99"/>
      <c r="DX15" s="104"/>
      <c r="DY15" s="41"/>
      <c r="DZ15" s="41"/>
      <c r="EA15" s="41"/>
      <c r="EB15" s="41"/>
      <c r="EC15" s="41"/>
      <c r="ED15" s="104"/>
      <c r="EE15" s="104"/>
      <c r="EF15" s="104"/>
      <c r="EG15" s="104"/>
      <c r="EH15" s="41"/>
      <c r="EI15" s="41"/>
      <c r="EJ15" s="41"/>
      <c r="EK15" s="99"/>
      <c r="EL15" s="99"/>
      <c r="EM15" s="116"/>
      <c r="EN15" s="118"/>
    </row>
    <row r="16" spans="1:144" s="6" customFormat="1" ht="20.100000000000001" customHeight="1" x14ac:dyDescent="0.45">
      <c r="A16" s="5"/>
      <c r="B16" s="5"/>
      <c r="C16" s="19">
        <v>7</v>
      </c>
      <c r="D16" s="95" t="s">
        <v>338</v>
      </c>
      <c r="E16" s="99" t="s">
        <v>308</v>
      </c>
      <c r="F16" s="104" t="s">
        <v>38</v>
      </c>
      <c r="G16" s="104">
        <v>10</v>
      </c>
      <c r="H16" s="104"/>
      <c r="I16" s="41"/>
      <c r="J16" s="41"/>
      <c r="K16" s="41"/>
      <c r="L16" s="41"/>
      <c r="M16" s="41"/>
      <c r="N16" s="41"/>
      <c r="O16" s="104"/>
      <c r="P16" s="104"/>
      <c r="Q16" s="104"/>
      <c r="R16" s="104"/>
      <c r="S16" s="41"/>
      <c r="T16" s="41"/>
      <c r="U16" s="41"/>
      <c r="V16" s="41"/>
      <c r="W16" s="41"/>
      <c r="X16" s="41"/>
      <c r="Y16" s="41"/>
      <c r="Z16" s="99"/>
      <c r="AA16" s="99"/>
      <c r="AB16" s="116"/>
      <c r="AC16" s="118" t="s">
        <v>331</v>
      </c>
      <c r="AE16" s="19">
        <v>7</v>
      </c>
      <c r="AF16" s="95"/>
      <c r="AG16" s="99"/>
      <c r="AH16" s="104"/>
      <c r="AI16" s="104"/>
      <c r="AJ16" s="41" t="s">
        <v>20</v>
      </c>
      <c r="AK16" s="41" t="s">
        <v>20</v>
      </c>
      <c r="AL16" s="41" t="s">
        <v>20</v>
      </c>
      <c r="AM16" s="41" t="s">
        <v>20</v>
      </c>
      <c r="AN16" s="41" t="s">
        <v>20</v>
      </c>
      <c r="AO16" s="41" t="s">
        <v>20</v>
      </c>
      <c r="AP16" s="104"/>
      <c r="AQ16" s="104"/>
      <c r="AR16" s="41" t="s">
        <v>20</v>
      </c>
      <c r="AS16" s="104"/>
      <c r="AT16" s="104"/>
      <c r="AU16" s="104"/>
      <c r="AV16" s="104"/>
      <c r="AW16" s="104"/>
      <c r="AX16" s="104"/>
      <c r="AY16" s="104"/>
      <c r="AZ16" s="41" t="s">
        <v>20</v>
      </c>
      <c r="BA16" s="41" t="s">
        <v>20</v>
      </c>
      <c r="BB16" s="41" t="s">
        <v>20</v>
      </c>
      <c r="BC16" s="99"/>
      <c r="BD16" s="99"/>
      <c r="BE16" s="116"/>
      <c r="BF16" s="118"/>
      <c r="BH16" s="19">
        <v>7</v>
      </c>
      <c r="BI16" s="95"/>
      <c r="BJ16" s="99"/>
      <c r="BK16" s="104"/>
      <c r="BL16" s="104"/>
      <c r="BM16" s="41" t="s">
        <v>20</v>
      </c>
      <c r="BN16" s="41" t="s">
        <v>20</v>
      </c>
      <c r="BO16" s="41" t="s">
        <v>20</v>
      </c>
      <c r="BP16" s="41" t="s">
        <v>20</v>
      </c>
      <c r="BQ16" s="41" t="s">
        <v>20</v>
      </c>
      <c r="BR16" s="104"/>
      <c r="BS16" s="104"/>
      <c r="BT16" s="104"/>
      <c r="BU16" s="41" t="s">
        <v>20</v>
      </c>
      <c r="BV16" s="41" t="s">
        <v>20</v>
      </c>
      <c r="BW16" s="41" t="s">
        <v>20</v>
      </c>
      <c r="BX16" s="99"/>
      <c r="BY16" s="99"/>
      <c r="BZ16" s="116"/>
      <c r="CA16" s="118"/>
      <c r="CC16" s="19">
        <v>7</v>
      </c>
      <c r="CD16" s="95"/>
      <c r="CE16" s="99"/>
      <c r="CF16" s="104"/>
      <c r="CG16" s="104"/>
      <c r="CH16" s="104"/>
      <c r="CI16" s="104"/>
      <c r="CJ16" s="41" t="s">
        <v>20</v>
      </c>
      <c r="CK16" s="41" t="s">
        <v>20</v>
      </c>
      <c r="CL16" s="41" t="s">
        <v>20</v>
      </c>
      <c r="CM16" s="41" t="s">
        <v>20</v>
      </c>
      <c r="CN16" s="41" t="s">
        <v>20</v>
      </c>
      <c r="CO16" s="41" t="s">
        <v>20</v>
      </c>
      <c r="CP16" s="41" t="s">
        <v>20</v>
      </c>
      <c r="CQ16" s="104"/>
      <c r="CR16" s="104"/>
      <c r="CS16" s="104"/>
      <c r="CT16" s="41" t="s">
        <v>20</v>
      </c>
      <c r="CU16" s="41" t="s">
        <v>20</v>
      </c>
      <c r="CV16" s="41" t="s">
        <v>20</v>
      </c>
      <c r="CW16" s="99"/>
      <c r="CX16" s="99"/>
      <c r="CY16" s="116"/>
      <c r="CZ16" s="118"/>
      <c r="DB16" s="19">
        <v>7</v>
      </c>
      <c r="DC16" s="95"/>
      <c r="DD16" s="99"/>
      <c r="DE16" s="104"/>
      <c r="DF16" s="104"/>
      <c r="DG16" s="41"/>
      <c r="DH16" s="41"/>
      <c r="DI16" s="41"/>
      <c r="DJ16" s="41"/>
      <c r="DK16" s="41"/>
      <c r="DL16" s="104"/>
      <c r="DM16" s="41" t="s">
        <v>20</v>
      </c>
      <c r="DN16" s="41" t="s">
        <v>20</v>
      </c>
      <c r="DO16" s="41" t="s">
        <v>20</v>
      </c>
      <c r="DP16" s="99"/>
      <c r="DQ16" s="99"/>
      <c r="DR16" s="116"/>
      <c r="DS16" s="118"/>
      <c r="DU16" s="19">
        <v>7</v>
      </c>
      <c r="DV16" s="95"/>
      <c r="DW16" s="99"/>
      <c r="DX16" s="104"/>
      <c r="DY16" s="41"/>
      <c r="DZ16" s="41"/>
      <c r="EA16" s="41"/>
      <c r="EB16" s="41"/>
      <c r="EC16" s="41"/>
      <c r="ED16" s="104"/>
      <c r="EE16" s="104"/>
      <c r="EF16" s="104"/>
      <c r="EG16" s="104"/>
      <c r="EH16" s="41"/>
      <c r="EI16" s="41"/>
      <c r="EJ16" s="41"/>
      <c r="EK16" s="99"/>
      <c r="EL16" s="99"/>
      <c r="EM16" s="116"/>
      <c r="EN16" s="118"/>
    </row>
    <row r="17" spans="1:144" s="6" customFormat="1" ht="20.100000000000001" customHeight="1" x14ac:dyDescent="0.45">
      <c r="A17" s="5"/>
      <c r="B17" s="5"/>
      <c r="C17" s="19">
        <v>8</v>
      </c>
      <c r="D17" s="133" t="s">
        <v>339</v>
      </c>
      <c r="E17" s="99" t="s">
        <v>310</v>
      </c>
      <c r="F17" s="104" t="s">
        <v>38</v>
      </c>
      <c r="G17" s="104"/>
      <c r="H17" s="104"/>
      <c r="I17" s="41"/>
      <c r="J17" s="41"/>
      <c r="K17" s="41"/>
      <c r="L17" s="41"/>
      <c r="M17" s="41" t="s">
        <v>262</v>
      </c>
      <c r="N17" s="41"/>
      <c r="O17" s="104"/>
      <c r="P17" s="104"/>
      <c r="Q17" s="104"/>
      <c r="R17" s="104"/>
      <c r="S17" s="41"/>
      <c r="T17" s="41"/>
      <c r="U17" s="41"/>
      <c r="V17" s="41"/>
      <c r="W17" s="41"/>
      <c r="X17" s="41"/>
      <c r="Y17" s="41"/>
      <c r="Z17" s="99"/>
      <c r="AA17" s="99"/>
      <c r="AB17" s="116"/>
      <c r="AC17" s="118"/>
      <c r="AE17" s="19">
        <v>8</v>
      </c>
      <c r="AF17" s="133"/>
      <c r="AG17" s="99"/>
      <c r="AH17" s="104"/>
      <c r="AI17" s="104"/>
      <c r="AJ17" s="41"/>
      <c r="AK17" s="41"/>
      <c r="AL17" s="41"/>
      <c r="AM17" s="41"/>
      <c r="AN17" s="41"/>
      <c r="AO17" s="41"/>
      <c r="AP17" s="104"/>
      <c r="AQ17" s="104"/>
      <c r="AR17" s="41"/>
      <c r="AS17" s="104"/>
      <c r="AT17" s="104"/>
      <c r="AU17" s="104"/>
      <c r="AV17" s="104"/>
      <c r="AW17" s="104"/>
      <c r="AX17" s="104"/>
      <c r="AY17" s="104"/>
      <c r="AZ17" s="41"/>
      <c r="BA17" s="41"/>
      <c r="BB17" s="41"/>
      <c r="BC17" s="99"/>
      <c r="BD17" s="99"/>
      <c r="BE17" s="116"/>
      <c r="BF17" s="118"/>
      <c r="BH17" s="19">
        <v>8</v>
      </c>
      <c r="BI17" s="133"/>
      <c r="BJ17" s="99"/>
      <c r="BK17" s="104"/>
      <c r="BL17" s="104"/>
      <c r="BM17" s="41"/>
      <c r="BN17" s="41"/>
      <c r="BO17" s="41"/>
      <c r="BP17" s="41"/>
      <c r="BQ17" s="41"/>
      <c r="BR17" s="104"/>
      <c r="BS17" s="104"/>
      <c r="BT17" s="104"/>
      <c r="BU17" s="41"/>
      <c r="BV17" s="41"/>
      <c r="BW17" s="41"/>
      <c r="BX17" s="99"/>
      <c r="BY17" s="99"/>
      <c r="BZ17" s="116"/>
      <c r="CA17" s="118"/>
      <c r="CC17" s="19">
        <v>8</v>
      </c>
      <c r="CD17" s="133"/>
      <c r="CE17" s="99"/>
      <c r="CF17" s="104"/>
      <c r="CG17" s="104"/>
      <c r="CH17" s="104"/>
      <c r="CI17" s="104"/>
      <c r="CJ17" s="41"/>
      <c r="CK17" s="41"/>
      <c r="CL17" s="41"/>
      <c r="CM17" s="41"/>
      <c r="CN17" s="41"/>
      <c r="CO17" s="41"/>
      <c r="CP17" s="41"/>
      <c r="CQ17" s="104"/>
      <c r="CR17" s="104"/>
      <c r="CS17" s="104"/>
      <c r="CT17" s="41"/>
      <c r="CU17" s="41"/>
      <c r="CV17" s="41"/>
      <c r="CW17" s="99"/>
      <c r="CX17" s="99"/>
      <c r="CY17" s="116"/>
      <c r="CZ17" s="118"/>
      <c r="DB17" s="19">
        <v>8</v>
      </c>
      <c r="DC17" s="133"/>
      <c r="DD17" s="99"/>
      <c r="DE17" s="104"/>
      <c r="DF17" s="104"/>
      <c r="DG17" s="41"/>
      <c r="DH17" s="41"/>
      <c r="DI17" s="41"/>
      <c r="DJ17" s="41"/>
      <c r="DK17" s="41"/>
      <c r="DL17" s="104"/>
      <c r="DM17" s="41"/>
      <c r="DN17" s="41"/>
      <c r="DO17" s="41"/>
      <c r="DP17" s="99"/>
      <c r="DQ17" s="99"/>
      <c r="DR17" s="116"/>
      <c r="DS17" s="118"/>
      <c r="DU17" s="19">
        <v>8</v>
      </c>
      <c r="DV17" s="133"/>
      <c r="DW17" s="99"/>
      <c r="DX17" s="104"/>
      <c r="DY17" s="41"/>
      <c r="DZ17" s="41"/>
      <c r="EA17" s="41"/>
      <c r="EB17" s="41"/>
      <c r="EC17" s="41"/>
      <c r="ED17" s="104"/>
      <c r="EE17" s="104"/>
      <c r="EF17" s="104"/>
      <c r="EG17" s="104"/>
      <c r="EH17" s="41"/>
      <c r="EI17" s="41"/>
      <c r="EJ17" s="41"/>
      <c r="EK17" s="99"/>
      <c r="EL17" s="99"/>
      <c r="EM17" s="116"/>
      <c r="EN17" s="118"/>
    </row>
    <row r="18" spans="1:144" s="6" customFormat="1" ht="20.100000000000001" customHeight="1" x14ac:dyDescent="0.45">
      <c r="A18" s="5"/>
      <c r="B18" s="5"/>
      <c r="C18" s="19">
        <v>9</v>
      </c>
      <c r="D18" s="133" t="s">
        <v>340</v>
      </c>
      <c r="E18" s="132" t="s">
        <v>312</v>
      </c>
      <c r="F18" s="104" t="s">
        <v>38</v>
      </c>
      <c r="G18" s="104"/>
      <c r="H18" s="104"/>
      <c r="I18" s="41"/>
      <c r="J18" s="41"/>
      <c r="K18" s="41"/>
      <c r="L18" s="41"/>
      <c r="M18" s="41"/>
      <c r="N18" s="41"/>
      <c r="O18" s="104"/>
      <c r="P18" s="104"/>
      <c r="Q18" s="116"/>
      <c r="R18" s="104"/>
      <c r="S18" s="41"/>
      <c r="T18" s="41"/>
      <c r="U18" s="41"/>
      <c r="V18" s="41"/>
      <c r="W18" s="41"/>
      <c r="X18" s="41"/>
      <c r="Y18" s="41"/>
      <c r="Z18" s="99" t="s">
        <v>347</v>
      </c>
      <c r="AA18" s="99"/>
      <c r="AB18" s="116"/>
      <c r="AC18" s="118"/>
      <c r="AE18" s="19">
        <v>9</v>
      </c>
      <c r="AF18" s="133"/>
      <c r="AG18" s="99"/>
      <c r="AH18" s="104"/>
      <c r="AI18" s="104"/>
      <c r="AJ18" s="41"/>
      <c r="AK18" s="41"/>
      <c r="AL18" s="41"/>
      <c r="AM18" s="41"/>
      <c r="AN18" s="41"/>
      <c r="AO18" s="41"/>
      <c r="AP18" s="104"/>
      <c r="AQ18" s="104"/>
      <c r="AR18" s="41"/>
      <c r="AS18" s="104"/>
      <c r="AT18" s="104"/>
      <c r="AU18" s="104"/>
      <c r="AV18" s="104"/>
      <c r="AW18" s="104"/>
      <c r="AX18" s="104"/>
      <c r="AY18" s="104"/>
      <c r="AZ18" s="41"/>
      <c r="BA18" s="41"/>
      <c r="BB18" s="41"/>
      <c r="BC18" s="99"/>
      <c r="BD18" s="99"/>
      <c r="BE18" s="116"/>
      <c r="BF18" s="118"/>
      <c r="BH18" s="19">
        <v>9</v>
      </c>
      <c r="BI18" s="133"/>
      <c r="BJ18" s="99"/>
      <c r="BK18" s="104"/>
      <c r="BL18" s="104"/>
      <c r="BM18" s="41"/>
      <c r="BN18" s="41"/>
      <c r="BO18" s="41"/>
      <c r="BP18" s="41"/>
      <c r="BQ18" s="41"/>
      <c r="BR18" s="104"/>
      <c r="BS18" s="104"/>
      <c r="BT18" s="104"/>
      <c r="BU18" s="41"/>
      <c r="BV18" s="41"/>
      <c r="BW18" s="41"/>
      <c r="BX18" s="99"/>
      <c r="BY18" s="99"/>
      <c r="BZ18" s="116"/>
      <c r="CA18" s="118"/>
      <c r="CC18" s="19">
        <v>9</v>
      </c>
      <c r="CD18" s="133"/>
      <c r="CE18" s="99"/>
      <c r="CF18" s="104"/>
      <c r="CG18" s="104"/>
      <c r="CH18" s="104"/>
      <c r="CI18" s="104"/>
      <c r="CJ18" s="41"/>
      <c r="CK18" s="41"/>
      <c r="CL18" s="41"/>
      <c r="CM18" s="41"/>
      <c r="CN18" s="41"/>
      <c r="CO18" s="41"/>
      <c r="CP18" s="41"/>
      <c r="CQ18" s="104"/>
      <c r="CR18" s="104"/>
      <c r="CS18" s="104"/>
      <c r="CT18" s="41"/>
      <c r="CU18" s="41"/>
      <c r="CV18" s="41"/>
      <c r="CW18" s="99"/>
      <c r="CX18" s="99"/>
      <c r="CY18" s="116"/>
      <c r="CZ18" s="118"/>
      <c r="DB18" s="19">
        <v>9</v>
      </c>
      <c r="DC18" s="133"/>
      <c r="DD18" s="99"/>
      <c r="DE18" s="104"/>
      <c r="DF18" s="104"/>
      <c r="DG18" s="41"/>
      <c r="DH18" s="41"/>
      <c r="DI18" s="41"/>
      <c r="DJ18" s="41"/>
      <c r="DK18" s="41"/>
      <c r="DL18" s="104"/>
      <c r="DM18" s="41"/>
      <c r="DN18" s="41"/>
      <c r="DO18" s="41"/>
      <c r="DP18" s="99"/>
      <c r="DQ18" s="99"/>
      <c r="DR18" s="116"/>
      <c r="DS18" s="118"/>
      <c r="DU18" s="19">
        <v>9</v>
      </c>
      <c r="DV18" s="133"/>
      <c r="DW18" s="99"/>
      <c r="DX18" s="104"/>
      <c r="DY18" s="41"/>
      <c r="DZ18" s="41"/>
      <c r="EA18" s="41"/>
      <c r="EB18" s="41"/>
      <c r="EC18" s="41"/>
      <c r="ED18" s="104"/>
      <c r="EE18" s="104"/>
      <c r="EF18" s="104"/>
      <c r="EG18" s="104"/>
      <c r="EH18" s="41"/>
      <c r="EI18" s="41"/>
      <c r="EJ18" s="41"/>
      <c r="EK18" s="99"/>
      <c r="EL18" s="99"/>
      <c r="EM18" s="116"/>
      <c r="EN18" s="118"/>
    </row>
    <row r="19" spans="1:144" s="6" customFormat="1" ht="20.100000000000001" customHeight="1" x14ac:dyDescent="0.45">
      <c r="A19" s="5"/>
      <c r="B19" s="5"/>
      <c r="C19" s="19">
        <v>10</v>
      </c>
      <c r="D19" s="95"/>
      <c r="E19" s="132"/>
      <c r="F19" s="104"/>
      <c r="G19" s="104"/>
      <c r="H19" s="104"/>
      <c r="I19" s="41"/>
      <c r="J19" s="41"/>
      <c r="K19" s="41"/>
      <c r="L19" s="41"/>
      <c r="M19" s="41"/>
      <c r="N19" s="41"/>
      <c r="O19" s="104"/>
      <c r="P19" s="104"/>
      <c r="Q19" s="116"/>
      <c r="R19" s="104"/>
      <c r="S19" s="41"/>
      <c r="T19" s="41"/>
      <c r="U19" s="41"/>
      <c r="V19" s="41"/>
      <c r="W19" s="41"/>
      <c r="X19" s="41"/>
      <c r="Y19" s="41"/>
      <c r="Z19" s="99"/>
      <c r="AA19" s="99"/>
      <c r="AB19" s="116"/>
      <c r="AC19" s="118"/>
      <c r="AE19" s="19">
        <v>10</v>
      </c>
      <c r="AF19" s="95"/>
      <c r="AG19" s="99"/>
      <c r="AH19" s="104"/>
      <c r="AI19" s="104"/>
      <c r="AJ19" s="41" t="s">
        <v>20</v>
      </c>
      <c r="AK19" s="41" t="s">
        <v>20</v>
      </c>
      <c r="AL19" s="41" t="s">
        <v>20</v>
      </c>
      <c r="AM19" s="41" t="s">
        <v>20</v>
      </c>
      <c r="AN19" s="41" t="s">
        <v>20</v>
      </c>
      <c r="AO19" s="41" t="s">
        <v>20</v>
      </c>
      <c r="AP19" s="104"/>
      <c r="AQ19" s="104"/>
      <c r="AR19" s="41" t="s">
        <v>20</v>
      </c>
      <c r="AS19" s="104"/>
      <c r="AT19" s="104"/>
      <c r="AU19" s="104"/>
      <c r="AV19" s="104"/>
      <c r="AW19" s="104"/>
      <c r="AX19" s="104"/>
      <c r="AY19" s="104"/>
      <c r="AZ19" s="41" t="s">
        <v>20</v>
      </c>
      <c r="BA19" s="41" t="s">
        <v>20</v>
      </c>
      <c r="BB19" s="41" t="s">
        <v>20</v>
      </c>
      <c r="BC19" s="99"/>
      <c r="BD19" s="99"/>
      <c r="BE19" s="116"/>
      <c r="BF19" s="118"/>
      <c r="BH19" s="19">
        <v>10</v>
      </c>
      <c r="BI19" s="95"/>
      <c r="BJ19" s="99"/>
      <c r="BK19" s="104"/>
      <c r="BL19" s="104"/>
      <c r="BM19" s="41" t="s">
        <v>20</v>
      </c>
      <c r="BN19" s="41" t="s">
        <v>20</v>
      </c>
      <c r="BO19" s="41" t="s">
        <v>20</v>
      </c>
      <c r="BP19" s="41" t="s">
        <v>20</v>
      </c>
      <c r="BQ19" s="41" t="s">
        <v>20</v>
      </c>
      <c r="BR19" s="104"/>
      <c r="BS19" s="104"/>
      <c r="BT19" s="104"/>
      <c r="BU19" s="41" t="s">
        <v>20</v>
      </c>
      <c r="BV19" s="41" t="s">
        <v>20</v>
      </c>
      <c r="BW19" s="41" t="s">
        <v>20</v>
      </c>
      <c r="BX19" s="99"/>
      <c r="BY19" s="99"/>
      <c r="BZ19" s="116"/>
      <c r="CA19" s="118"/>
      <c r="CC19" s="19">
        <v>10</v>
      </c>
      <c r="CD19" s="95"/>
      <c r="CE19" s="99"/>
      <c r="CF19" s="104"/>
      <c r="CG19" s="104"/>
      <c r="CH19" s="104"/>
      <c r="CI19" s="104"/>
      <c r="CJ19" s="41" t="s">
        <v>20</v>
      </c>
      <c r="CK19" s="41" t="s">
        <v>20</v>
      </c>
      <c r="CL19" s="41" t="s">
        <v>20</v>
      </c>
      <c r="CM19" s="41" t="s">
        <v>20</v>
      </c>
      <c r="CN19" s="41" t="s">
        <v>20</v>
      </c>
      <c r="CO19" s="41" t="s">
        <v>20</v>
      </c>
      <c r="CP19" s="41" t="s">
        <v>20</v>
      </c>
      <c r="CQ19" s="104"/>
      <c r="CR19" s="104"/>
      <c r="CS19" s="104"/>
      <c r="CT19" s="41" t="s">
        <v>20</v>
      </c>
      <c r="CU19" s="41" t="s">
        <v>20</v>
      </c>
      <c r="CV19" s="41" t="s">
        <v>20</v>
      </c>
      <c r="CW19" s="99"/>
      <c r="CX19" s="99"/>
      <c r="CY19" s="116"/>
      <c r="CZ19" s="118"/>
      <c r="DB19" s="19">
        <v>10</v>
      </c>
      <c r="DC19" s="95"/>
      <c r="DD19" s="99"/>
      <c r="DE19" s="104"/>
      <c r="DF19" s="104"/>
      <c r="DG19" s="41" t="s">
        <v>20</v>
      </c>
      <c r="DH19" s="41" t="s">
        <v>20</v>
      </c>
      <c r="DI19" s="41" t="s">
        <v>20</v>
      </c>
      <c r="DJ19" s="41" t="s">
        <v>20</v>
      </c>
      <c r="DK19" s="41" t="s">
        <v>20</v>
      </c>
      <c r="DL19" s="104"/>
      <c r="DM19" s="41" t="s">
        <v>20</v>
      </c>
      <c r="DN19" s="41" t="s">
        <v>20</v>
      </c>
      <c r="DO19" s="41" t="s">
        <v>20</v>
      </c>
      <c r="DP19" s="99"/>
      <c r="DQ19" s="99"/>
      <c r="DR19" s="116"/>
      <c r="DS19" s="118"/>
      <c r="DU19" s="19">
        <v>10</v>
      </c>
      <c r="DV19" s="95"/>
      <c r="DW19" s="99"/>
      <c r="DX19" s="104"/>
      <c r="DY19" s="41" t="s">
        <v>20</v>
      </c>
      <c r="DZ19" s="41" t="s">
        <v>20</v>
      </c>
      <c r="EA19" s="41" t="s">
        <v>20</v>
      </c>
      <c r="EB19" s="41"/>
      <c r="EC19" s="41" t="s">
        <v>20</v>
      </c>
      <c r="ED19" s="104"/>
      <c r="EE19" s="104"/>
      <c r="EF19" s="104"/>
      <c r="EG19" s="104"/>
      <c r="EH19" s="41" t="s">
        <v>20</v>
      </c>
      <c r="EI19" s="41" t="s">
        <v>20</v>
      </c>
      <c r="EJ19" s="41" t="s">
        <v>20</v>
      </c>
      <c r="EK19" s="99"/>
      <c r="EL19" s="99"/>
      <c r="EM19" s="116"/>
      <c r="EN19" s="118"/>
    </row>
    <row r="20" spans="1:144" s="6" customFormat="1" ht="20.100000000000001" customHeight="1" x14ac:dyDescent="0.45">
      <c r="A20" s="5"/>
      <c r="B20" s="5"/>
      <c r="C20" s="19">
        <v>11</v>
      </c>
      <c r="D20" s="95"/>
      <c r="E20" s="145"/>
      <c r="F20" s="104"/>
      <c r="G20" s="104"/>
      <c r="H20" s="104"/>
      <c r="I20" s="41"/>
      <c r="J20" s="41"/>
      <c r="K20" s="41"/>
      <c r="L20" s="41"/>
      <c r="M20" s="41"/>
      <c r="N20" s="41"/>
      <c r="O20" s="104"/>
      <c r="P20" s="104"/>
      <c r="Q20" s="104"/>
      <c r="R20" s="104"/>
      <c r="S20" s="41"/>
      <c r="T20" s="41"/>
      <c r="U20" s="41"/>
      <c r="V20" s="41"/>
      <c r="W20" s="41"/>
      <c r="X20" s="41"/>
      <c r="Y20" s="41"/>
      <c r="Z20" s="99"/>
      <c r="AA20" s="99"/>
      <c r="AB20" s="116"/>
      <c r="AC20" s="118"/>
      <c r="AE20" s="19">
        <v>11</v>
      </c>
      <c r="AF20" s="95"/>
      <c r="AG20" s="99"/>
      <c r="AH20" s="104"/>
      <c r="AI20" s="104"/>
      <c r="AJ20" s="41" t="s">
        <v>20</v>
      </c>
      <c r="AK20" s="41" t="s">
        <v>20</v>
      </c>
      <c r="AL20" s="41" t="s">
        <v>20</v>
      </c>
      <c r="AM20" s="41" t="s">
        <v>20</v>
      </c>
      <c r="AN20" s="41" t="s">
        <v>20</v>
      </c>
      <c r="AO20" s="41" t="s">
        <v>20</v>
      </c>
      <c r="AP20" s="104"/>
      <c r="AQ20" s="104"/>
      <c r="AR20" s="41" t="s">
        <v>20</v>
      </c>
      <c r="AS20" s="104"/>
      <c r="AT20" s="104"/>
      <c r="AU20" s="104"/>
      <c r="AV20" s="104"/>
      <c r="AW20" s="104"/>
      <c r="AX20" s="104"/>
      <c r="AY20" s="104"/>
      <c r="AZ20" s="41" t="s">
        <v>20</v>
      </c>
      <c r="BA20" s="41" t="s">
        <v>20</v>
      </c>
      <c r="BB20" s="41" t="s">
        <v>20</v>
      </c>
      <c r="BC20" s="99"/>
      <c r="BD20" s="99"/>
      <c r="BE20" s="116"/>
      <c r="BF20" s="118"/>
      <c r="BH20" s="19">
        <v>11</v>
      </c>
      <c r="BI20" s="95"/>
      <c r="BJ20" s="99"/>
      <c r="BK20" s="104"/>
      <c r="BL20" s="104"/>
      <c r="BM20" s="41" t="s">
        <v>20</v>
      </c>
      <c r="BN20" s="41" t="s">
        <v>20</v>
      </c>
      <c r="BO20" s="41" t="s">
        <v>20</v>
      </c>
      <c r="BP20" s="41" t="s">
        <v>20</v>
      </c>
      <c r="BQ20" s="41" t="s">
        <v>20</v>
      </c>
      <c r="BR20" s="104"/>
      <c r="BS20" s="104"/>
      <c r="BT20" s="104"/>
      <c r="BU20" s="41" t="s">
        <v>20</v>
      </c>
      <c r="BV20" s="41" t="s">
        <v>20</v>
      </c>
      <c r="BW20" s="41" t="s">
        <v>20</v>
      </c>
      <c r="BX20" s="99"/>
      <c r="BY20" s="99"/>
      <c r="BZ20" s="116"/>
      <c r="CA20" s="118"/>
      <c r="CC20" s="19">
        <v>11</v>
      </c>
      <c r="CD20" s="95"/>
      <c r="CE20" s="99"/>
      <c r="CF20" s="104"/>
      <c r="CG20" s="104"/>
      <c r="CH20" s="104"/>
      <c r="CI20" s="104"/>
      <c r="CJ20" s="41" t="s">
        <v>20</v>
      </c>
      <c r="CK20" s="41" t="s">
        <v>20</v>
      </c>
      <c r="CL20" s="41" t="s">
        <v>20</v>
      </c>
      <c r="CM20" s="41" t="s">
        <v>20</v>
      </c>
      <c r="CN20" s="41" t="s">
        <v>20</v>
      </c>
      <c r="CO20" s="41" t="s">
        <v>20</v>
      </c>
      <c r="CP20" s="41" t="s">
        <v>20</v>
      </c>
      <c r="CQ20" s="104"/>
      <c r="CR20" s="104"/>
      <c r="CS20" s="104"/>
      <c r="CT20" s="41" t="s">
        <v>20</v>
      </c>
      <c r="CU20" s="41" t="s">
        <v>20</v>
      </c>
      <c r="CV20" s="41" t="s">
        <v>20</v>
      </c>
      <c r="CW20" s="99"/>
      <c r="CX20" s="99"/>
      <c r="CY20" s="116"/>
      <c r="CZ20" s="118"/>
      <c r="DB20" s="19">
        <v>11</v>
      </c>
      <c r="DC20" s="95"/>
      <c r="DD20" s="99"/>
      <c r="DE20" s="104"/>
      <c r="DF20" s="104"/>
      <c r="DG20" s="41" t="s">
        <v>20</v>
      </c>
      <c r="DH20" s="41" t="s">
        <v>20</v>
      </c>
      <c r="DI20" s="41" t="s">
        <v>20</v>
      </c>
      <c r="DJ20" s="41" t="s">
        <v>20</v>
      </c>
      <c r="DK20" s="41" t="s">
        <v>20</v>
      </c>
      <c r="DL20" s="104"/>
      <c r="DM20" s="41" t="s">
        <v>20</v>
      </c>
      <c r="DN20" s="41" t="s">
        <v>20</v>
      </c>
      <c r="DO20" s="41" t="s">
        <v>20</v>
      </c>
      <c r="DP20" s="99"/>
      <c r="DQ20" s="99"/>
      <c r="DR20" s="116"/>
      <c r="DS20" s="118"/>
      <c r="DU20" s="19">
        <v>11</v>
      </c>
      <c r="DV20" s="95"/>
      <c r="DW20" s="99"/>
      <c r="DX20" s="104"/>
      <c r="DY20" s="41" t="s">
        <v>20</v>
      </c>
      <c r="DZ20" s="41" t="s">
        <v>20</v>
      </c>
      <c r="EA20" s="41" t="s">
        <v>20</v>
      </c>
      <c r="EB20" s="41"/>
      <c r="EC20" s="41" t="s">
        <v>20</v>
      </c>
      <c r="ED20" s="104"/>
      <c r="EE20" s="104"/>
      <c r="EF20" s="104"/>
      <c r="EG20" s="104"/>
      <c r="EH20" s="41" t="s">
        <v>20</v>
      </c>
      <c r="EI20" s="41" t="s">
        <v>20</v>
      </c>
      <c r="EJ20" s="41" t="s">
        <v>20</v>
      </c>
      <c r="EK20" s="99"/>
      <c r="EL20" s="99"/>
      <c r="EM20" s="116"/>
      <c r="EN20" s="118"/>
    </row>
    <row r="21" spans="1:144" s="6" customFormat="1" ht="20.100000000000001" customHeight="1" thickBot="1" x14ac:dyDescent="0.5">
      <c r="A21" s="5"/>
      <c r="B21" s="5"/>
      <c r="C21" s="26">
        <v>12</v>
      </c>
      <c r="D21" s="96"/>
      <c r="E21" s="101"/>
      <c r="F21" s="106"/>
      <c r="G21" s="106"/>
      <c r="H21" s="106"/>
      <c r="I21" s="49" t="s">
        <v>20</v>
      </c>
      <c r="J21" s="49" t="s">
        <v>20</v>
      </c>
      <c r="K21" s="49" t="s">
        <v>20</v>
      </c>
      <c r="L21" s="49" t="s">
        <v>20</v>
      </c>
      <c r="M21" s="49" t="s">
        <v>20</v>
      </c>
      <c r="N21" s="49" t="s">
        <v>20</v>
      </c>
      <c r="O21" s="106"/>
      <c r="P21" s="106"/>
      <c r="Q21" s="106"/>
      <c r="R21" s="106"/>
      <c r="S21" s="49" t="s">
        <v>20</v>
      </c>
      <c r="T21" s="49" t="s">
        <v>20</v>
      </c>
      <c r="U21" s="49" t="s">
        <v>20</v>
      </c>
      <c r="V21" s="49" t="s">
        <v>20</v>
      </c>
      <c r="W21" s="49" t="s">
        <v>20</v>
      </c>
      <c r="X21" s="49" t="s">
        <v>20</v>
      </c>
      <c r="Y21" s="49" t="s">
        <v>20</v>
      </c>
      <c r="Z21" s="101"/>
      <c r="AA21" s="115"/>
      <c r="AB21" s="117"/>
      <c r="AC21" s="110"/>
      <c r="AE21" s="26">
        <v>12</v>
      </c>
      <c r="AF21" s="96"/>
      <c r="AG21" s="101"/>
      <c r="AH21" s="106"/>
      <c r="AI21" s="106"/>
      <c r="AJ21" s="49" t="s">
        <v>20</v>
      </c>
      <c r="AK21" s="49" t="s">
        <v>20</v>
      </c>
      <c r="AL21" s="49" t="s">
        <v>20</v>
      </c>
      <c r="AM21" s="49" t="s">
        <v>20</v>
      </c>
      <c r="AN21" s="49" t="s">
        <v>20</v>
      </c>
      <c r="AO21" s="49" t="s">
        <v>20</v>
      </c>
      <c r="AP21" s="106"/>
      <c r="AQ21" s="106"/>
      <c r="AR21" s="49" t="s">
        <v>20</v>
      </c>
      <c r="AS21" s="106"/>
      <c r="AT21" s="106"/>
      <c r="AU21" s="106"/>
      <c r="AV21" s="106"/>
      <c r="AW21" s="106"/>
      <c r="AX21" s="106"/>
      <c r="AY21" s="106"/>
      <c r="AZ21" s="49" t="s">
        <v>20</v>
      </c>
      <c r="BA21" s="49" t="s">
        <v>20</v>
      </c>
      <c r="BB21" s="49" t="s">
        <v>20</v>
      </c>
      <c r="BC21" s="101"/>
      <c r="BD21" s="115"/>
      <c r="BE21" s="117"/>
      <c r="BF21" s="110"/>
      <c r="BH21" s="26">
        <v>12</v>
      </c>
      <c r="BI21" s="96"/>
      <c r="BJ21" s="101"/>
      <c r="BK21" s="106"/>
      <c r="BL21" s="106"/>
      <c r="BM21" s="49" t="s">
        <v>20</v>
      </c>
      <c r="BN21" s="49" t="s">
        <v>20</v>
      </c>
      <c r="BO21" s="49" t="s">
        <v>20</v>
      </c>
      <c r="BP21" s="49" t="s">
        <v>20</v>
      </c>
      <c r="BQ21" s="49" t="s">
        <v>20</v>
      </c>
      <c r="BR21" s="106"/>
      <c r="BS21" s="106"/>
      <c r="BT21" s="106"/>
      <c r="BU21" s="49" t="s">
        <v>20</v>
      </c>
      <c r="BV21" s="49" t="s">
        <v>20</v>
      </c>
      <c r="BW21" s="49" t="s">
        <v>20</v>
      </c>
      <c r="BX21" s="101"/>
      <c r="BY21" s="115"/>
      <c r="BZ21" s="117"/>
      <c r="CA21" s="110"/>
      <c r="CC21" s="26">
        <v>12</v>
      </c>
      <c r="CD21" s="96"/>
      <c r="CE21" s="101"/>
      <c r="CF21" s="106"/>
      <c r="CG21" s="106"/>
      <c r="CH21" s="106"/>
      <c r="CI21" s="106"/>
      <c r="CJ21" s="49" t="s">
        <v>20</v>
      </c>
      <c r="CK21" s="49" t="s">
        <v>20</v>
      </c>
      <c r="CL21" s="49" t="s">
        <v>20</v>
      </c>
      <c r="CM21" s="49" t="s">
        <v>20</v>
      </c>
      <c r="CN21" s="49" t="s">
        <v>20</v>
      </c>
      <c r="CO21" s="49" t="s">
        <v>20</v>
      </c>
      <c r="CP21" s="49" t="s">
        <v>20</v>
      </c>
      <c r="CQ21" s="106"/>
      <c r="CR21" s="106"/>
      <c r="CS21" s="106"/>
      <c r="CT21" s="49" t="s">
        <v>20</v>
      </c>
      <c r="CU21" s="49" t="s">
        <v>20</v>
      </c>
      <c r="CV21" s="49" t="s">
        <v>20</v>
      </c>
      <c r="CW21" s="101"/>
      <c r="CX21" s="115"/>
      <c r="CY21" s="117"/>
      <c r="CZ21" s="110"/>
      <c r="DB21" s="26">
        <v>12</v>
      </c>
      <c r="DC21" s="96"/>
      <c r="DD21" s="101"/>
      <c r="DE21" s="106"/>
      <c r="DF21" s="106"/>
      <c r="DG21" s="49" t="s">
        <v>20</v>
      </c>
      <c r="DH21" s="49" t="s">
        <v>20</v>
      </c>
      <c r="DI21" s="49" t="s">
        <v>20</v>
      </c>
      <c r="DJ21" s="49" t="s">
        <v>20</v>
      </c>
      <c r="DK21" s="49" t="s">
        <v>20</v>
      </c>
      <c r="DL21" s="106"/>
      <c r="DM21" s="49" t="s">
        <v>20</v>
      </c>
      <c r="DN21" s="49" t="s">
        <v>20</v>
      </c>
      <c r="DO21" s="49" t="s">
        <v>20</v>
      </c>
      <c r="DP21" s="101"/>
      <c r="DQ21" s="115"/>
      <c r="DR21" s="117"/>
      <c r="DS21" s="110"/>
      <c r="DU21" s="26">
        <v>12</v>
      </c>
      <c r="DV21" s="96"/>
      <c r="DW21" s="101"/>
      <c r="DX21" s="106"/>
      <c r="DY21" s="49" t="s">
        <v>20</v>
      </c>
      <c r="DZ21" s="49" t="s">
        <v>20</v>
      </c>
      <c r="EA21" s="49" t="s">
        <v>20</v>
      </c>
      <c r="EB21" s="49"/>
      <c r="EC21" s="49" t="s">
        <v>20</v>
      </c>
      <c r="ED21" s="106"/>
      <c r="EE21" s="106"/>
      <c r="EF21" s="106"/>
      <c r="EG21" s="106"/>
      <c r="EH21" s="49" t="s">
        <v>20</v>
      </c>
      <c r="EI21" s="49" t="s">
        <v>20</v>
      </c>
      <c r="EJ21" s="49" t="s">
        <v>20</v>
      </c>
      <c r="EK21" s="101"/>
      <c r="EL21" s="115"/>
      <c r="EM21" s="117"/>
      <c r="EN21" s="110"/>
    </row>
    <row r="22" spans="1:144" s="6" customFormat="1" ht="20.100000000000001" customHeight="1" thickTop="1" x14ac:dyDescent="0.4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E22" s="5"/>
      <c r="AF22" s="5"/>
      <c r="AG22" s="5"/>
    </row>
    <row r="23" spans="1:144" ht="20.100000000000001" customHeight="1" x14ac:dyDescent="0.45">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row>
    <row r="24" spans="1:144" customFormat="1" ht="20.100000000000001" customHeight="1" x14ac:dyDescent="0.4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row>
    <row r="25" spans="1:144" ht="20.100000000000001" customHeight="1" x14ac:dyDescent="0.45">
      <c r="A25" s="8"/>
    </row>
    <row r="26" spans="1:144" ht="20.100000000000001" customHeight="1" x14ac:dyDescent="0.45">
      <c r="A26" s="8"/>
      <c r="CS26"/>
      <c r="CT26"/>
      <c r="CU26"/>
      <c r="CV26"/>
      <c r="CW26"/>
      <c r="CX26"/>
      <c r="CY26"/>
      <c r="CZ26"/>
    </row>
    <row r="27" spans="1:144" ht="19.5" customHeight="1" x14ac:dyDescent="0.45">
      <c r="CS27"/>
      <c r="CT27"/>
      <c r="CU27"/>
      <c r="CV27"/>
      <c r="CW27"/>
      <c r="CX27"/>
      <c r="CY27"/>
      <c r="CZ27"/>
    </row>
    <row r="28" spans="1:144" customFormat="1" ht="20.100000000000001" customHeight="1" x14ac:dyDescent="0.4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row>
    <row r="29" spans="1:144" customFormat="1" ht="20.100000000000001" customHeight="1" x14ac:dyDescent="0.4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row>
    <row r="30" spans="1:144" customFormat="1" ht="20.100000000000001" customHeight="1" x14ac:dyDescent="0.4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row>
    <row r="31" spans="1:144" customFormat="1" ht="20.100000000000001" customHeight="1" x14ac:dyDescent="0.4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row>
    <row r="32" spans="1:144" customFormat="1" ht="20.100000000000001" customHeight="1" x14ac:dyDescent="0.4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row>
    <row r="33" spans="2:96" customFormat="1" ht="20.100000000000001" customHeight="1" x14ac:dyDescent="0.4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row>
    <row r="34" spans="2:96" customFormat="1" ht="20.100000000000001" customHeight="1" x14ac:dyDescent="0.4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row>
    <row r="40" spans="2:96" ht="20.100000000000001" customHeight="1" x14ac:dyDescent="0.45">
      <c r="B40" s="8"/>
      <c r="C40"/>
      <c r="D40"/>
      <c r="E40"/>
      <c r="Z40" s="8"/>
      <c r="AA40" s="8"/>
      <c r="AB40" s="8"/>
      <c r="AC40" s="8"/>
      <c r="AD40" s="8"/>
      <c r="AE40" s="8"/>
      <c r="AF40" s="8"/>
      <c r="AG40" s="8"/>
    </row>
    <row r="41" spans="2:96" ht="20.100000000000001" customHeight="1" x14ac:dyDescent="0.45">
      <c r="B41" s="8"/>
      <c r="C41"/>
      <c r="D41"/>
      <c r="E41"/>
      <c r="Z41" s="8"/>
      <c r="AA41" s="8"/>
      <c r="AB41" s="8"/>
      <c r="AC41" s="8"/>
      <c r="AD41" s="8"/>
      <c r="AE41" s="8"/>
      <c r="AF41" s="8"/>
      <c r="AG41" s="8"/>
    </row>
    <row r="42" spans="2:96" ht="20.100000000000001" customHeight="1" x14ac:dyDescent="0.45">
      <c r="B42" s="8"/>
      <c r="C42" s="39"/>
      <c r="D42" s="39"/>
      <c r="Z42" s="8"/>
      <c r="AA42" s="8"/>
      <c r="AB42" s="8"/>
      <c r="AC42" s="8"/>
      <c r="AD42" s="8"/>
      <c r="AE42" s="8"/>
      <c r="AF42" s="8"/>
      <c r="AG42" s="8"/>
    </row>
    <row r="43" spans="2:96" customFormat="1" ht="20.100000000000001" customHeight="1" x14ac:dyDescent="0.45">
      <c r="E43" s="7"/>
      <c r="F43" s="7"/>
      <c r="G43" s="7"/>
      <c r="H43" s="7"/>
      <c r="I43" s="7"/>
      <c r="J43" s="7"/>
      <c r="K43" s="7"/>
      <c r="L43" s="7"/>
      <c r="M43" s="7"/>
      <c r="N43" s="7"/>
      <c r="O43" s="7"/>
      <c r="P43" s="7"/>
      <c r="Q43" s="7"/>
      <c r="R43" s="7"/>
      <c r="S43" s="7"/>
      <c r="T43" s="7"/>
      <c r="U43" s="7"/>
      <c r="V43" s="7"/>
      <c r="W43" s="7"/>
      <c r="X43" s="7"/>
      <c r="Y43" s="7"/>
    </row>
    <row r="44" spans="2:96" customFormat="1" ht="20.100000000000001" customHeight="1" x14ac:dyDescent="0.45">
      <c r="E44" s="7"/>
      <c r="F44" s="7"/>
      <c r="G44" s="7"/>
      <c r="H44" s="7"/>
      <c r="I44" s="7"/>
      <c r="J44" s="7"/>
      <c r="K44" s="7"/>
      <c r="L44" s="7"/>
      <c r="M44" s="7"/>
      <c r="N44" s="7"/>
      <c r="O44" s="7"/>
      <c r="P44" s="7"/>
      <c r="Q44" s="7"/>
      <c r="R44" s="7"/>
      <c r="S44" s="7"/>
      <c r="T44" s="7"/>
      <c r="U44" s="7"/>
      <c r="V44" s="7"/>
      <c r="W44" s="7"/>
      <c r="X44" s="7"/>
      <c r="Y44" s="7"/>
    </row>
    <row r="45" spans="2:96" customFormat="1" ht="20.100000000000001" customHeight="1" x14ac:dyDescent="0.45">
      <c r="E45" s="7"/>
      <c r="F45" s="7"/>
      <c r="G45" s="7"/>
      <c r="H45" s="7"/>
      <c r="I45" s="7"/>
      <c r="J45" s="7"/>
      <c r="K45" s="7"/>
      <c r="L45" s="7"/>
      <c r="M45" s="7"/>
      <c r="N45" s="7"/>
      <c r="O45" s="7"/>
      <c r="P45" s="7"/>
      <c r="Q45" s="7"/>
      <c r="R45" s="7"/>
      <c r="S45" s="7"/>
      <c r="T45" s="7"/>
      <c r="U45" s="7"/>
      <c r="V45" s="7"/>
      <c r="W45" s="7"/>
      <c r="X45" s="7"/>
      <c r="Y45" s="7"/>
    </row>
    <row r="46" spans="2:96" customFormat="1" ht="20.100000000000001" customHeight="1" x14ac:dyDescent="0.45">
      <c r="E46" s="7"/>
      <c r="F46" s="7"/>
      <c r="G46" s="7"/>
      <c r="H46" s="7"/>
      <c r="I46" s="7"/>
      <c r="J46" s="7"/>
      <c r="K46" s="7"/>
      <c r="L46" s="7"/>
      <c r="M46" s="7"/>
      <c r="N46" s="7"/>
      <c r="O46" s="7"/>
      <c r="P46" s="7"/>
      <c r="Q46" s="7"/>
      <c r="R46" s="7"/>
      <c r="S46" s="7"/>
      <c r="T46" s="7"/>
      <c r="U46" s="7"/>
      <c r="V46" s="7"/>
      <c r="W46" s="7"/>
      <c r="X46" s="7"/>
      <c r="Y46" s="7"/>
    </row>
    <row r="47" spans="2:96" customFormat="1" ht="20.100000000000001" customHeight="1" x14ac:dyDescent="0.45"/>
    <row r="48" spans="2:96" customFormat="1" ht="20.100000000000001" customHeight="1" x14ac:dyDescent="0.45"/>
    <row r="49" customFormat="1" ht="20.100000000000001" customHeight="1" x14ac:dyDescent="0.45"/>
    <row r="50" customFormat="1" ht="20.100000000000001" customHeight="1" x14ac:dyDescent="0.45"/>
    <row r="51" customFormat="1" ht="20.100000000000001" customHeight="1" x14ac:dyDescent="0.45"/>
    <row r="52" customFormat="1" ht="20.100000000000001" customHeight="1" x14ac:dyDescent="0.45"/>
    <row r="53" customFormat="1" ht="20.100000000000001" customHeight="1" x14ac:dyDescent="0.45"/>
    <row r="54" customFormat="1" ht="20.100000000000001" customHeight="1" x14ac:dyDescent="0.45"/>
    <row r="55" customFormat="1" ht="20.100000000000001" customHeight="1" x14ac:dyDescent="0.45"/>
    <row r="56" customFormat="1" ht="20.100000000000001" customHeight="1" x14ac:dyDescent="0.45"/>
    <row r="57" customFormat="1" ht="20.100000000000001" customHeight="1" x14ac:dyDescent="0.45"/>
    <row r="58" customFormat="1" ht="20.100000000000001" customHeight="1" x14ac:dyDescent="0.45"/>
    <row r="59" customFormat="1" ht="20.100000000000001" customHeight="1" x14ac:dyDescent="0.45"/>
    <row r="60" customFormat="1" ht="20.100000000000001" customHeight="1" x14ac:dyDescent="0.45"/>
    <row r="61" customFormat="1" ht="20.100000000000001" customHeight="1" x14ac:dyDescent="0.45"/>
    <row r="62" customFormat="1" ht="20.100000000000001" customHeight="1" x14ac:dyDescent="0.45"/>
    <row r="63" customFormat="1" ht="20.100000000000001" customHeight="1" x14ac:dyDescent="0.45"/>
    <row r="64" customFormat="1" ht="20.100000000000001" customHeight="1" x14ac:dyDescent="0.45"/>
    <row r="65" customFormat="1" ht="20.100000000000001" customHeight="1" x14ac:dyDescent="0.45"/>
    <row r="66" customFormat="1" ht="20.100000000000001" customHeight="1" x14ac:dyDescent="0.45"/>
    <row r="67" customFormat="1" ht="20.100000000000001" customHeight="1" x14ac:dyDescent="0.45"/>
    <row r="68" customFormat="1" ht="20.100000000000001" customHeight="1" x14ac:dyDescent="0.45"/>
    <row r="69" customFormat="1" ht="20.100000000000001" customHeight="1" x14ac:dyDescent="0.45"/>
    <row r="70" customFormat="1" ht="20.100000000000001" customHeight="1" x14ac:dyDescent="0.45"/>
    <row r="71" customFormat="1" ht="20.100000000000001" customHeight="1" x14ac:dyDescent="0.45"/>
    <row r="72" customFormat="1" ht="20.100000000000001" customHeight="1" x14ac:dyDescent="0.45"/>
    <row r="73" customFormat="1" ht="20.100000000000001" customHeight="1" x14ac:dyDescent="0.45"/>
    <row r="74" customFormat="1" ht="20.100000000000001" customHeight="1" x14ac:dyDescent="0.45"/>
    <row r="75" customFormat="1" ht="20.100000000000001" customHeight="1" x14ac:dyDescent="0.45"/>
    <row r="76" customFormat="1" ht="20.100000000000001" customHeight="1" x14ac:dyDescent="0.45"/>
  </sheetData>
  <phoneticPr fontId="2"/>
  <dataValidations count="1">
    <dataValidation type="list" showInputMessage="1" showErrorMessage="1" sqref="AJ10:AO21 S10:V21 BM10:BQ21 CJ10:CP21 BU10:BW21 DG10:DK21 CT10:CV21 DY10:EC21 DM10:DO21 EH10:EJ21 AZ10:BB21 I10:N21 W11:W21 Q15 Q11 X10:Y21 AR10:AR21">
      <formula1>チェック</formula1>
    </dataValidation>
  </dataValidations>
  <pageMargins left="0.70866141732283472" right="0.70866141732283472" top="0.74803149606299213" bottom="0.74803149606299213" header="0.31496062992125984" footer="0.31496062992125984"/>
  <pageSetup paperSize="9" scale="13" fitToHeight="0" orientation="landscape" r:id="rId1"/>
  <headerFooter>
    <oddFooter>&amp;C&amp;P / &amp;N &amp;R©2024 SMS DataTech Corporation. All rights reserved.</oddFooter>
  </headerFooter>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14:formula1>
            <xm:f>OFFSET(参照!$Q$1,0,,COUNTA(書式))</xm:f>
          </x14:formula1>
          <xm:sqref>AQ10:AQ21</xm:sqref>
        </x14:dataValidation>
        <x14:dataValidation type="list" allowBlank="1" showInputMessage="1" showErrorMessage="1">
          <x14:formula1>
            <xm:f>OFFSET(参照!$E$1,0,,COUNTA(配置))</xm:f>
          </x14:formula1>
          <xm:sqref>AH10:AH21 BK10:BK21 CF10:CF21 DE10:DE21 DX10:DX21 F10:F21</xm:sqref>
        </x14:dataValidation>
        <x14:dataValidation type="list" allowBlank="1" showInputMessage="1" showErrorMessage="1">
          <x14:formula1>
            <xm:f>OFFSET(参照!$G$1,0,,COUNTA(スタイル))</xm:f>
          </x14:formula1>
          <xm:sqref>AI10:AI21 BL10:BL21 DF10:DF21 H10:H21</xm:sqref>
        </x14:dataValidation>
        <x14:dataValidation type="list" allowBlank="1" showInputMessage="1" showErrorMessage="1">
          <x14:formula1>
            <xm:f>OFFSET(参照!$M$1,0,,COUNTA(コントロール種別))</xm:f>
          </x14:formula1>
          <xm:sqref>AV10:AV21 R10:R21</xm:sqref>
        </x14:dataValidation>
        <x14:dataValidation type="list" allowBlank="1" showInputMessage="1" showErrorMessage="1">
          <x14:formula1>
            <xm:f>OFFSET(参照!$O$1,0,,COUNTA(フルテキストの種類))</xm:f>
          </x14:formula1>
          <xm:sqref>BE10:BE21 BZ10:BZ21 CY10:CY21 DR10:DR21 EM10:EM21 AB10:AB21</xm:sqref>
        </x14:dataValidation>
        <x14:dataValidation type="list" allowBlank="1" showInputMessage="1" showErrorMessage="1">
          <x14:formula1>
            <xm:f>OFFSET(参照!$S$1,0,,COUNTA(端数処理種類))</xm:f>
          </x14:formula1>
          <xm:sqref>AU10:AU21</xm:sqref>
        </x14:dataValidation>
        <x14:dataValidation type="list" allowBlank="1" showInputMessage="1" showErrorMessage="1">
          <x14:formula1>
            <xm:f>OFFSET(参照!$U$1,0,,COUNTA(エディタの書式))</xm:f>
          </x14:formula1>
          <xm:sqref>BR10:BR21</xm:sqref>
        </x14:dataValidation>
        <x14:dataValidation type="list" allowBlank="1" showInputMessage="1" showErrorMessage="1">
          <x14:formula1>
            <xm:f>OFFSET(参照!$I$1,0,,COUNTA(スタイル_説明))</xm:f>
          </x14:formula1>
          <xm:sqref>CH10:CH21</xm:sqref>
        </x14:dataValidation>
        <x14:dataValidation type="list" allowBlank="1" showInputMessage="1" showErrorMessage="1">
          <x14:formula1>
            <xm:f>OFFSET(参照!$W$1,0,,COUNTA(ビュワー切替))</xm:f>
          </x14:formula1>
          <xm:sqref>CI10:CI21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AF22"/>
  <sheetViews>
    <sheetView showGridLines="0" view="pageBreakPreview" zoomScaleNormal="100" zoomScaleSheetLayoutView="100" workbookViewId="0">
      <selection activeCell="F27" sqref="F27"/>
    </sheetView>
  </sheetViews>
  <sheetFormatPr defaultColWidth="3.59765625" defaultRowHeight="20.100000000000001" customHeight="1" x14ac:dyDescent="0.45"/>
  <cols>
    <col min="1" max="1" width="1.09765625" style="7" customWidth="1"/>
    <col min="2" max="3" width="3.59765625" style="7" customWidth="1"/>
    <col min="4" max="4" width="6" style="7" bestFit="1" customWidth="1"/>
    <col min="5" max="5" width="28" style="7" customWidth="1"/>
    <col min="6" max="6" width="83.59765625" style="7" customWidth="1"/>
    <col min="7" max="7" width="71.59765625" style="7" customWidth="1"/>
    <col min="8" max="31" width="3.59765625" style="7" customWidth="1"/>
    <col min="32" max="32" width="1.09765625" style="7" customWidth="1"/>
    <col min="33" max="16384" width="3.59765625" style="7"/>
  </cols>
  <sheetData>
    <row r="1" spans="1:32" ht="5.25" customHeight="1" x14ac:dyDescent="0.45">
      <c r="A1"/>
      <c r="B1"/>
      <c r="C1"/>
      <c r="D1"/>
      <c r="E1"/>
      <c r="F1"/>
      <c r="G1"/>
      <c r="H1"/>
      <c r="I1"/>
      <c r="J1"/>
      <c r="K1"/>
      <c r="L1"/>
      <c r="M1"/>
      <c r="N1"/>
      <c r="O1"/>
      <c r="P1"/>
      <c r="Q1"/>
      <c r="R1"/>
      <c r="S1"/>
      <c r="T1"/>
      <c r="U1"/>
      <c r="V1"/>
      <c r="W1"/>
      <c r="X1"/>
      <c r="Y1"/>
      <c r="Z1"/>
      <c r="AA1"/>
      <c r="AB1"/>
      <c r="AC1"/>
      <c r="AD1"/>
      <c r="AE1"/>
      <c r="AF1"/>
    </row>
    <row r="2" spans="1:32" ht="20.100000000000001" customHeight="1" x14ac:dyDescent="0.45">
      <c r="A2"/>
      <c r="B2"/>
      <c r="C2"/>
      <c r="D2"/>
      <c r="E2"/>
      <c r="F2"/>
      <c r="G2"/>
      <c r="H2"/>
      <c r="I2"/>
      <c r="J2"/>
      <c r="K2"/>
      <c r="L2"/>
      <c r="M2"/>
      <c r="N2"/>
      <c r="O2"/>
      <c r="P2"/>
      <c r="Q2"/>
      <c r="R2"/>
      <c r="S2"/>
      <c r="T2"/>
      <c r="U2"/>
      <c r="V2"/>
      <c r="W2"/>
      <c r="X2"/>
      <c r="Y2"/>
      <c r="Z2"/>
      <c r="AA2"/>
      <c r="AB2"/>
      <c r="AC2"/>
      <c r="AD2"/>
      <c r="AE2"/>
      <c r="AF2"/>
    </row>
    <row r="3" spans="1:32" ht="20.100000000000001" customHeight="1" x14ac:dyDescent="0.45">
      <c r="A3"/>
      <c r="B3"/>
      <c r="C3"/>
      <c r="D3"/>
      <c r="E3"/>
      <c r="F3"/>
      <c r="G3"/>
      <c r="H3"/>
      <c r="I3"/>
      <c r="J3"/>
      <c r="K3"/>
      <c r="L3"/>
      <c r="M3"/>
      <c r="N3"/>
      <c r="O3"/>
      <c r="P3"/>
      <c r="Q3"/>
      <c r="R3"/>
      <c r="S3"/>
      <c r="T3"/>
      <c r="U3"/>
      <c r="V3"/>
      <c r="W3"/>
      <c r="X3"/>
      <c r="Y3"/>
      <c r="Z3"/>
      <c r="AA3"/>
      <c r="AB3"/>
      <c r="AC3"/>
      <c r="AD3"/>
      <c r="AE3"/>
      <c r="AF3"/>
    </row>
    <row r="4" spans="1:32" ht="20.100000000000001" customHeight="1" x14ac:dyDescent="0.45">
      <c r="A4"/>
      <c r="B4"/>
      <c r="C4"/>
      <c r="D4"/>
      <c r="E4"/>
      <c r="F4"/>
      <c r="G4"/>
      <c r="H4"/>
      <c r="I4"/>
      <c r="J4"/>
      <c r="K4"/>
      <c r="L4"/>
      <c r="M4"/>
      <c r="N4"/>
      <c r="O4"/>
      <c r="P4"/>
      <c r="Q4"/>
      <c r="R4"/>
      <c r="S4"/>
      <c r="T4"/>
      <c r="U4"/>
      <c r="V4"/>
      <c r="W4"/>
      <c r="X4"/>
      <c r="Y4"/>
      <c r="Z4"/>
      <c r="AA4"/>
      <c r="AB4"/>
      <c r="AC4"/>
      <c r="AD4"/>
      <c r="AE4"/>
      <c r="AF4"/>
    </row>
    <row r="5" spans="1:32" ht="5.25" customHeight="1" x14ac:dyDescent="0.45">
      <c r="A5"/>
      <c r="B5"/>
      <c r="C5"/>
      <c r="D5"/>
      <c r="E5"/>
      <c r="F5"/>
      <c r="G5"/>
      <c r="H5"/>
      <c r="I5"/>
      <c r="J5"/>
      <c r="K5"/>
      <c r="L5"/>
      <c r="M5"/>
      <c r="N5"/>
      <c r="O5"/>
      <c r="P5"/>
      <c r="Q5"/>
      <c r="R5"/>
      <c r="S5"/>
      <c r="T5"/>
      <c r="U5"/>
      <c r="V5"/>
      <c r="W5"/>
      <c r="X5"/>
      <c r="Y5"/>
      <c r="Z5"/>
      <c r="AA5"/>
      <c r="AB5"/>
      <c r="AC5"/>
      <c r="AD5"/>
      <c r="AE5"/>
      <c r="AF5"/>
    </row>
    <row r="6" spans="1:32" ht="20.100000000000001" customHeight="1" x14ac:dyDescent="0.45">
      <c r="B6" s="48" t="s">
        <v>128</v>
      </c>
      <c r="C6" s="8"/>
      <c r="D6" s="8"/>
      <c r="E6" s="8"/>
      <c r="F6" s="8"/>
      <c r="G6" s="8"/>
      <c r="H6" s="8"/>
      <c r="I6" s="8"/>
      <c r="J6" s="8"/>
      <c r="K6" s="8"/>
      <c r="L6" s="8"/>
      <c r="M6" s="8"/>
      <c r="N6" s="8"/>
      <c r="O6" s="8"/>
      <c r="P6" s="8"/>
      <c r="Q6" s="8"/>
      <c r="R6" s="8"/>
      <c r="S6" s="8"/>
      <c r="T6" s="8"/>
      <c r="U6" s="8"/>
      <c r="V6" s="8"/>
      <c r="W6" s="8"/>
      <c r="X6" s="8"/>
      <c r="Y6" s="8"/>
      <c r="Z6" s="8"/>
    </row>
    <row r="7" spans="1:32" ht="20.100000000000001" customHeight="1" x14ac:dyDescent="0.45">
      <c r="A7" s="8"/>
      <c r="B7" s="8"/>
    </row>
    <row r="8" spans="1:32" ht="20.100000000000001" customHeight="1" thickBot="1" x14ac:dyDescent="0.5">
      <c r="A8" s="8"/>
      <c r="B8" s="8"/>
      <c r="C8" s="25" t="s">
        <v>21</v>
      </c>
      <c r="D8" s="25"/>
      <c r="E8" s="8"/>
      <c r="F8" s="8"/>
      <c r="G8" s="8"/>
      <c r="H8" s="8"/>
      <c r="I8" s="8"/>
      <c r="J8" s="8"/>
      <c r="K8" s="8"/>
      <c r="L8" s="8"/>
      <c r="M8" s="8"/>
      <c r="N8" s="8"/>
      <c r="O8" s="8"/>
      <c r="P8" s="8"/>
      <c r="Q8" s="8"/>
      <c r="R8" s="8"/>
      <c r="S8" s="8"/>
      <c r="T8" s="8"/>
      <c r="U8" s="8"/>
      <c r="V8" s="8"/>
      <c r="W8" s="8"/>
      <c r="X8" s="8"/>
      <c r="Y8" s="8"/>
      <c r="Z8" s="8"/>
      <c r="AA8" s="8"/>
      <c r="AB8" s="8"/>
      <c r="AC8" s="8"/>
      <c r="AD8" s="8"/>
      <c r="AE8" s="8"/>
      <c r="AF8" s="8"/>
    </row>
    <row r="9" spans="1:32" ht="20.100000000000001" customHeight="1" thickTop="1" x14ac:dyDescent="0.45">
      <c r="A9" s="5"/>
      <c r="B9" s="8"/>
      <c r="C9" s="22" t="s">
        <v>12</v>
      </c>
      <c r="D9" s="23" t="s">
        <v>19</v>
      </c>
      <c r="E9" s="23" t="s">
        <v>22</v>
      </c>
      <c r="F9" s="107" t="s">
        <v>23</v>
      </c>
      <c r="G9" s="8"/>
      <c r="H9" s="8"/>
      <c r="I9" s="8"/>
      <c r="J9" s="8"/>
      <c r="K9" s="8"/>
      <c r="L9" s="8"/>
      <c r="M9" s="39"/>
      <c r="N9" s="39"/>
      <c r="O9" s="39"/>
      <c r="P9" s="39"/>
      <c r="Q9" s="39"/>
      <c r="R9" s="39"/>
      <c r="S9" s="39"/>
      <c r="T9" s="39"/>
      <c r="U9" s="39"/>
      <c r="V9" s="39"/>
      <c r="W9" s="39"/>
      <c r="X9" s="39"/>
      <c r="Y9" s="39"/>
      <c r="Z9" s="39"/>
      <c r="AA9" s="39"/>
      <c r="AB9" s="39"/>
      <c r="AC9" s="39"/>
      <c r="AD9" s="39"/>
      <c r="AE9" s="39"/>
    </row>
    <row r="10" spans="1:32" ht="20.100000000000001" customHeight="1" x14ac:dyDescent="0.45">
      <c r="A10" s="5"/>
      <c r="B10" s="5"/>
      <c r="C10" s="19">
        <v>1</v>
      </c>
      <c r="D10" s="99"/>
      <c r="E10" s="104" t="s">
        <v>20</v>
      </c>
      <c r="F10" s="118"/>
      <c r="H10" s="39"/>
      <c r="I10" s="39"/>
    </row>
    <row r="11" spans="1:32" ht="20.100000000000001" customHeight="1" x14ac:dyDescent="0.45">
      <c r="A11" s="5"/>
      <c r="B11" s="5"/>
      <c r="C11" s="19">
        <v>2</v>
      </c>
      <c r="D11" s="99"/>
      <c r="E11" s="104" t="s">
        <v>20</v>
      </c>
      <c r="F11" s="118"/>
      <c r="H11" s="39"/>
      <c r="I11" s="39"/>
    </row>
    <row r="12" spans="1:32" ht="20.100000000000001" customHeight="1" x14ac:dyDescent="0.45">
      <c r="A12" s="5"/>
      <c r="B12" s="5"/>
      <c r="C12" s="19">
        <v>3</v>
      </c>
      <c r="D12" s="99"/>
      <c r="E12" s="104" t="s">
        <v>20</v>
      </c>
      <c r="F12" s="118"/>
      <c r="H12" s="39"/>
      <c r="I12" s="39"/>
    </row>
    <row r="13" spans="1:32" ht="20.100000000000001" customHeight="1" x14ac:dyDescent="0.45">
      <c r="A13" s="5"/>
      <c r="B13" s="5"/>
      <c r="C13" s="19">
        <v>4</v>
      </c>
      <c r="D13" s="99"/>
      <c r="E13" s="104" t="s">
        <v>20</v>
      </c>
      <c r="F13" s="118"/>
      <c r="H13" s="39"/>
      <c r="I13" s="39"/>
    </row>
    <row r="14" spans="1:32" ht="20.100000000000001" customHeight="1" x14ac:dyDescent="0.45">
      <c r="A14" s="5"/>
      <c r="B14" s="5"/>
      <c r="C14" s="19">
        <v>5</v>
      </c>
      <c r="D14" s="99"/>
      <c r="E14" s="104" t="s">
        <v>20</v>
      </c>
      <c r="F14" s="118"/>
      <c r="H14" s="39"/>
      <c r="I14" s="39"/>
    </row>
    <row r="15" spans="1:32" ht="20.100000000000001" customHeight="1" x14ac:dyDescent="0.45">
      <c r="A15" s="5"/>
      <c r="B15" s="5"/>
      <c r="C15" s="19">
        <v>6</v>
      </c>
      <c r="D15" s="99"/>
      <c r="E15" s="104" t="s">
        <v>20</v>
      </c>
      <c r="F15" s="118"/>
      <c r="H15" s="39"/>
      <c r="I15" s="39"/>
    </row>
    <row r="16" spans="1:32" ht="20.100000000000001" customHeight="1" x14ac:dyDescent="0.45">
      <c r="A16" s="5"/>
      <c r="B16" s="5"/>
      <c r="C16" s="19">
        <v>7</v>
      </c>
      <c r="D16" s="99"/>
      <c r="E16" s="104" t="s">
        <v>20</v>
      </c>
      <c r="F16" s="118"/>
      <c r="H16" s="39"/>
      <c r="I16" s="39"/>
    </row>
    <row r="17" spans="1:32" ht="20.100000000000001" customHeight="1" x14ac:dyDescent="0.45">
      <c r="A17" s="5"/>
      <c r="B17" s="39"/>
      <c r="C17" s="19">
        <v>8</v>
      </c>
      <c r="D17" s="99"/>
      <c r="E17" s="104" t="s">
        <v>20</v>
      </c>
      <c r="F17" s="118"/>
      <c r="H17" s="39"/>
      <c r="I17" s="39"/>
    </row>
    <row r="18" spans="1:32" ht="20.100000000000001" customHeight="1" x14ac:dyDescent="0.45">
      <c r="B18" s="39"/>
      <c r="C18" s="19">
        <v>9</v>
      </c>
      <c r="D18" s="99"/>
      <c r="E18" s="104" t="s">
        <v>20</v>
      </c>
      <c r="F18" s="118"/>
      <c r="H18" s="39"/>
      <c r="I18" s="39"/>
    </row>
    <row r="19" spans="1:32" ht="20.100000000000001" customHeight="1" thickBot="1" x14ac:dyDescent="0.5">
      <c r="A19"/>
      <c r="B19" s="39"/>
      <c r="C19" s="26">
        <v>10</v>
      </c>
      <c r="D19" s="101"/>
      <c r="E19" s="106" t="s">
        <v>20</v>
      </c>
      <c r="F19" s="110"/>
      <c r="H19" s="39"/>
      <c r="I19" s="39"/>
    </row>
    <row r="20" spans="1:32" ht="20.100000000000001" customHeight="1" thickTop="1" x14ac:dyDescent="0.45">
      <c r="A20"/>
      <c r="B20" s="39"/>
      <c r="C20" s="5"/>
      <c r="D20" s="5"/>
      <c r="E20" s="12"/>
      <c r="I20" s="39"/>
      <c r="J20" s="39"/>
    </row>
    <row r="21" spans="1:32" ht="20.100000000000001" customHeight="1" x14ac:dyDescent="0.45">
      <c r="A21"/>
      <c r="B21" s="39"/>
      <c r="C21" s="8"/>
      <c r="D21" s="8"/>
      <c r="E21" s="8"/>
      <c r="F21" s="8"/>
      <c r="G21" s="8"/>
      <c r="H21" s="8"/>
      <c r="I21" s="8"/>
      <c r="J21" s="8"/>
      <c r="K21" s="39"/>
      <c r="L21" s="39"/>
      <c r="M21" s="39"/>
      <c r="N21" s="39"/>
      <c r="O21" s="39"/>
      <c r="P21" s="39"/>
      <c r="Q21" s="39"/>
      <c r="R21" s="39"/>
      <c r="S21" s="39"/>
      <c r="T21" s="39"/>
      <c r="U21" s="39"/>
      <c r="V21" s="39"/>
      <c r="W21" s="39"/>
      <c r="X21" s="39"/>
      <c r="Y21" s="39"/>
      <c r="Z21" s="39"/>
      <c r="AA21" s="39"/>
      <c r="AB21" s="39"/>
      <c r="AC21" s="39"/>
      <c r="AD21" s="39"/>
      <c r="AE21" s="39"/>
      <c r="AF21" s="39"/>
    </row>
    <row r="22" spans="1:32" ht="20.100000000000001" customHeight="1" x14ac:dyDescent="0.45">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sheetData>
  <phoneticPr fontId="2"/>
  <pageMargins left="0.70866141732283472" right="0.70866141732283472" top="0.74803149606299213" bottom="0.74803149606299213" header="0.31496062992125984" footer="0.31496062992125984"/>
  <pageSetup paperSize="9" scale="49" fitToHeight="0" orientation="landscape" r:id="rId1"/>
  <headerFooter>
    <oddFooter>&amp;C&amp;P / &amp;N &amp;R©2024 SMS DataTech Corporation. All rights reserved.</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pageSetUpPr fitToPage="1"/>
  </sheetPr>
  <dimension ref="A1:AZ22"/>
  <sheetViews>
    <sheetView showGridLines="0" view="pageBreakPreview" zoomScaleNormal="100" zoomScaleSheetLayoutView="100" workbookViewId="0"/>
  </sheetViews>
  <sheetFormatPr defaultColWidth="3.59765625" defaultRowHeight="20.100000000000001" customHeight="1" x14ac:dyDescent="0.45"/>
  <cols>
    <col min="1" max="1" width="1.09765625" style="7" customWidth="1"/>
    <col min="2" max="3" width="3.59765625" style="7" customWidth="1"/>
    <col min="4" max="4" width="28" style="7" customWidth="1"/>
    <col min="5" max="5" width="83.59765625" style="7" customWidth="1"/>
    <col min="6" max="20" width="3.59765625" style="7" customWidth="1"/>
    <col min="21" max="21" width="28" style="7" customWidth="1"/>
    <col min="22" max="22" width="83.59765625" style="7" customWidth="1"/>
    <col min="23" max="35" width="3.59765625" style="7" customWidth="1"/>
    <col min="36" max="36" width="0" style="7" hidden="1" customWidth="1"/>
    <col min="37" max="37" width="3.59765625" style="7" hidden="1" customWidth="1"/>
    <col min="38" max="38" width="28" style="7" hidden="1" customWidth="1"/>
    <col min="39" max="39" width="83.59765625" style="7" hidden="1" customWidth="1"/>
    <col min="40" max="52" width="3.59765625" style="7" hidden="1" customWidth="1"/>
    <col min="53" max="54" width="0" style="7" hidden="1" customWidth="1"/>
    <col min="55" max="16384" width="3.59765625" style="7"/>
  </cols>
  <sheetData>
    <row r="1" spans="1:52" ht="5.25" customHeight="1" x14ac:dyDescent="0.4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row>
    <row r="2" spans="1:52" ht="20.100000000000001" customHeight="1" x14ac:dyDescent="0.4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row>
    <row r="3" spans="1:52" ht="20.100000000000001" customHeight="1" x14ac:dyDescent="0.45">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row>
    <row r="4" spans="1:52" ht="20.100000000000001" customHeight="1" x14ac:dyDescent="0.45">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row>
    <row r="5" spans="1:52" ht="5.25" customHeight="1" x14ac:dyDescent="0.4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row>
    <row r="6" spans="1:52" ht="20.100000000000001" customHeight="1" x14ac:dyDescent="0.45">
      <c r="B6" s="48" t="s">
        <v>268</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row>
    <row r="7" spans="1:52" ht="20.100000000000001" customHeight="1" x14ac:dyDescent="0.45">
      <c r="A7" s="8"/>
      <c r="B7" s="8"/>
    </row>
    <row r="8" spans="1:52" ht="20.100000000000001" customHeight="1" thickBot="1" x14ac:dyDescent="0.5">
      <c r="A8" s="8"/>
      <c r="B8" s="8"/>
      <c r="C8" s="25" t="s">
        <v>289</v>
      </c>
      <c r="D8" s="8"/>
      <c r="E8" s="8"/>
      <c r="F8" s="8"/>
      <c r="G8" s="8"/>
      <c r="H8" s="8"/>
      <c r="I8" s="8"/>
      <c r="J8" s="8"/>
      <c r="K8" s="8"/>
      <c r="L8" s="8"/>
      <c r="M8" s="8"/>
      <c r="N8" s="8"/>
      <c r="O8" s="8"/>
      <c r="P8" s="8"/>
      <c r="Q8" s="8"/>
      <c r="R8" s="8"/>
      <c r="S8" s="8"/>
      <c r="T8" s="25" t="s">
        <v>290</v>
      </c>
      <c r="U8" s="8"/>
      <c r="V8" s="8"/>
      <c r="W8" s="8"/>
      <c r="X8" s="25"/>
      <c r="Y8" s="8"/>
      <c r="Z8" s="8"/>
      <c r="AA8" s="8"/>
      <c r="AB8" s="8"/>
      <c r="AC8" s="8"/>
      <c r="AD8" s="8"/>
      <c r="AE8" s="8"/>
      <c r="AF8" s="8"/>
      <c r="AG8" s="8"/>
      <c r="AH8" s="8"/>
      <c r="AI8" s="8"/>
      <c r="AJ8" s="8"/>
      <c r="AK8" s="25" t="s">
        <v>287</v>
      </c>
      <c r="AL8" s="8"/>
      <c r="AM8" s="8"/>
      <c r="AN8" s="8"/>
      <c r="AO8" s="25"/>
      <c r="AP8" s="8"/>
      <c r="AQ8" s="8"/>
      <c r="AR8" s="8"/>
      <c r="AS8" s="8"/>
      <c r="AT8" s="8"/>
      <c r="AU8" s="8"/>
      <c r="AV8" s="8"/>
      <c r="AW8" s="8"/>
      <c r="AX8" s="8"/>
      <c r="AY8" s="8"/>
      <c r="AZ8" s="8"/>
    </row>
    <row r="9" spans="1:52" ht="63.6" thickTop="1" x14ac:dyDescent="0.45">
      <c r="A9" s="5"/>
      <c r="B9" s="8"/>
      <c r="C9" s="22" t="s">
        <v>276</v>
      </c>
      <c r="D9" s="23" t="s">
        <v>269</v>
      </c>
      <c r="E9" s="109" t="s">
        <v>11</v>
      </c>
      <c r="F9" s="42" t="s">
        <v>62</v>
      </c>
      <c r="G9" s="42" t="s">
        <v>277</v>
      </c>
      <c r="H9" s="42" t="s">
        <v>278</v>
      </c>
      <c r="I9" s="42" t="s">
        <v>279</v>
      </c>
      <c r="J9" s="42" t="s">
        <v>193</v>
      </c>
      <c r="K9" s="42" t="s">
        <v>280</v>
      </c>
      <c r="L9" s="42" t="s">
        <v>168</v>
      </c>
      <c r="M9" s="42" t="s">
        <v>281</v>
      </c>
      <c r="N9" s="42" t="s">
        <v>282</v>
      </c>
      <c r="O9" s="42" t="s">
        <v>283</v>
      </c>
      <c r="P9" s="42" t="s">
        <v>284</v>
      </c>
      <c r="Q9" s="42" t="s">
        <v>285</v>
      </c>
      <c r="R9" s="44" t="s">
        <v>286</v>
      </c>
      <c r="S9"/>
      <c r="T9" s="22" t="s">
        <v>276</v>
      </c>
      <c r="U9" s="23" t="s">
        <v>269</v>
      </c>
      <c r="V9" s="109" t="s">
        <v>11</v>
      </c>
      <c r="W9" s="42" t="s">
        <v>62</v>
      </c>
      <c r="X9" s="42" t="s">
        <v>277</v>
      </c>
      <c r="Y9" s="42" t="s">
        <v>278</v>
      </c>
      <c r="Z9" s="42" t="s">
        <v>279</v>
      </c>
      <c r="AA9" s="42" t="s">
        <v>193</v>
      </c>
      <c r="AB9" s="42" t="s">
        <v>280</v>
      </c>
      <c r="AC9" s="42" t="s">
        <v>168</v>
      </c>
      <c r="AD9" s="42" t="s">
        <v>281</v>
      </c>
      <c r="AE9" s="42" t="s">
        <v>282</v>
      </c>
      <c r="AF9" s="42" t="s">
        <v>283</v>
      </c>
      <c r="AG9" s="42" t="s">
        <v>284</v>
      </c>
      <c r="AH9" s="42" t="s">
        <v>285</v>
      </c>
      <c r="AI9" s="44" t="s">
        <v>286</v>
      </c>
      <c r="AJ9"/>
      <c r="AK9" s="22" t="s">
        <v>276</v>
      </c>
      <c r="AL9" s="23" t="s">
        <v>269</v>
      </c>
      <c r="AM9" s="109" t="s">
        <v>11</v>
      </c>
      <c r="AN9" s="42" t="s">
        <v>62</v>
      </c>
      <c r="AO9" s="42" t="s">
        <v>277</v>
      </c>
      <c r="AP9" s="42" t="s">
        <v>278</v>
      </c>
      <c r="AQ9" s="42" t="s">
        <v>279</v>
      </c>
      <c r="AR9" s="42" t="s">
        <v>193</v>
      </c>
      <c r="AS9" s="42" t="s">
        <v>280</v>
      </c>
      <c r="AT9" s="42" t="s">
        <v>168</v>
      </c>
      <c r="AU9" s="42" t="s">
        <v>281</v>
      </c>
      <c r="AV9" s="42" t="s">
        <v>282</v>
      </c>
      <c r="AW9" s="42" t="s">
        <v>283</v>
      </c>
      <c r="AX9" s="42" t="s">
        <v>284</v>
      </c>
      <c r="AY9" s="42" t="s">
        <v>285</v>
      </c>
      <c r="AZ9" s="44" t="s">
        <v>286</v>
      </c>
    </row>
    <row r="10" spans="1:52" ht="20.100000000000001" customHeight="1" x14ac:dyDescent="0.45">
      <c r="A10" s="5"/>
      <c r="B10" s="5"/>
      <c r="C10" s="19">
        <v>1</v>
      </c>
      <c r="D10" s="104" t="s">
        <v>20</v>
      </c>
      <c r="E10" s="132"/>
      <c r="G10" s="41"/>
      <c r="H10" s="41"/>
      <c r="I10" s="41"/>
      <c r="J10" s="41"/>
      <c r="K10" s="41"/>
      <c r="L10" s="41"/>
      <c r="M10" s="41"/>
      <c r="N10" s="41"/>
      <c r="O10" s="41"/>
      <c r="P10" s="41"/>
      <c r="Q10" s="41"/>
      <c r="R10" s="45"/>
      <c r="T10" s="19">
        <v>1</v>
      </c>
      <c r="U10" s="104" t="s">
        <v>348</v>
      </c>
      <c r="V10" s="146" t="s">
        <v>349</v>
      </c>
      <c r="X10" s="41" t="s">
        <v>262</v>
      </c>
      <c r="Y10" s="41"/>
      <c r="Z10" s="41"/>
      <c r="AA10" s="41"/>
      <c r="AB10" s="41"/>
      <c r="AC10" s="41"/>
      <c r="AD10" s="41"/>
      <c r="AE10" s="41"/>
      <c r="AF10" s="41"/>
      <c r="AG10" s="41"/>
      <c r="AH10" s="41"/>
      <c r="AI10" s="45"/>
      <c r="AK10" s="19">
        <v>1</v>
      </c>
      <c r="AL10" s="104" t="s">
        <v>20</v>
      </c>
      <c r="AM10" s="132"/>
      <c r="AO10" s="41" t="s">
        <v>262</v>
      </c>
      <c r="AP10" s="41"/>
      <c r="AQ10" s="41"/>
      <c r="AR10" s="41"/>
      <c r="AS10" s="41"/>
      <c r="AT10" s="41"/>
      <c r="AU10" s="41"/>
      <c r="AV10" s="41"/>
      <c r="AW10" s="41"/>
      <c r="AX10" s="41"/>
      <c r="AY10" s="41"/>
      <c r="AZ10" s="45"/>
    </row>
    <row r="11" spans="1:52" ht="20.100000000000001" customHeight="1" x14ac:dyDescent="0.45">
      <c r="A11" s="5"/>
      <c r="B11" s="5"/>
      <c r="C11" s="19">
        <v>2</v>
      </c>
      <c r="D11" s="104" t="s">
        <v>20</v>
      </c>
      <c r="E11" s="132"/>
      <c r="F11" s="41"/>
      <c r="G11" s="41"/>
      <c r="H11" s="41"/>
      <c r="I11" s="41"/>
      <c r="J11" s="41"/>
      <c r="K11" s="41"/>
      <c r="L11" s="41"/>
      <c r="M11" s="41"/>
      <c r="N11" s="41"/>
      <c r="O11" s="41"/>
      <c r="P11" s="41"/>
      <c r="Q11" s="41"/>
      <c r="R11" s="45"/>
      <c r="T11" s="19">
        <v>2</v>
      </c>
      <c r="U11" s="104" t="s">
        <v>350</v>
      </c>
      <c r="V11" s="146" t="s">
        <v>351</v>
      </c>
      <c r="W11" s="41"/>
      <c r="X11" s="41"/>
      <c r="Y11" s="41" t="s">
        <v>347</v>
      </c>
      <c r="Z11" s="41" t="s">
        <v>347</v>
      </c>
      <c r="AA11" s="41"/>
      <c r="AB11" s="41"/>
      <c r="AC11" s="41"/>
      <c r="AD11" s="41"/>
      <c r="AE11" s="41"/>
      <c r="AF11" s="41"/>
      <c r="AG11" s="41"/>
      <c r="AH11" s="41"/>
      <c r="AI11" s="45"/>
      <c r="AK11" s="19">
        <v>2</v>
      </c>
      <c r="AL11" s="104" t="s">
        <v>20</v>
      </c>
      <c r="AM11" s="132"/>
      <c r="AN11" s="41"/>
      <c r="AO11" s="41" t="s">
        <v>262</v>
      </c>
      <c r="AP11" s="41"/>
      <c r="AQ11" s="41"/>
      <c r="AR11" s="41"/>
      <c r="AS11" s="41"/>
      <c r="AT11" s="41"/>
      <c r="AU11" s="41"/>
      <c r="AV11" s="41"/>
      <c r="AW11" s="41"/>
      <c r="AX11" s="41"/>
      <c r="AY11" s="41"/>
      <c r="AZ11" s="45"/>
    </row>
    <row r="12" spans="1:52" ht="20.100000000000001" customHeight="1" x14ac:dyDescent="0.45">
      <c r="A12" s="5"/>
      <c r="B12" s="5"/>
      <c r="C12" s="19">
        <v>3</v>
      </c>
      <c r="D12" s="104" t="s">
        <v>20</v>
      </c>
      <c r="E12" s="132"/>
      <c r="F12" s="41"/>
      <c r="G12" s="41"/>
      <c r="H12" s="41"/>
      <c r="I12" s="41"/>
      <c r="J12" s="41"/>
      <c r="K12" s="41"/>
      <c r="L12" s="41"/>
      <c r="M12" s="41"/>
      <c r="N12" s="41"/>
      <c r="O12" s="41"/>
      <c r="P12" s="41"/>
      <c r="Q12" s="41"/>
      <c r="R12" s="45"/>
      <c r="T12" s="19">
        <v>3</v>
      </c>
      <c r="U12" s="104" t="s">
        <v>352</v>
      </c>
      <c r="V12" s="146" t="s">
        <v>353</v>
      </c>
      <c r="W12" s="41"/>
      <c r="X12" s="41"/>
      <c r="Y12" s="41" t="s">
        <v>49</v>
      </c>
      <c r="Z12" s="41" t="s">
        <v>49</v>
      </c>
      <c r="AA12" s="41"/>
      <c r="AB12" s="41"/>
      <c r="AC12" s="41"/>
      <c r="AD12" s="41"/>
      <c r="AE12" s="41"/>
      <c r="AF12" s="41"/>
      <c r="AG12" s="41"/>
      <c r="AH12" s="41"/>
      <c r="AI12" s="45"/>
      <c r="AK12" s="19">
        <v>3</v>
      </c>
      <c r="AL12" s="104" t="s">
        <v>20</v>
      </c>
      <c r="AM12" s="132"/>
      <c r="AN12" s="41"/>
      <c r="AO12" s="41"/>
      <c r="AP12" s="41"/>
      <c r="AQ12" s="41"/>
      <c r="AR12" s="41"/>
      <c r="AS12" s="41"/>
      <c r="AT12" s="41"/>
      <c r="AU12" s="41"/>
      <c r="AV12" s="41"/>
      <c r="AW12" s="41"/>
      <c r="AX12" s="41"/>
      <c r="AY12" s="41"/>
      <c r="AZ12" s="45"/>
    </row>
    <row r="13" spans="1:52" ht="20.100000000000001" customHeight="1" x14ac:dyDescent="0.45">
      <c r="A13" s="5"/>
      <c r="B13" s="5"/>
      <c r="C13" s="19">
        <v>4</v>
      </c>
      <c r="D13" s="104" t="s">
        <v>20</v>
      </c>
      <c r="E13" s="132"/>
      <c r="F13" s="41"/>
      <c r="G13" s="41"/>
      <c r="H13" s="41"/>
      <c r="I13" s="41"/>
      <c r="J13" s="41"/>
      <c r="K13" s="41"/>
      <c r="L13" s="41"/>
      <c r="M13" s="41"/>
      <c r="N13" s="41"/>
      <c r="O13" s="41"/>
      <c r="P13" s="41"/>
      <c r="Q13" s="41"/>
      <c r="R13" s="45"/>
      <c r="T13" s="19">
        <v>4</v>
      </c>
      <c r="U13" s="104" t="s">
        <v>354</v>
      </c>
      <c r="V13" s="146" t="s">
        <v>355</v>
      </c>
      <c r="W13" s="41"/>
      <c r="X13" s="41"/>
      <c r="Y13" s="41" t="s">
        <v>347</v>
      </c>
      <c r="Z13" s="41" t="s">
        <v>347</v>
      </c>
      <c r="AA13" s="41"/>
      <c r="AB13" s="41"/>
      <c r="AC13" s="41"/>
      <c r="AD13" s="41"/>
      <c r="AE13" s="41"/>
      <c r="AF13" s="41"/>
      <c r="AG13" s="41"/>
      <c r="AH13" s="41"/>
      <c r="AI13" s="45"/>
      <c r="AK13" s="19">
        <v>4</v>
      </c>
      <c r="AL13" s="104" t="s">
        <v>20</v>
      </c>
      <c r="AM13" s="132"/>
      <c r="AN13" s="41"/>
      <c r="AO13" s="41"/>
      <c r="AP13" s="41"/>
      <c r="AQ13" s="41"/>
      <c r="AR13" s="41"/>
      <c r="AS13" s="41"/>
      <c r="AT13" s="41"/>
      <c r="AU13" s="41"/>
      <c r="AV13" s="41"/>
      <c r="AW13" s="41"/>
      <c r="AX13" s="41"/>
      <c r="AY13" s="41"/>
      <c r="AZ13" s="45"/>
    </row>
    <row r="14" spans="1:52" ht="20.100000000000001" customHeight="1" x14ac:dyDescent="0.45">
      <c r="A14" s="5"/>
      <c r="B14" s="5"/>
      <c r="C14" s="19">
        <v>5</v>
      </c>
      <c r="D14" s="104" t="s">
        <v>20</v>
      </c>
      <c r="E14" s="132"/>
      <c r="F14" s="41" t="s">
        <v>20</v>
      </c>
      <c r="G14" s="41" t="s">
        <v>20</v>
      </c>
      <c r="H14" s="41" t="s">
        <v>20</v>
      </c>
      <c r="I14" s="41" t="s">
        <v>20</v>
      </c>
      <c r="J14" s="41" t="s">
        <v>20</v>
      </c>
      <c r="K14" s="41" t="s">
        <v>20</v>
      </c>
      <c r="L14" s="41" t="s">
        <v>20</v>
      </c>
      <c r="M14" s="41" t="s">
        <v>20</v>
      </c>
      <c r="N14" s="41" t="s">
        <v>20</v>
      </c>
      <c r="O14" s="41" t="s">
        <v>20</v>
      </c>
      <c r="P14" s="41" t="s">
        <v>20</v>
      </c>
      <c r="Q14" s="41" t="s">
        <v>20</v>
      </c>
      <c r="R14" s="45" t="s">
        <v>20</v>
      </c>
      <c r="T14" s="19">
        <v>5</v>
      </c>
      <c r="U14" s="104" t="s">
        <v>356</v>
      </c>
      <c r="V14" s="146" t="s">
        <v>357</v>
      </c>
      <c r="W14" s="41" t="s">
        <v>20</v>
      </c>
      <c r="X14" s="41" t="s">
        <v>20</v>
      </c>
      <c r="Y14" s="41" t="s">
        <v>49</v>
      </c>
      <c r="Z14" s="41" t="s">
        <v>49</v>
      </c>
      <c r="AA14" s="41" t="s">
        <v>20</v>
      </c>
      <c r="AB14" s="41" t="s">
        <v>20</v>
      </c>
      <c r="AC14" s="41" t="s">
        <v>20</v>
      </c>
      <c r="AD14" s="41" t="s">
        <v>20</v>
      </c>
      <c r="AE14" s="41" t="s">
        <v>20</v>
      </c>
      <c r="AF14" s="41" t="s">
        <v>20</v>
      </c>
      <c r="AG14" s="41" t="s">
        <v>20</v>
      </c>
      <c r="AH14" s="41" t="s">
        <v>20</v>
      </c>
      <c r="AI14" s="45" t="s">
        <v>20</v>
      </c>
      <c r="AK14" s="19">
        <v>5</v>
      </c>
      <c r="AL14" s="104" t="s">
        <v>20</v>
      </c>
      <c r="AM14" s="132"/>
      <c r="AN14" s="41" t="s">
        <v>20</v>
      </c>
      <c r="AO14" s="41" t="s">
        <v>20</v>
      </c>
      <c r="AP14" s="41" t="s">
        <v>20</v>
      </c>
      <c r="AQ14" s="41" t="s">
        <v>20</v>
      </c>
      <c r="AR14" s="41" t="s">
        <v>20</v>
      </c>
      <c r="AS14" s="41" t="s">
        <v>20</v>
      </c>
      <c r="AT14" s="41" t="s">
        <v>20</v>
      </c>
      <c r="AU14" s="41" t="s">
        <v>20</v>
      </c>
      <c r="AV14" s="41" t="s">
        <v>20</v>
      </c>
      <c r="AW14" s="41" t="s">
        <v>20</v>
      </c>
      <c r="AX14" s="41" t="s">
        <v>20</v>
      </c>
      <c r="AY14" s="41" t="s">
        <v>20</v>
      </c>
      <c r="AZ14" s="45" t="s">
        <v>20</v>
      </c>
    </row>
    <row r="15" spans="1:52" ht="20.100000000000001" customHeight="1" x14ac:dyDescent="0.45">
      <c r="A15" s="5"/>
      <c r="B15" s="5"/>
      <c r="C15" s="19">
        <v>6</v>
      </c>
      <c r="D15" s="104" t="s">
        <v>20</v>
      </c>
      <c r="E15" s="132"/>
      <c r="F15" s="41" t="s">
        <v>20</v>
      </c>
      <c r="G15" s="41" t="s">
        <v>20</v>
      </c>
      <c r="H15" s="41" t="s">
        <v>20</v>
      </c>
      <c r="I15" s="41" t="s">
        <v>20</v>
      </c>
      <c r="J15" s="41" t="s">
        <v>20</v>
      </c>
      <c r="K15" s="41" t="s">
        <v>20</v>
      </c>
      <c r="L15" s="41" t="s">
        <v>20</v>
      </c>
      <c r="M15" s="41" t="s">
        <v>20</v>
      </c>
      <c r="N15" s="41" t="s">
        <v>20</v>
      </c>
      <c r="O15" s="41" t="s">
        <v>20</v>
      </c>
      <c r="P15" s="41" t="s">
        <v>20</v>
      </c>
      <c r="Q15" s="41" t="s">
        <v>20</v>
      </c>
      <c r="R15" s="45" t="s">
        <v>20</v>
      </c>
      <c r="T15" s="19">
        <v>6</v>
      </c>
      <c r="U15" s="104" t="s">
        <v>359</v>
      </c>
      <c r="V15" s="146" t="s">
        <v>358</v>
      </c>
      <c r="W15" s="41" t="s">
        <v>20</v>
      </c>
      <c r="X15" s="41" t="s">
        <v>20</v>
      </c>
      <c r="Y15" s="41" t="s">
        <v>49</v>
      </c>
      <c r="Z15" s="41" t="s">
        <v>49</v>
      </c>
      <c r="AA15" s="41" t="s">
        <v>20</v>
      </c>
      <c r="AB15" s="41" t="s">
        <v>20</v>
      </c>
      <c r="AC15" s="41" t="s">
        <v>20</v>
      </c>
      <c r="AD15" s="41" t="s">
        <v>20</v>
      </c>
      <c r="AE15" s="41" t="s">
        <v>20</v>
      </c>
      <c r="AF15" s="41" t="s">
        <v>20</v>
      </c>
      <c r="AG15" s="41" t="s">
        <v>20</v>
      </c>
      <c r="AH15" s="41" t="s">
        <v>20</v>
      </c>
      <c r="AI15" s="45" t="s">
        <v>20</v>
      </c>
      <c r="AK15" s="19">
        <v>6</v>
      </c>
      <c r="AL15" s="104" t="s">
        <v>20</v>
      </c>
      <c r="AM15" s="132"/>
      <c r="AN15" s="41" t="s">
        <v>20</v>
      </c>
      <c r="AO15" s="41" t="s">
        <v>20</v>
      </c>
      <c r="AP15" s="41" t="s">
        <v>20</v>
      </c>
      <c r="AQ15" s="41" t="s">
        <v>20</v>
      </c>
      <c r="AR15" s="41" t="s">
        <v>20</v>
      </c>
      <c r="AS15" s="41" t="s">
        <v>20</v>
      </c>
      <c r="AT15" s="41" t="s">
        <v>20</v>
      </c>
      <c r="AU15" s="41" t="s">
        <v>20</v>
      </c>
      <c r="AV15" s="41" t="s">
        <v>20</v>
      </c>
      <c r="AW15" s="41" t="s">
        <v>20</v>
      </c>
      <c r="AX15" s="41" t="s">
        <v>20</v>
      </c>
      <c r="AY15" s="41" t="s">
        <v>20</v>
      </c>
      <c r="AZ15" s="45" t="s">
        <v>20</v>
      </c>
    </row>
    <row r="16" spans="1:52" ht="20.100000000000001" customHeight="1" x14ac:dyDescent="0.45">
      <c r="A16" s="5"/>
      <c r="B16" s="5"/>
      <c r="C16" s="19">
        <v>7</v>
      </c>
      <c r="D16" s="104" t="s">
        <v>20</v>
      </c>
      <c r="E16" s="132"/>
      <c r="F16" s="41" t="s">
        <v>20</v>
      </c>
      <c r="G16" s="41" t="s">
        <v>20</v>
      </c>
      <c r="H16" s="41" t="s">
        <v>20</v>
      </c>
      <c r="I16" s="41" t="s">
        <v>20</v>
      </c>
      <c r="J16" s="41" t="s">
        <v>20</v>
      </c>
      <c r="K16" s="41" t="s">
        <v>20</v>
      </c>
      <c r="L16" s="41" t="s">
        <v>20</v>
      </c>
      <c r="M16" s="41" t="s">
        <v>20</v>
      </c>
      <c r="N16" s="41" t="s">
        <v>20</v>
      </c>
      <c r="O16" s="41" t="s">
        <v>20</v>
      </c>
      <c r="P16" s="41" t="s">
        <v>20</v>
      </c>
      <c r="Q16" s="41" t="s">
        <v>20</v>
      </c>
      <c r="R16" s="45" t="s">
        <v>20</v>
      </c>
      <c r="T16" s="19">
        <v>7</v>
      </c>
      <c r="U16" s="104" t="s">
        <v>360</v>
      </c>
      <c r="V16" s="132"/>
      <c r="W16" s="41" t="s">
        <v>20</v>
      </c>
      <c r="X16" s="41" t="s">
        <v>20</v>
      </c>
      <c r="Y16" s="41" t="s">
        <v>49</v>
      </c>
      <c r="Z16" s="41" t="s">
        <v>49</v>
      </c>
      <c r="AA16" s="41" t="s">
        <v>20</v>
      </c>
      <c r="AB16" s="41" t="s">
        <v>20</v>
      </c>
      <c r="AC16" s="41" t="s">
        <v>20</v>
      </c>
      <c r="AD16" s="41" t="s">
        <v>20</v>
      </c>
      <c r="AE16" s="41" t="s">
        <v>20</v>
      </c>
      <c r="AF16" s="41" t="s">
        <v>20</v>
      </c>
      <c r="AG16" s="41" t="s">
        <v>20</v>
      </c>
      <c r="AH16" s="41" t="s">
        <v>20</v>
      </c>
      <c r="AI16" s="45" t="s">
        <v>20</v>
      </c>
      <c r="AK16" s="19">
        <v>7</v>
      </c>
      <c r="AL16" s="104" t="s">
        <v>20</v>
      </c>
      <c r="AM16" s="132"/>
      <c r="AN16" s="41" t="s">
        <v>20</v>
      </c>
      <c r="AO16" s="41" t="s">
        <v>20</v>
      </c>
      <c r="AP16" s="41" t="s">
        <v>20</v>
      </c>
      <c r="AQ16" s="41" t="s">
        <v>20</v>
      </c>
      <c r="AR16" s="41" t="s">
        <v>20</v>
      </c>
      <c r="AS16" s="41" t="s">
        <v>20</v>
      </c>
      <c r="AT16" s="41" t="s">
        <v>20</v>
      </c>
      <c r="AU16" s="41" t="s">
        <v>20</v>
      </c>
      <c r="AV16" s="41" t="s">
        <v>20</v>
      </c>
      <c r="AW16" s="41" t="s">
        <v>20</v>
      </c>
      <c r="AX16" s="41" t="s">
        <v>20</v>
      </c>
      <c r="AY16" s="41" t="s">
        <v>20</v>
      </c>
      <c r="AZ16" s="45" t="s">
        <v>20</v>
      </c>
    </row>
    <row r="17" spans="1:52" ht="20.100000000000001" customHeight="1" x14ac:dyDescent="0.45">
      <c r="A17" s="5"/>
      <c r="B17" s="39"/>
      <c r="C17" s="19">
        <v>8</v>
      </c>
      <c r="D17" s="104" t="s">
        <v>20</v>
      </c>
      <c r="E17" s="132"/>
      <c r="F17" s="41" t="s">
        <v>20</v>
      </c>
      <c r="G17" s="41" t="s">
        <v>20</v>
      </c>
      <c r="H17" s="41" t="s">
        <v>20</v>
      </c>
      <c r="I17" s="41" t="s">
        <v>20</v>
      </c>
      <c r="J17" s="41" t="s">
        <v>20</v>
      </c>
      <c r="K17" s="41" t="s">
        <v>20</v>
      </c>
      <c r="L17" s="41" t="s">
        <v>20</v>
      </c>
      <c r="M17" s="41" t="s">
        <v>20</v>
      </c>
      <c r="N17" s="41" t="s">
        <v>20</v>
      </c>
      <c r="O17" s="41" t="s">
        <v>20</v>
      </c>
      <c r="P17" s="41" t="s">
        <v>20</v>
      </c>
      <c r="Q17" s="41" t="s">
        <v>20</v>
      </c>
      <c r="R17" s="45" t="s">
        <v>20</v>
      </c>
      <c r="T17" s="19">
        <v>8</v>
      </c>
      <c r="U17" s="104" t="s">
        <v>361</v>
      </c>
      <c r="V17" s="146" t="s">
        <v>362</v>
      </c>
      <c r="W17" s="41" t="s">
        <v>20</v>
      </c>
      <c r="X17" s="41" t="s">
        <v>20</v>
      </c>
      <c r="Y17" s="41" t="s">
        <v>49</v>
      </c>
      <c r="Z17" s="41" t="s">
        <v>49</v>
      </c>
      <c r="AA17" s="41" t="s">
        <v>20</v>
      </c>
      <c r="AB17" s="41" t="s">
        <v>20</v>
      </c>
      <c r="AC17" s="41" t="s">
        <v>20</v>
      </c>
      <c r="AD17" s="41" t="s">
        <v>20</v>
      </c>
      <c r="AE17" s="41" t="s">
        <v>20</v>
      </c>
      <c r="AF17" s="41" t="s">
        <v>20</v>
      </c>
      <c r="AG17" s="41" t="s">
        <v>20</v>
      </c>
      <c r="AH17" s="41" t="s">
        <v>20</v>
      </c>
      <c r="AI17" s="45" t="s">
        <v>20</v>
      </c>
      <c r="AK17" s="19">
        <v>8</v>
      </c>
      <c r="AL17" s="104" t="s">
        <v>20</v>
      </c>
      <c r="AM17" s="132"/>
      <c r="AN17" s="41" t="s">
        <v>20</v>
      </c>
      <c r="AO17" s="41" t="s">
        <v>20</v>
      </c>
      <c r="AP17" s="41" t="s">
        <v>20</v>
      </c>
      <c r="AQ17" s="41" t="s">
        <v>20</v>
      </c>
      <c r="AR17" s="41" t="s">
        <v>20</v>
      </c>
      <c r="AS17" s="41" t="s">
        <v>20</v>
      </c>
      <c r="AT17" s="41" t="s">
        <v>20</v>
      </c>
      <c r="AU17" s="41" t="s">
        <v>20</v>
      </c>
      <c r="AV17" s="41" t="s">
        <v>20</v>
      </c>
      <c r="AW17" s="41" t="s">
        <v>20</v>
      </c>
      <c r="AX17" s="41" t="s">
        <v>20</v>
      </c>
      <c r="AY17" s="41" t="s">
        <v>20</v>
      </c>
      <c r="AZ17" s="45" t="s">
        <v>20</v>
      </c>
    </row>
    <row r="18" spans="1:52" ht="20.100000000000001" customHeight="1" x14ac:dyDescent="0.45">
      <c r="B18" s="39"/>
      <c r="C18" s="19">
        <v>9</v>
      </c>
      <c r="D18" s="104" t="s">
        <v>20</v>
      </c>
      <c r="E18" s="132"/>
      <c r="F18" s="41" t="s">
        <v>20</v>
      </c>
      <c r="G18" s="41" t="s">
        <v>20</v>
      </c>
      <c r="H18" s="41" t="s">
        <v>20</v>
      </c>
      <c r="I18" s="41" t="s">
        <v>20</v>
      </c>
      <c r="J18" s="41" t="s">
        <v>20</v>
      </c>
      <c r="K18" s="41" t="s">
        <v>20</v>
      </c>
      <c r="L18" s="41" t="s">
        <v>20</v>
      </c>
      <c r="M18" s="41" t="s">
        <v>20</v>
      </c>
      <c r="N18" s="41" t="s">
        <v>20</v>
      </c>
      <c r="O18" s="41" t="s">
        <v>20</v>
      </c>
      <c r="P18" s="41" t="s">
        <v>20</v>
      </c>
      <c r="Q18" s="41" t="s">
        <v>20</v>
      </c>
      <c r="R18" s="45" t="s">
        <v>20</v>
      </c>
      <c r="T18" s="19">
        <v>9</v>
      </c>
      <c r="U18" s="104" t="s">
        <v>363</v>
      </c>
      <c r="V18" s="146" t="s">
        <v>364</v>
      </c>
      <c r="W18" s="41" t="s">
        <v>20</v>
      </c>
      <c r="X18" s="41" t="s">
        <v>20</v>
      </c>
      <c r="Y18" s="41" t="s">
        <v>49</v>
      </c>
      <c r="Z18" s="41" t="s">
        <v>49</v>
      </c>
      <c r="AA18" s="41" t="s">
        <v>20</v>
      </c>
      <c r="AB18" s="41" t="s">
        <v>20</v>
      </c>
      <c r="AC18" s="41" t="s">
        <v>20</v>
      </c>
      <c r="AD18" s="41" t="s">
        <v>20</v>
      </c>
      <c r="AE18" s="41" t="s">
        <v>20</v>
      </c>
      <c r="AF18" s="41" t="s">
        <v>20</v>
      </c>
      <c r="AG18" s="41" t="s">
        <v>20</v>
      </c>
      <c r="AH18" s="41" t="s">
        <v>20</v>
      </c>
      <c r="AI18" s="45" t="s">
        <v>20</v>
      </c>
      <c r="AK18" s="19">
        <v>9</v>
      </c>
      <c r="AL18" s="104" t="s">
        <v>20</v>
      </c>
      <c r="AM18" s="132"/>
      <c r="AN18" s="41" t="s">
        <v>20</v>
      </c>
      <c r="AO18" s="41" t="s">
        <v>20</v>
      </c>
      <c r="AP18" s="41" t="s">
        <v>20</v>
      </c>
      <c r="AQ18" s="41" t="s">
        <v>20</v>
      </c>
      <c r="AR18" s="41" t="s">
        <v>20</v>
      </c>
      <c r="AS18" s="41" t="s">
        <v>20</v>
      </c>
      <c r="AT18" s="41" t="s">
        <v>20</v>
      </c>
      <c r="AU18" s="41" t="s">
        <v>20</v>
      </c>
      <c r="AV18" s="41" t="s">
        <v>20</v>
      </c>
      <c r="AW18" s="41" t="s">
        <v>20</v>
      </c>
      <c r="AX18" s="41" t="s">
        <v>20</v>
      </c>
      <c r="AY18" s="41" t="s">
        <v>20</v>
      </c>
      <c r="AZ18" s="45" t="s">
        <v>20</v>
      </c>
    </row>
    <row r="19" spans="1:52" ht="20.100000000000001" customHeight="1" thickBot="1" x14ac:dyDescent="0.5">
      <c r="A19"/>
      <c r="B19" s="39"/>
      <c r="C19" s="26">
        <v>10</v>
      </c>
      <c r="D19" s="106" t="s">
        <v>20</v>
      </c>
      <c r="E19" s="115"/>
      <c r="F19" s="49" t="s">
        <v>20</v>
      </c>
      <c r="G19" s="49" t="s">
        <v>20</v>
      </c>
      <c r="H19" s="49" t="s">
        <v>20</v>
      </c>
      <c r="I19" s="49" t="s">
        <v>20</v>
      </c>
      <c r="J19" s="49" t="s">
        <v>20</v>
      </c>
      <c r="K19" s="49" t="s">
        <v>20</v>
      </c>
      <c r="L19" s="49" t="s">
        <v>20</v>
      </c>
      <c r="M19" s="49" t="s">
        <v>20</v>
      </c>
      <c r="N19" s="49" t="s">
        <v>20</v>
      </c>
      <c r="O19" s="49" t="s">
        <v>20</v>
      </c>
      <c r="P19" s="49" t="s">
        <v>20</v>
      </c>
      <c r="Q19" s="49" t="s">
        <v>20</v>
      </c>
      <c r="R19" s="46" t="s">
        <v>20</v>
      </c>
      <c r="T19" s="26">
        <v>10</v>
      </c>
      <c r="U19" s="106" t="s">
        <v>20</v>
      </c>
      <c r="V19" s="115"/>
      <c r="W19" s="49" t="s">
        <v>20</v>
      </c>
      <c r="X19" s="49" t="s">
        <v>20</v>
      </c>
      <c r="Y19" s="49" t="s">
        <v>20</v>
      </c>
      <c r="Z19" s="49" t="s">
        <v>20</v>
      </c>
      <c r="AA19" s="49" t="s">
        <v>20</v>
      </c>
      <c r="AB19" s="49" t="s">
        <v>20</v>
      </c>
      <c r="AC19" s="49" t="s">
        <v>20</v>
      </c>
      <c r="AD19" s="49" t="s">
        <v>20</v>
      </c>
      <c r="AE19" s="49" t="s">
        <v>20</v>
      </c>
      <c r="AF19" s="49" t="s">
        <v>20</v>
      </c>
      <c r="AG19" s="49" t="s">
        <v>20</v>
      </c>
      <c r="AH19" s="49" t="s">
        <v>20</v>
      </c>
      <c r="AI19" s="46" t="s">
        <v>20</v>
      </c>
      <c r="AK19" s="26">
        <v>10</v>
      </c>
      <c r="AL19" s="106" t="s">
        <v>20</v>
      </c>
      <c r="AM19" s="115"/>
      <c r="AN19" s="49" t="s">
        <v>20</v>
      </c>
      <c r="AO19" s="49" t="s">
        <v>20</v>
      </c>
      <c r="AP19" s="49" t="s">
        <v>20</v>
      </c>
      <c r="AQ19" s="49" t="s">
        <v>20</v>
      </c>
      <c r="AR19" s="49" t="s">
        <v>20</v>
      </c>
      <c r="AS19" s="49" t="s">
        <v>20</v>
      </c>
      <c r="AT19" s="49" t="s">
        <v>20</v>
      </c>
      <c r="AU19" s="49" t="s">
        <v>20</v>
      </c>
      <c r="AV19" s="49" t="s">
        <v>20</v>
      </c>
      <c r="AW19" s="49" t="s">
        <v>20</v>
      </c>
      <c r="AX19" s="49" t="s">
        <v>20</v>
      </c>
      <c r="AY19" s="49" t="s">
        <v>20</v>
      </c>
      <c r="AZ19" s="46" t="s">
        <v>20</v>
      </c>
    </row>
    <row r="20" spans="1:52" ht="20.100000000000001" customHeight="1" thickTop="1" x14ac:dyDescent="0.45">
      <c r="A20"/>
      <c r="B20" s="39"/>
      <c r="C20" s="5"/>
      <c r="D20" s="12"/>
      <c r="AD20" s="5"/>
      <c r="AE20" s="12"/>
      <c r="AH20" s="12"/>
    </row>
    <row r="21" spans="1:52" ht="20.100000000000001" customHeight="1" x14ac:dyDescent="0.45">
      <c r="A21"/>
      <c r="B21" s="39"/>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39"/>
      <c r="AH21" s="8"/>
      <c r="AI21" s="8"/>
      <c r="AJ21" s="39"/>
      <c r="AK21" s="39"/>
      <c r="AL21" s="39"/>
      <c r="AM21" s="39"/>
      <c r="AN21" s="39"/>
      <c r="AO21" s="39"/>
      <c r="AP21" s="39"/>
      <c r="AQ21" s="39"/>
      <c r="AR21" s="39"/>
      <c r="AS21" s="39"/>
      <c r="AT21" s="39"/>
      <c r="AU21" s="39"/>
      <c r="AV21" s="39"/>
      <c r="AW21" s="39"/>
      <c r="AX21" s="39"/>
      <c r="AY21" s="39"/>
    </row>
    <row r="22" spans="1:52" ht="20.100000000000001" customHeight="1" x14ac:dyDescent="0.45">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row>
  </sheetData>
  <phoneticPr fontId="2"/>
  <dataValidations count="1">
    <dataValidation type="list" showInputMessage="1" showErrorMessage="1" sqref="W11:X19 X10 AN11:AO19 H10:R19 G10 F11:G19 AP10:AZ19 AO10 Y10:AI19">
      <formula1>チェック</formula1>
    </dataValidation>
  </dataValidations>
  <pageMargins left="0.70866141732283472" right="0.70866141732283472" top="0.74803149606299213" bottom="0.74803149606299213" header="0.31496062992125984" footer="0.31496062992125984"/>
  <pageSetup paperSize="9" scale="36" fitToHeight="0" orientation="landscape" r:id="rId1"/>
  <headerFooter>
    <oddFooter>&amp;C&amp;P / &amp;N &amp;R©2024 SMS DataTech Corporation. All rights reserved.</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2:G55"/>
  <sheetViews>
    <sheetView workbookViewId="0"/>
  </sheetViews>
  <sheetFormatPr defaultRowHeight="18" x14ac:dyDescent="0.45"/>
  <cols>
    <col min="3" max="3" width="26.59765625" customWidth="1"/>
    <col min="4" max="4" width="29" customWidth="1"/>
    <col min="5" max="5" width="56.09765625" customWidth="1"/>
    <col min="6" max="6" width="129.09765625" customWidth="1"/>
  </cols>
  <sheetData>
    <row r="2" spans="2:7" ht="19.2" thickBot="1" x14ac:dyDescent="0.5">
      <c r="B2" s="134" t="s">
        <v>291</v>
      </c>
    </row>
    <row r="3" spans="2:7" ht="18.600000000000001" thickTop="1" x14ac:dyDescent="0.45">
      <c r="B3" s="22" t="s">
        <v>292</v>
      </c>
      <c r="C3" s="135" t="s">
        <v>252</v>
      </c>
      <c r="D3" s="135" t="s">
        <v>269</v>
      </c>
      <c r="E3" s="136" t="s">
        <v>293</v>
      </c>
      <c r="F3" s="136" t="s">
        <v>23</v>
      </c>
      <c r="G3" s="137" t="s">
        <v>294</v>
      </c>
    </row>
    <row r="4" spans="2:7" x14ac:dyDescent="0.45">
      <c r="B4" s="19">
        <v>1</v>
      </c>
      <c r="C4" s="138"/>
      <c r="D4" s="138"/>
      <c r="E4" s="139"/>
      <c r="F4" s="139"/>
      <c r="G4" s="140"/>
    </row>
    <row r="5" spans="2:7" x14ac:dyDescent="0.45">
      <c r="B5" s="19">
        <v>2</v>
      </c>
      <c r="C5" s="138"/>
      <c r="D5" s="138"/>
      <c r="E5" s="141"/>
      <c r="F5" s="141"/>
      <c r="G5" s="140"/>
    </row>
    <row r="6" spans="2:7" x14ac:dyDescent="0.45">
      <c r="B6" s="19">
        <v>3</v>
      </c>
      <c r="C6" s="138"/>
      <c r="D6" s="138"/>
      <c r="E6" s="141"/>
      <c r="F6" s="141"/>
      <c r="G6" s="140"/>
    </row>
    <row r="7" spans="2:7" x14ac:dyDescent="0.45">
      <c r="B7" s="19">
        <v>4</v>
      </c>
      <c r="C7" s="138"/>
      <c r="D7" s="138"/>
      <c r="E7" s="139"/>
      <c r="F7" s="141"/>
      <c r="G7" s="140"/>
    </row>
    <row r="8" spans="2:7" x14ac:dyDescent="0.45">
      <c r="B8" s="19">
        <v>5</v>
      </c>
      <c r="C8" s="138"/>
      <c r="D8" s="138"/>
      <c r="E8" s="141"/>
      <c r="F8" s="141"/>
      <c r="G8" s="140"/>
    </row>
    <row r="9" spans="2:7" x14ac:dyDescent="0.45">
      <c r="B9" s="19">
        <v>6</v>
      </c>
      <c r="C9" s="138"/>
      <c r="D9" s="138"/>
      <c r="E9" s="141"/>
      <c r="F9" s="141"/>
      <c r="G9" s="140"/>
    </row>
    <row r="10" spans="2:7" x14ac:dyDescent="0.45">
      <c r="B10" s="19">
        <v>7</v>
      </c>
      <c r="C10" s="138"/>
      <c r="D10" s="138"/>
      <c r="E10" s="141"/>
      <c r="F10" s="141"/>
      <c r="G10" s="140"/>
    </row>
    <row r="11" spans="2:7" x14ac:dyDescent="0.45">
      <c r="B11" s="19">
        <v>8</v>
      </c>
      <c r="C11" s="138"/>
      <c r="D11" s="138"/>
      <c r="E11" s="141"/>
      <c r="F11" s="141"/>
      <c r="G11" s="140"/>
    </row>
    <row r="12" spans="2:7" x14ac:dyDescent="0.45">
      <c r="B12" s="19">
        <v>9</v>
      </c>
      <c r="C12" s="138"/>
      <c r="D12" s="138"/>
      <c r="E12" s="141"/>
      <c r="F12" s="141"/>
      <c r="G12" s="140"/>
    </row>
    <row r="13" spans="2:7" x14ac:dyDescent="0.45">
      <c r="B13" s="19">
        <v>10</v>
      </c>
      <c r="C13" s="138"/>
      <c r="D13" s="138"/>
      <c r="E13" s="141"/>
      <c r="F13" s="141"/>
      <c r="G13" s="140"/>
    </row>
    <row r="14" spans="2:7" x14ac:dyDescent="0.45">
      <c r="B14" s="19">
        <v>11</v>
      </c>
      <c r="C14" s="138"/>
      <c r="D14" s="138"/>
      <c r="E14" s="141"/>
      <c r="F14" s="141"/>
      <c r="G14" s="140"/>
    </row>
    <row r="15" spans="2:7" x14ac:dyDescent="0.45">
      <c r="B15" s="19">
        <v>12</v>
      </c>
      <c r="C15" s="138"/>
      <c r="D15" s="138"/>
      <c r="E15" s="141"/>
      <c r="F15" s="141"/>
      <c r="G15" s="140"/>
    </row>
    <row r="16" spans="2:7" x14ac:dyDescent="0.45">
      <c r="B16" s="19">
        <v>13</v>
      </c>
      <c r="C16" s="138"/>
      <c r="D16" s="138"/>
      <c r="E16" s="141"/>
      <c r="F16" s="141"/>
      <c r="G16" s="140"/>
    </row>
    <row r="17" spans="2:7" x14ac:dyDescent="0.45">
      <c r="B17" s="19">
        <v>14</v>
      </c>
      <c r="C17" s="138"/>
      <c r="D17" s="138"/>
      <c r="E17" s="141"/>
      <c r="F17" s="141"/>
      <c r="G17" s="140"/>
    </row>
    <row r="18" spans="2:7" x14ac:dyDescent="0.45">
      <c r="B18" s="19">
        <v>15</v>
      </c>
      <c r="C18" s="138"/>
      <c r="D18" s="138"/>
      <c r="E18" s="141"/>
      <c r="F18" s="141"/>
      <c r="G18" s="140"/>
    </row>
    <row r="19" spans="2:7" x14ac:dyDescent="0.45">
      <c r="B19" s="19">
        <v>16</v>
      </c>
      <c r="C19" s="138"/>
      <c r="D19" s="138"/>
      <c r="E19" s="141"/>
      <c r="F19" s="141"/>
      <c r="G19" s="140"/>
    </row>
    <row r="20" spans="2:7" x14ac:dyDescent="0.45">
      <c r="B20" s="19">
        <v>17</v>
      </c>
      <c r="C20" s="138"/>
      <c r="D20" s="138"/>
      <c r="E20" s="141"/>
      <c r="F20" s="141"/>
      <c r="G20" s="140"/>
    </row>
    <row r="21" spans="2:7" x14ac:dyDescent="0.45">
      <c r="B21" s="19">
        <v>18</v>
      </c>
      <c r="C21" s="138"/>
      <c r="D21" s="138"/>
      <c r="E21" s="141"/>
      <c r="F21" s="141"/>
      <c r="G21" s="140"/>
    </row>
    <row r="22" spans="2:7" x14ac:dyDescent="0.45">
      <c r="B22" s="19">
        <v>19</v>
      </c>
      <c r="C22" s="138"/>
      <c r="D22" s="138"/>
      <c r="E22" s="141"/>
      <c r="F22" s="141"/>
      <c r="G22" s="140"/>
    </row>
    <row r="23" spans="2:7" x14ac:dyDescent="0.45">
      <c r="B23" s="19">
        <v>20</v>
      </c>
      <c r="C23" s="138"/>
      <c r="D23" s="138"/>
      <c r="E23" s="141"/>
      <c r="F23" s="141"/>
      <c r="G23" s="140"/>
    </row>
    <row r="24" spans="2:7" x14ac:dyDescent="0.45">
      <c r="B24" s="19">
        <v>21</v>
      </c>
      <c r="C24" s="138"/>
      <c r="D24" s="138"/>
      <c r="E24" s="141"/>
      <c r="F24" s="141"/>
      <c r="G24" s="140"/>
    </row>
    <row r="25" spans="2:7" x14ac:dyDescent="0.45">
      <c r="B25" s="19">
        <v>22</v>
      </c>
      <c r="C25" s="138"/>
      <c r="D25" s="138"/>
      <c r="E25" s="141"/>
      <c r="F25" s="141"/>
      <c r="G25" s="140"/>
    </row>
    <row r="26" spans="2:7" x14ac:dyDescent="0.45">
      <c r="B26" s="19">
        <v>23</v>
      </c>
      <c r="C26" s="138"/>
      <c r="D26" s="138"/>
      <c r="E26" s="141"/>
      <c r="F26" s="141"/>
      <c r="G26" s="140"/>
    </row>
    <row r="27" spans="2:7" x14ac:dyDescent="0.45">
      <c r="B27" s="19">
        <v>24</v>
      </c>
      <c r="C27" s="138"/>
      <c r="D27" s="138"/>
      <c r="E27" s="141"/>
      <c r="F27" s="141"/>
      <c r="G27" s="140"/>
    </row>
    <row r="28" spans="2:7" x14ac:dyDescent="0.45">
      <c r="B28" s="19">
        <v>25</v>
      </c>
      <c r="C28" s="138"/>
      <c r="D28" s="138"/>
      <c r="E28" s="141"/>
      <c r="F28" s="141"/>
      <c r="G28" s="140"/>
    </row>
    <row r="29" spans="2:7" x14ac:dyDescent="0.45">
      <c r="B29" s="19">
        <v>26</v>
      </c>
      <c r="C29" s="138"/>
      <c r="D29" s="138"/>
      <c r="E29" s="141"/>
      <c r="F29" s="141"/>
      <c r="G29" s="140"/>
    </row>
    <row r="30" spans="2:7" x14ac:dyDescent="0.45">
      <c r="B30" s="19">
        <v>27</v>
      </c>
      <c r="C30" s="138"/>
      <c r="D30" s="138"/>
      <c r="E30" s="141"/>
      <c r="F30" s="141"/>
      <c r="G30" s="140"/>
    </row>
    <row r="31" spans="2:7" x14ac:dyDescent="0.45">
      <c r="B31" s="19">
        <v>28</v>
      </c>
      <c r="C31" s="138"/>
      <c r="D31" s="138"/>
      <c r="E31" s="141"/>
      <c r="F31" s="141"/>
      <c r="G31" s="140"/>
    </row>
    <row r="32" spans="2:7" x14ac:dyDescent="0.45">
      <c r="B32" s="19">
        <v>29</v>
      </c>
      <c r="C32" s="138"/>
      <c r="D32" s="138"/>
      <c r="E32" s="141"/>
      <c r="F32" s="141"/>
      <c r="G32" s="140"/>
    </row>
    <row r="33" spans="2:7" x14ac:dyDescent="0.45">
      <c r="B33" s="19">
        <v>30</v>
      </c>
      <c r="C33" s="138"/>
      <c r="D33" s="138"/>
      <c r="E33" s="141"/>
      <c r="F33" s="141"/>
      <c r="G33" s="140"/>
    </row>
    <row r="34" spans="2:7" x14ac:dyDescent="0.45">
      <c r="B34" s="19">
        <v>31</v>
      </c>
      <c r="C34" s="138"/>
      <c r="D34" s="138"/>
      <c r="E34" s="141"/>
      <c r="F34" s="141"/>
      <c r="G34" s="140"/>
    </row>
    <row r="35" spans="2:7" x14ac:dyDescent="0.45">
      <c r="B35" s="19">
        <v>32</v>
      </c>
      <c r="C35" s="138"/>
      <c r="D35" s="138"/>
      <c r="E35" s="141"/>
      <c r="F35" s="141"/>
      <c r="G35" s="140"/>
    </row>
    <row r="36" spans="2:7" x14ac:dyDescent="0.45">
      <c r="B36" s="19">
        <v>33</v>
      </c>
      <c r="C36" s="138"/>
      <c r="D36" s="138"/>
      <c r="E36" s="141"/>
      <c r="F36" s="141"/>
      <c r="G36" s="140"/>
    </row>
    <row r="37" spans="2:7" x14ac:dyDescent="0.45">
      <c r="B37" s="19">
        <v>34</v>
      </c>
      <c r="C37" s="138"/>
      <c r="D37" s="138"/>
      <c r="E37" s="141"/>
      <c r="F37" s="141"/>
      <c r="G37" s="140"/>
    </row>
    <row r="38" spans="2:7" x14ac:dyDescent="0.45">
      <c r="B38" s="19">
        <v>35</v>
      </c>
      <c r="C38" s="138"/>
      <c r="D38" s="138"/>
      <c r="E38" s="141"/>
      <c r="F38" s="141"/>
      <c r="G38" s="140"/>
    </row>
    <row r="39" spans="2:7" x14ac:dyDescent="0.45">
      <c r="B39" s="19">
        <v>36</v>
      </c>
      <c r="C39" s="138"/>
      <c r="D39" s="138"/>
      <c r="E39" s="141"/>
      <c r="F39" s="141"/>
      <c r="G39" s="140"/>
    </row>
    <row r="40" spans="2:7" x14ac:dyDescent="0.45">
      <c r="B40" s="19">
        <v>37</v>
      </c>
      <c r="C40" s="138"/>
      <c r="D40" s="138"/>
      <c r="E40" s="141"/>
      <c r="F40" s="141"/>
      <c r="G40" s="140"/>
    </row>
    <row r="41" spans="2:7" x14ac:dyDescent="0.45">
      <c r="B41" s="19">
        <v>38</v>
      </c>
      <c r="C41" s="138"/>
      <c r="D41" s="138"/>
      <c r="E41" s="141"/>
      <c r="F41" s="141"/>
      <c r="G41" s="140"/>
    </row>
    <row r="42" spans="2:7" x14ac:dyDescent="0.45">
      <c r="B42" s="19">
        <v>39</v>
      </c>
      <c r="C42" s="138"/>
      <c r="D42" s="138"/>
      <c r="E42" s="141"/>
      <c r="F42" s="141"/>
      <c r="G42" s="140"/>
    </row>
    <row r="43" spans="2:7" x14ac:dyDescent="0.45">
      <c r="B43" s="19">
        <v>40</v>
      </c>
      <c r="C43" s="138"/>
      <c r="D43" s="138"/>
      <c r="E43" s="141"/>
      <c r="F43" s="141"/>
      <c r="G43" s="140"/>
    </row>
    <row r="44" spans="2:7" x14ac:dyDescent="0.45">
      <c r="B44" s="19">
        <v>41</v>
      </c>
      <c r="C44" s="138"/>
      <c r="D44" s="138"/>
      <c r="E44" s="141"/>
      <c r="F44" s="141"/>
      <c r="G44" s="140"/>
    </row>
    <row r="45" spans="2:7" x14ac:dyDescent="0.45">
      <c r="B45" s="19">
        <v>42</v>
      </c>
      <c r="C45" s="138"/>
      <c r="D45" s="138"/>
      <c r="E45" s="141"/>
      <c r="F45" s="141"/>
      <c r="G45" s="140"/>
    </row>
    <row r="46" spans="2:7" x14ac:dyDescent="0.45">
      <c r="B46" s="19">
        <v>43</v>
      </c>
      <c r="C46" s="138"/>
      <c r="D46" s="138"/>
      <c r="E46" s="141"/>
      <c r="F46" s="141"/>
      <c r="G46" s="140"/>
    </row>
    <row r="47" spans="2:7" x14ac:dyDescent="0.45">
      <c r="B47" s="19">
        <v>44</v>
      </c>
      <c r="C47" s="138"/>
      <c r="D47" s="138"/>
      <c r="E47" s="141"/>
      <c r="F47" s="141"/>
      <c r="G47" s="140"/>
    </row>
    <row r="48" spans="2:7" x14ac:dyDescent="0.45">
      <c r="B48" s="19">
        <v>45</v>
      </c>
      <c r="C48" s="138"/>
      <c r="D48" s="138"/>
      <c r="E48" s="141"/>
      <c r="F48" s="141"/>
      <c r="G48" s="140"/>
    </row>
    <row r="49" spans="2:7" x14ac:dyDescent="0.45">
      <c r="B49" s="19">
        <v>46</v>
      </c>
      <c r="C49" s="138"/>
      <c r="D49" s="138"/>
      <c r="E49" s="141"/>
      <c r="F49" s="141"/>
      <c r="G49" s="140"/>
    </row>
    <row r="50" spans="2:7" x14ac:dyDescent="0.45">
      <c r="B50" s="19">
        <v>47</v>
      </c>
      <c r="C50" s="138"/>
      <c r="D50" s="138"/>
      <c r="E50" s="141"/>
      <c r="F50" s="141"/>
      <c r="G50" s="140"/>
    </row>
    <row r="51" spans="2:7" x14ac:dyDescent="0.45">
      <c r="B51" s="19">
        <v>48</v>
      </c>
      <c r="C51" s="138"/>
      <c r="D51" s="138"/>
      <c r="E51" s="141"/>
      <c r="F51" s="141"/>
      <c r="G51" s="140"/>
    </row>
    <row r="52" spans="2:7" x14ac:dyDescent="0.45">
      <c r="B52" s="19">
        <v>49</v>
      </c>
      <c r="C52" s="138"/>
      <c r="D52" s="138"/>
      <c r="E52" s="141"/>
      <c r="F52" s="141"/>
      <c r="G52" s="140"/>
    </row>
    <row r="53" spans="2:7" x14ac:dyDescent="0.45">
      <c r="B53" s="19">
        <v>50</v>
      </c>
      <c r="C53" s="138"/>
      <c r="D53" s="138"/>
      <c r="E53" s="141"/>
      <c r="F53" s="141"/>
      <c r="G53" s="140"/>
    </row>
    <row r="54" spans="2:7" ht="18.600000000000001" thickBot="1" x14ac:dyDescent="0.5">
      <c r="B54" s="26">
        <v>51</v>
      </c>
      <c r="C54" s="142"/>
      <c r="D54" s="142"/>
      <c r="E54" s="143"/>
      <c r="F54" s="143"/>
      <c r="G54" s="144"/>
    </row>
    <row r="55" spans="2:7"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0000"/>
    <outlinePr summaryBelow="0" summaryRight="0"/>
  </sheetPr>
  <dimension ref="A1:Z980"/>
  <sheetViews>
    <sheetView workbookViewId="0">
      <pane xSplit="3" topLeftCell="D1" activePane="topRight" state="frozen"/>
      <selection pane="topRight" activeCell="L14" sqref="L14"/>
    </sheetView>
  </sheetViews>
  <sheetFormatPr defaultColWidth="11.3984375" defaultRowHeight="15.75" customHeight="1" x14ac:dyDescent="0.45"/>
  <cols>
    <col min="1" max="1" width="12.8984375" customWidth="1"/>
    <col min="2" max="2" width="20.3984375" customWidth="1"/>
    <col min="3" max="3" width="12.8984375" customWidth="1"/>
    <col min="4" max="4" width="18.09765625" customWidth="1"/>
    <col min="5" max="17" width="9.09765625" customWidth="1"/>
    <col min="18" max="18" width="50.09765625" customWidth="1"/>
    <col min="19" max="26" width="9.09765625" customWidth="1"/>
  </cols>
  <sheetData>
    <row r="1" spans="1:26" s="54" customFormat="1" ht="16.8" thickBot="1" x14ac:dyDescent="0.45">
      <c r="A1" s="51"/>
      <c r="B1" s="52" t="s">
        <v>133</v>
      </c>
      <c r="C1" s="53" t="s">
        <v>134</v>
      </c>
    </row>
    <row r="2" spans="1:26" s="54" customFormat="1" ht="16.8" thickTop="1" x14ac:dyDescent="0.4">
      <c r="A2" s="181" t="s">
        <v>135</v>
      </c>
      <c r="B2" s="184" t="s">
        <v>136</v>
      </c>
      <c r="C2" s="55" t="s">
        <v>137</v>
      </c>
      <c r="D2" s="55" t="s">
        <v>138</v>
      </c>
      <c r="E2" s="56"/>
      <c r="F2" s="57"/>
      <c r="G2" s="58"/>
      <c r="H2" s="58"/>
      <c r="I2" s="58"/>
      <c r="J2" s="58"/>
      <c r="K2" s="58"/>
      <c r="L2" s="58"/>
      <c r="M2" s="58"/>
      <c r="N2" s="58"/>
      <c r="O2" s="58"/>
      <c r="P2" s="58"/>
      <c r="Q2" s="58"/>
      <c r="R2" s="58"/>
      <c r="S2" s="58"/>
      <c r="T2" s="58"/>
      <c r="U2" s="58"/>
      <c r="V2" s="58"/>
      <c r="W2" s="58"/>
      <c r="X2" s="58"/>
      <c r="Y2" s="58"/>
      <c r="Z2" s="59"/>
    </row>
    <row r="3" spans="1:26" s="54" customFormat="1" ht="16.2" x14ac:dyDescent="0.4">
      <c r="A3" s="182"/>
      <c r="B3" s="185"/>
      <c r="C3" s="60" t="s">
        <v>139</v>
      </c>
      <c r="D3" s="60" t="s">
        <v>140</v>
      </c>
      <c r="E3" s="61"/>
      <c r="F3" s="62"/>
      <c r="G3" s="63"/>
      <c r="H3" s="63"/>
      <c r="I3" s="63"/>
      <c r="J3" s="63"/>
      <c r="K3" s="63"/>
      <c r="L3" s="63"/>
      <c r="M3" s="63"/>
      <c r="N3" s="63"/>
      <c r="O3" s="63"/>
      <c r="P3" s="63"/>
      <c r="Q3" s="63"/>
      <c r="R3" s="63"/>
      <c r="S3" s="63"/>
      <c r="T3" s="63"/>
      <c r="U3" s="63"/>
      <c r="V3" s="63"/>
      <c r="W3" s="63"/>
      <c r="X3" s="63"/>
      <c r="Y3" s="63"/>
      <c r="Z3" s="64"/>
    </row>
    <row r="4" spans="1:26" s="54" customFormat="1" ht="15.75" customHeight="1" x14ac:dyDescent="0.4">
      <c r="A4" s="182"/>
      <c r="B4" s="185"/>
      <c r="C4" s="60" t="s">
        <v>141</v>
      </c>
      <c r="D4" s="60" t="s">
        <v>142</v>
      </c>
      <c r="E4" s="65"/>
      <c r="F4" s="62"/>
      <c r="G4" s="63"/>
      <c r="H4" s="63"/>
      <c r="I4" s="63"/>
      <c r="J4" s="63"/>
      <c r="K4" s="63"/>
      <c r="L4" s="63"/>
      <c r="M4" s="63"/>
      <c r="N4" s="63"/>
      <c r="O4" s="63"/>
      <c r="P4" s="63"/>
      <c r="Q4" s="63"/>
      <c r="R4" s="63"/>
      <c r="S4" s="63"/>
      <c r="T4" s="63"/>
      <c r="U4" s="63"/>
      <c r="V4" s="63"/>
      <c r="W4" s="63"/>
      <c r="X4" s="63"/>
      <c r="Y4" s="63"/>
      <c r="Z4" s="64"/>
    </row>
    <row r="5" spans="1:26" s="54" customFormat="1" ht="15.75" customHeight="1" x14ac:dyDescent="0.4">
      <c r="A5" s="182"/>
      <c r="B5" s="185"/>
      <c r="C5" s="60" t="s">
        <v>143</v>
      </c>
      <c r="D5" s="60" t="s">
        <v>144</v>
      </c>
      <c r="E5" s="66"/>
      <c r="F5" s="62"/>
      <c r="G5" s="63"/>
      <c r="H5" s="63"/>
      <c r="I5" s="63"/>
      <c r="J5" s="63"/>
      <c r="K5" s="63"/>
      <c r="L5" s="63"/>
      <c r="M5" s="63"/>
      <c r="N5" s="63"/>
      <c r="O5" s="63"/>
      <c r="P5" s="63"/>
      <c r="Q5" s="63"/>
      <c r="R5" s="63"/>
      <c r="S5" s="63"/>
      <c r="T5" s="63"/>
      <c r="U5" s="63"/>
      <c r="V5" s="63"/>
      <c r="W5" s="63"/>
      <c r="X5" s="63"/>
      <c r="Y5" s="63"/>
      <c r="Z5" s="64"/>
    </row>
    <row r="6" spans="1:26" s="54" customFormat="1" ht="15.75" customHeight="1" thickBot="1" x14ac:dyDescent="0.45">
      <c r="A6" s="183"/>
      <c r="B6" s="186"/>
      <c r="C6" s="67" t="s">
        <v>145</v>
      </c>
      <c r="D6" s="67" t="s">
        <v>146</v>
      </c>
      <c r="E6" s="68"/>
      <c r="F6" s="69"/>
      <c r="G6" s="70"/>
      <c r="H6" s="70"/>
      <c r="I6" s="70"/>
      <c r="J6" s="70"/>
      <c r="K6" s="70"/>
      <c r="L6" s="70"/>
      <c r="M6" s="70"/>
      <c r="N6" s="70"/>
      <c r="O6" s="70"/>
      <c r="P6" s="70"/>
      <c r="Q6" s="70"/>
      <c r="R6" s="70"/>
      <c r="S6" s="70"/>
      <c r="T6" s="70"/>
      <c r="U6" s="70"/>
      <c r="V6" s="70"/>
      <c r="W6" s="70"/>
      <c r="X6" s="70"/>
      <c r="Y6" s="70"/>
      <c r="Z6" s="71"/>
    </row>
    <row r="7" spans="1:26" s="54" customFormat="1" ht="19.2" thickTop="1" thickBot="1" x14ac:dyDescent="0.45">
      <c r="A7" s="187" t="s">
        <v>147</v>
      </c>
      <c r="B7" s="72" t="s">
        <v>148</v>
      </c>
      <c r="C7" s="73" t="s">
        <v>149</v>
      </c>
      <c r="D7" s="74" t="s">
        <v>150</v>
      </c>
      <c r="E7" s="75"/>
      <c r="F7" s="76"/>
      <c r="G7" s="77"/>
      <c r="H7" s="77"/>
      <c r="I7" s="77"/>
      <c r="J7" s="77"/>
      <c r="K7" s="77"/>
      <c r="L7" s="77"/>
      <c r="M7" s="77"/>
      <c r="N7" s="77"/>
      <c r="O7" s="77"/>
      <c r="P7" s="77"/>
      <c r="Q7" s="77"/>
      <c r="R7" s="77"/>
      <c r="S7" s="77"/>
      <c r="T7" s="77"/>
      <c r="U7" s="76"/>
      <c r="V7" s="76"/>
      <c r="W7" s="76"/>
      <c r="X7" s="76"/>
      <c r="Y7" s="76"/>
      <c r="Z7" s="78"/>
    </row>
    <row r="8" spans="1:26" s="54" customFormat="1" ht="18.600000000000001" thickTop="1" x14ac:dyDescent="0.4">
      <c r="A8" s="182"/>
      <c r="B8" s="188" t="s">
        <v>151</v>
      </c>
      <c r="C8" s="79" t="s">
        <v>152</v>
      </c>
      <c r="D8" s="55" t="s">
        <v>153</v>
      </c>
      <c r="E8" s="80"/>
      <c r="F8" s="57"/>
      <c r="G8" s="58"/>
      <c r="H8" s="58"/>
      <c r="I8" s="58"/>
      <c r="J8" s="58"/>
      <c r="K8" s="58"/>
      <c r="L8" s="58"/>
      <c r="M8" s="58"/>
      <c r="N8" s="58"/>
      <c r="O8" s="58"/>
      <c r="P8" s="58"/>
      <c r="Q8" s="58"/>
      <c r="R8" s="58"/>
      <c r="S8" s="58"/>
      <c r="T8" s="58"/>
      <c r="U8" s="57"/>
      <c r="V8" s="57"/>
      <c r="W8" s="57"/>
      <c r="X8" s="57"/>
      <c r="Y8" s="57"/>
      <c r="Z8" s="81"/>
    </row>
    <row r="9" spans="1:26" s="54" customFormat="1" ht="18" x14ac:dyDescent="0.4">
      <c r="A9" s="182"/>
      <c r="B9" s="185"/>
      <c r="C9" s="82" t="s">
        <v>154</v>
      </c>
      <c r="D9" s="60" t="s">
        <v>155</v>
      </c>
      <c r="E9" s="66"/>
      <c r="F9" s="62"/>
      <c r="G9" s="63"/>
      <c r="H9" s="63"/>
      <c r="I9" s="63"/>
      <c r="J9" s="63"/>
      <c r="K9" s="63"/>
      <c r="L9" s="63"/>
      <c r="M9" s="63"/>
      <c r="N9" s="63"/>
      <c r="O9" s="63"/>
      <c r="P9" s="63"/>
      <c r="Q9" s="63"/>
      <c r="R9" s="63"/>
      <c r="S9" s="63"/>
      <c r="T9" s="63"/>
      <c r="U9" s="62"/>
      <c r="V9" s="62"/>
      <c r="W9" s="63"/>
      <c r="X9" s="62"/>
      <c r="Y9" s="62"/>
      <c r="Z9" s="83"/>
    </row>
    <row r="10" spans="1:26" s="54" customFormat="1" ht="18.600000000000001" thickBot="1" x14ac:dyDescent="0.45">
      <c r="A10" s="182"/>
      <c r="B10" s="186"/>
      <c r="C10" s="84" t="s">
        <v>156</v>
      </c>
      <c r="D10" s="67" t="s">
        <v>157</v>
      </c>
      <c r="E10" s="85"/>
      <c r="F10" s="69"/>
      <c r="G10" s="70"/>
      <c r="H10" s="70"/>
      <c r="I10" s="70"/>
      <c r="J10" s="70"/>
      <c r="K10" s="70"/>
      <c r="L10" s="70"/>
      <c r="M10" s="70"/>
      <c r="N10" s="70"/>
      <c r="O10" s="70"/>
      <c r="P10" s="70"/>
      <c r="Q10" s="70"/>
      <c r="R10" s="70"/>
      <c r="S10" s="70"/>
      <c r="T10" s="70"/>
      <c r="U10" s="69"/>
      <c r="V10" s="69"/>
      <c r="W10" s="69"/>
      <c r="X10" s="69"/>
      <c r="Y10" s="69"/>
      <c r="Z10" s="86"/>
    </row>
    <row r="11" spans="1:26" s="54" customFormat="1" ht="16.8" thickTop="1" x14ac:dyDescent="0.4">
      <c r="A11" s="182"/>
      <c r="B11" s="184" t="s">
        <v>158</v>
      </c>
      <c r="C11" s="55" t="s">
        <v>159</v>
      </c>
      <c r="D11" s="55" t="s">
        <v>160</v>
      </c>
      <c r="E11" s="80"/>
      <c r="F11" s="57"/>
      <c r="G11" s="58"/>
      <c r="H11" s="58"/>
      <c r="I11" s="58"/>
      <c r="J11" s="58"/>
      <c r="K11" s="58"/>
      <c r="L11" s="58"/>
      <c r="M11" s="58"/>
      <c r="N11" s="58"/>
      <c r="O11" s="58"/>
      <c r="P11" s="58"/>
      <c r="Q11" s="58"/>
      <c r="R11" s="58"/>
      <c r="S11" s="58"/>
      <c r="T11" s="58"/>
      <c r="U11" s="57"/>
      <c r="V11" s="57"/>
      <c r="W11" s="57"/>
      <c r="X11" s="57"/>
      <c r="Y11" s="57"/>
      <c r="Z11" s="81"/>
    </row>
    <row r="12" spans="1:26" s="54" customFormat="1" ht="16.2" x14ac:dyDescent="0.4">
      <c r="A12" s="182"/>
      <c r="B12" s="185"/>
      <c r="C12" s="60" t="s">
        <v>161</v>
      </c>
      <c r="D12" s="60" t="s">
        <v>162</v>
      </c>
      <c r="E12" s="66"/>
      <c r="F12" s="62"/>
      <c r="G12" s="63"/>
      <c r="H12" s="63"/>
      <c r="I12" s="63"/>
      <c r="J12" s="63"/>
      <c r="K12" s="63"/>
      <c r="L12" s="63"/>
      <c r="M12" s="63"/>
      <c r="N12" s="63"/>
      <c r="O12" s="63"/>
      <c r="P12" s="63"/>
      <c r="Q12" s="63"/>
      <c r="R12" s="63"/>
      <c r="S12" s="63"/>
      <c r="T12" s="63"/>
      <c r="U12" s="62"/>
      <c r="V12" s="62"/>
      <c r="W12" s="62"/>
      <c r="X12" s="62"/>
      <c r="Y12" s="62"/>
      <c r="Z12" s="83"/>
    </row>
    <row r="13" spans="1:26" s="54" customFormat="1" ht="16.8" thickBot="1" x14ac:dyDescent="0.45">
      <c r="A13" s="182"/>
      <c r="B13" s="186"/>
      <c r="C13" s="67" t="s">
        <v>163</v>
      </c>
      <c r="D13" s="67" t="s">
        <v>164</v>
      </c>
      <c r="E13" s="85"/>
      <c r="F13" s="69"/>
      <c r="G13" s="70"/>
      <c r="H13" s="70"/>
      <c r="I13" s="70"/>
      <c r="J13" s="70"/>
      <c r="K13" s="70"/>
      <c r="L13" s="70"/>
      <c r="M13" s="70"/>
      <c r="N13" s="70"/>
      <c r="O13" s="70"/>
      <c r="P13" s="70"/>
      <c r="Q13" s="70"/>
      <c r="R13" s="70"/>
      <c r="S13" s="70"/>
      <c r="T13" s="70"/>
      <c r="U13" s="69"/>
      <c r="V13" s="69"/>
      <c r="W13" s="69"/>
      <c r="X13" s="69"/>
      <c r="Y13" s="69"/>
      <c r="Z13" s="86"/>
    </row>
    <row r="14" spans="1:26" s="54" customFormat="1" ht="18.600000000000001" thickTop="1" x14ac:dyDescent="0.4">
      <c r="A14" s="182"/>
      <c r="B14" s="188" t="s">
        <v>165</v>
      </c>
      <c r="C14" s="79" t="s">
        <v>166</v>
      </c>
      <c r="D14" s="55" t="s">
        <v>167</v>
      </c>
      <c r="E14" s="80"/>
      <c r="F14" s="57"/>
      <c r="G14" s="58"/>
      <c r="H14" s="58"/>
      <c r="I14" s="58"/>
      <c r="J14" s="58"/>
      <c r="K14" s="58"/>
      <c r="L14" s="58"/>
      <c r="M14" s="58"/>
      <c r="N14" s="58"/>
      <c r="O14" s="58"/>
      <c r="P14" s="58"/>
      <c r="Q14" s="58"/>
      <c r="R14" s="58"/>
      <c r="S14" s="58"/>
      <c r="T14" s="58"/>
      <c r="U14" s="57"/>
      <c r="V14" s="57"/>
      <c r="W14" s="57"/>
      <c r="X14" s="57"/>
      <c r="Y14" s="57"/>
      <c r="Z14" s="81"/>
    </row>
    <row r="15" spans="1:26" s="54" customFormat="1" ht="18" x14ac:dyDescent="0.4">
      <c r="A15" s="182"/>
      <c r="B15" s="185"/>
      <c r="C15" s="82" t="s">
        <v>168</v>
      </c>
      <c r="D15" s="60" t="s">
        <v>169</v>
      </c>
      <c r="E15" s="66"/>
      <c r="F15" s="62"/>
      <c r="G15" s="63"/>
      <c r="H15" s="63"/>
      <c r="I15" s="63"/>
      <c r="J15" s="63"/>
      <c r="K15" s="63"/>
      <c r="L15" s="63"/>
      <c r="M15" s="63"/>
      <c r="N15" s="63"/>
      <c r="O15" s="63"/>
      <c r="P15" s="63"/>
      <c r="Q15" s="63"/>
      <c r="R15" s="63"/>
      <c r="S15" s="63"/>
      <c r="T15" s="63"/>
      <c r="U15" s="62"/>
      <c r="V15" s="62"/>
      <c r="W15" s="62"/>
      <c r="X15" s="62"/>
      <c r="Y15" s="62"/>
      <c r="Z15" s="83"/>
    </row>
    <row r="16" spans="1:26" s="54" customFormat="1" ht="18.600000000000001" thickBot="1" x14ac:dyDescent="0.45">
      <c r="A16" s="182"/>
      <c r="B16" s="186"/>
      <c r="C16" s="84" t="s">
        <v>170</v>
      </c>
      <c r="D16" s="67" t="s">
        <v>171</v>
      </c>
      <c r="E16" s="85"/>
      <c r="F16" s="69"/>
      <c r="G16" s="70"/>
      <c r="H16" s="70"/>
      <c r="I16" s="70"/>
      <c r="J16" s="70"/>
      <c r="K16" s="70"/>
      <c r="L16" s="70"/>
      <c r="M16" s="70"/>
      <c r="N16" s="70"/>
      <c r="O16" s="70"/>
      <c r="P16" s="69"/>
      <c r="Q16" s="69"/>
      <c r="R16" s="69"/>
      <c r="S16" s="69"/>
      <c r="T16" s="69"/>
      <c r="U16" s="69"/>
      <c r="V16" s="69"/>
      <c r="W16" s="69"/>
      <c r="X16" s="69"/>
      <c r="Y16" s="69"/>
      <c r="Z16" s="86"/>
    </row>
    <row r="17" spans="1:26" s="54" customFormat="1" ht="16.8" thickTop="1" x14ac:dyDescent="0.4">
      <c r="A17" s="182"/>
      <c r="B17" s="184" t="s">
        <v>172</v>
      </c>
      <c r="C17" s="55" t="s">
        <v>173</v>
      </c>
      <c r="D17" s="55" t="s">
        <v>174</v>
      </c>
      <c r="E17" s="80"/>
      <c r="F17" s="80"/>
      <c r="G17" s="80"/>
      <c r="H17" s="80"/>
      <c r="I17" s="80"/>
      <c r="J17" s="80"/>
      <c r="K17" s="80"/>
      <c r="L17" s="80"/>
      <c r="M17" s="80"/>
      <c r="N17" s="80"/>
      <c r="O17" s="80"/>
      <c r="P17" s="80"/>
      <c r="Q17" s="80"/>
      <c r="R17" s="80"/>
      <c r="S17" s="80"/>
      <c r="T17" s="80"/>
      <c r="U17" s="80"/>
      <c r="V17" s="80"/>
      <c r="W17" s="80"/>
      <c r="X17" s="80"/>
      <c r="Y17" s="80"/>
      <c r="Z17" s="80"/>
    </row>
    <row r="18" spans="1:26" s="54" customFormat="1" ht="16.2" x14ac:dyDescent="0.4">
      <c r="A18" s="182"/>
      <c r="B18" s="185"/>
      <c r="C18" s="60" t="s">
        <v>175</v>
      </c>
      <c r="D18" s="60" t="s">
        <v>176</v>
      </c>
      <c r="E18" s="66"/>
      <c r="F18" s="66"/>
      <c r="G18" s="66"/>
      <c r="H18" s="66"/>
      <c r="I18" s="66"/>
      <c r="J18" s="66"/>
      <c r="K18" s="66"/>
      <c r="L18" s="66"/>
      <c r="M18" s="66"/>
      <c r="N18" s="66"/>
      <c r="O18" s="66"/>
      <c r="P18" s="66"/>
      <c r="Q18" s="66"/>
      <c r="R18" s="66"/>
      <c r="S18" s="66"/>
      <c r="T18" s="66"/>
      <c r="U18" s="66"/>
      <c r="V18" s="66"/>
      <c r="W18" s="66"/>
      <c r="X18" s="66"/>
      <c r="Y18" s="66"/>
      <c r="Z18" s="66"/>
    </row>
    <row r="19" spans="1:26" s="54" customFormat="1" ht="16.8" thickBot="1" x14ac:dyDescent="0.45">
      <c r="A19" s="182"/>
      <c r="B19" s="186"/>
      <c r="C19" s="67" t="s">
        <v>177</v>
      </c>
      <c r="D19" s="67" t="s">
        <v>178</v>
      </c>
      <c r="E19" s="85"/>
      <c r="F19" s="85"/>
      <c r="G19" s="85"/>
      <c r="H19" s="85"/>
      <c r="I19" s="85"/>
      <c r="J19" s="85"/>
      <c r="K19" s="85"/>
      <c r="L19" s="85"/>
      <c r="M19" s="85"/>
      <c r="N19" s="85"/>
      <c r="O19" s="85"/>
      <c r="P19" s="85"/>
      <c r="Q19" s="85"/>
      <c r="R19" s="85"/>
      <c r="S19" s="85"/>
      <c r="T19" s="85"/>
      <c r="U19" s="85"/>
      <c r="V19" s="85"/>
      <c r="W19" s="85"/>
      <c r="X19" s="85"/>
      <c r="Y19" s="85"/>
      <c r="Z19" s="85"/>
    </row>
    <row r="20" spans="1:26" s="54" customFormat="1" ht="16.8" thickTop="1" x14ac:dyDescent="0.4">
      <c r="A20" s="182"/>
      <c r="B20" s="184" t="s">
        <v>179</v>
      </c>
      <c r="C20" s="55" t="s">
        <v>180</v>
      </c>
      <c r="D20" s="55" t="s">
        <v>181</v>
      </c>
      <c r="E20" s="80"/>
      <c r="F20" s="80"/>
      <c r="G20" s="80"/>
      <c r="H20" s="80"/>
      <c r="I20" s="80"/>
      <c r="J20" s="80"/>
      <c r="K20" s="80"/>
      <c r="L20" s="80"/>
      <c r="M20" s="80"/>
      <c r="N20" s="80"/>
      <c r="O20" s="80"/>
      <c r="P20" s="80"/>
      <c r="Q20" s="80"/>
      <c r="R20" s="80"/>
      <c r="S20" s="80"/>
      <c r="T20" s="80"/>
      <c r="U20" s="80"/>
      <c r="V20" s="80"/>
      <c r="W20" s="80"/>
      <c r="X20" s="80"/>
      <c r="Y20" s="80"/>
      <c r="Z20" s="80"/>
    </row>
    <row r="21" spans="1:26" s="54" customFormat="1" ht="69" customHeight="1" thickBot="1" x14ac:dyDescent="0.45">
      <c r="A21" s="182"/>
      <c r="B21" s="186"/>
      <c r="C21" s="87" t="s">
        <v>152</v>
      </c>
      <c r="D21" s="87" t="s">
        <v>182</v>
      </c>
      <c r="E21" s="88"/>
      <c r="F21" s="88"/>
      <c r="G21" s="88"/>
      <c r="H21" s="88"/>
      <c r="I21" s="88"/>
      <c r="J21" s="88"/>
      <c r="K21" s="88"/>
      <c r="L21" s="88"/>
      <c r="M21" s="88"/>
      <c r="N21" s="88"/>
      <c r="O21" s="88"/>
      <c r="P21" s="88"/>
      <c r="Q21" s="88"/>
      <c r="R21" s="88"/>
      <c r="S21" s="88"/>
      <c r="T21" s="88"/>
      <c r="U21" s="88"/>
      <c r="V21" s="88"/>
      <c r="W21" s="88"/>
      <c r="X21" s="88"/>
      <c r="Y21" s="88"/>
      <c r="Z21" s="88"/>
    </row>
    <row r="22" spans="1:26" s="54" customFormat="1" ht="16.8" thickTop="1" x14ac:dyDescent="0.4">
      <c r="A22" s="182"/>
      <c r="B22" s="184" t="s">
        <v>183</v>
      </c>
      <c r="C22" s="55" t="s">
        <v>180</v>
      </c>
      <c r="D22" s="55" t="s">
        <v>184</v>
      </c>
      <c r="E22" s="80"/>
      <c r="F22" s="80"/>
      <c r="G22" s="80"/>
      <c r="H22" s="80"/>
      <c r="I22" s="80"/>
      <c r="J22" s="80"/>
      <c r="K22" s="80"/>
      <c r="L22" s="80"/>
      <c r="M22" s="80"/>
      <c r="N22" s="80"/>
      <c r="O22" s="80"/>
      <c r="P22" s="80"/>
      <c r="Q22" s="80"/>
      <c r="R22" s="80"/>
      <c r="S22" s="80"/>
      <c r="T22" s="80"/>
      <c r="U22" s="80"/>
      <c r="V22" s="80"/>
      <c r="W22" s="80"/>
      <c r="X22" s="80"/>
      <c r="Y22" s="80"/>
      <c r="Z22" s="89"/>
    </row>
    <row r="23" spans="1:26" s="54" customFormat="1" ht="69" customHeight="1" thickBot="1" x14ac:dyDescent="0.45">
      <c r="A23" s="183"/>
      <c r="B23" s="186"/>
      <c r="C23" s="67" t="s">
        <v>152</v>
      </c>
      <c r="D23" s="67" t="s">
        <v>185</v>
      </c>
      <c r="E23" s="85"/>
      <c r="F23" s="85"/>
      <c r="G23" s="85"/>
      <c r="H23" s="85"/>
      <c r="I23" s="85"/>
      <c r="J23" s="85"/>
      <c r="K23" s="85"/>
      <c r="L23" s="85"/>
      <c r="M23" s="85"/>
      <c r="N23" s="85"/>
      <c r="O23" s="85"/>
      <c r="P23" s="85"/>
      <c r="Q23" s="85"/>
      <c r="R23" s="85"/>
      <c r="S23" s="85"/>
      <c r="T23" s="85"/>
      <c r="U23" s="85"/>
      <c r="V23" s="85"/>
      <c r="W23" s="85"/>
      <c r="X23" s="85"/>
      <c r="Y23" s="85"/>
      <c r="Z23" s="90"/>
    </row>
    <row r="24" spans="1:26" s="54" customFormat="1" ht="16.8" thickTop="1" x14ac:dyDescent="0.4">
      <c r="A24" s="91" t="s">
        <v>186</v>
      </c>
      <c r="B24" s="91" t="s">
        <v>187</v>
      </c>
      <c r="C24" s="91" t="s">
        <v>188</v>
      </c>
      <c r="D24" s="91" t="s">
        <v>189</v>
      </c>
      <c r="E24" s="91" t="s">
        <v>190</v>
      </c>
      <c r="F24" s="91" t="s">
        <v>191</v>
      </c>
      <c r="G24" s="91" t="s">
        <v>192</v>
      </c>
      <c r="H24" s="91" t="s">
        <v>193</v>
      </c>
      <c r="I24" s="91" t="s">
        <v>194</v>
      </c>
      <c r="J24" s="91" t="s">
        <v>195</v>
      </c>
      <c r="K24" s="91" t="s">
        <v>196</v>
      </c>
      <c r="L24" s="91" t="s">
        <v>197</v>
      </c>
      <c r="M24" s="91" t="s">
        <v>198</v>
      </c>
      <c r="N24" s="91" t="s">
        <v>199</v>
      </c>
      <c r="O24" s="91" t="s">
        <v>200</v>
      </c>
      <c r="P24" s="92" t="s">
        <v>201</v>
      </c>
      <c r="Q24" s="92" t="s">
        <v>202</v>
      </c>
      <c r="R24" s="92" t="s">
        <v>63</v>
      </c>
      <c r="S24" s="92" t="s">
        <v>203</v>
      </c>
      <c r="T24" s="92" t="s">
        <v>204</v>
      </c>
      <c r="U24" s="92" t="s">
        <v>205</v>
      </c>
      <c r="V24" s="93"/>
      <c r="W24" s="93"/>
      <c r="X24" s="93"/>
      <c r="Y24" s="93"/>
      <c r="Z24" s="93"/>
    </row>
    <row r="25" spans="1:26" s="54" customFormat="1" ht="16.2" x14ac:dyDescent="0.4">
      <c r="A25" s="92" t="s">
        <v>206</v>
      </c>
      <c r="B25" s="92" t="s">
        <v>207</v>
      </c>
      <c r="C25" s="92" t="s">
        <v>208</v>
      </c>
      <c r="D25" s="92" t="s">
        <v>209</v>
      </c>
      <c r="E25" s="92" t="s">
        <v>210</v>
      </c>
      <c r="F25" s="92" t="s">
        <v>211</v>
      </c>
      <c r="G25" s="92" t="s">
        <v>212</v>
      </c>
      <c r="H25" s="92" t="s">
        <v>213</v>
      </c>
      <c r="I25" s="92" t="s">
        <v>214</v>
      </c>
      <c r="J25" s="92" t="s">
        <v>215</v>
      </c>
      <c r="K25" s="92" t="s">
        <v>216</v>
      </c>
      <c r="L25" s="92" t="s">
        <v>217</v>
      </c>
      <c r="M25" s="92" t="s">
        <v>218</v>
      </c>
      <c r="N25" s="92" t="s">
        <v>219</v>
      </c>
      <c r="O25" s="92" t="s">
        <v>220</v>
      </c>
      <c r="P25" s="92" t="s">
        <v>221</v>
      </c>
      <c r="Q25" s="92" t="s">
        <v>222</v>
      </c>
      <c r="R25" s="92" t="s">
        <v>223</v>
      </c>
      <c r="S25" s="92" t="s">
        <v>224</v>
      </c>
      <c r="T25" s="92" t="s">
        <v>225</v>
      </c>
      <c r="U25" s="92" t="s">
        <v>226</v>
      </c>
      <c r="V25" s="93"/>
      <c r="W25" s="93"/>
      <c r="X25" s="93"/>
      <c r="Y25" s="93"/>
      <c r="Z25" s="93"/>
    </row>
    <row r="26" spans="1:26" ht="18" x14ac:dyDescent="0.45"/>
    <row r="27" spans="1:26" ht="18" x14ac:dyDescent="0.45"/>
    <row r="28" spans="1:26" ht="18" x14ac:dyDescent="0.45"/>
    <row r="29" spans="1:26" ht="18" x14ac:dyDescent="0.45"/>
    <row r="30" spans="1:26" ht="18" x14ac:dyDescent="0.45"/>
    <row r="31" spans="1:26" ht="18" x14ac:dyDescent="0.45"/>
    <row r="32" spans="1:26" ht="18" x14ac:dyDescent="0.45"/>
    <row r="33" ht="18" x14ac:dyDescent="0.45"/>
    <row r="34" ht="18" x14ac:dyDescent="0.45"/>
    <row r="35" ht="18" x14ac:dyDescent="0.45"/>
    <row r="36" ht="18" x14ac:dyDescent="0.45"/>
    <row r="37" ht="18" x14ac:dyDescent="0.45"/>
    <row r="38" ht="18" x14ac:dyDescent="0.45"/>
    <row r="39" ht="18" x14ac:dyDescent="0.45"/>
    <row r="40" ht="18" x14ac:dyDescent="0.45"/>
    <row r="41" ht="18" x14ac:dyDescent="0.45"/>
    <row r="42" ht="18" x14ac:dyDescent="0.45"/>
    <row r="43" ht="18" x14ac:dyDescent="0.45"/>
    <row r="44" ht="18" x14ac:dyDescent="0.45"/>
    <row r="45" ht="18" x14ac:dyDescent="0.45"/>
    <row r="46" ht="18" x14ac:dyDescent="0.45"/>
    <row r="47" ht="18" x14ac:dyDescent="0.45"/>
    <row r="48" ht="18" x14ac:dyDescent="0.45"/>
    <row r="49" ht="18" x14ac:dyDescent="0.45"/>
    <row r="50" ht="18" x14ac:dyDescent="0.45"/>
    <row r="51" ht="18" x14ac:dyDescent="0.45"/>
    <row r="52" ht="18" x14ac:dyDescent="0.45"/>
    <row r="53" ht="18" x14ac:dyDescent="0.45"/>
    <row r="54" ht="18" x14ac:dyDescent="0.45"/>
    <row r="55" ht="18" x14ac:dyDescent="0.45"/>
    <row r="56" ht="18" x14ac:dyDescent="0.45"/>
    <row r="57" ht="18" x14ac:dyDescent="0.45"/>
    <row r="58" ht="18" x14ac:dyDescent="0.45"/>
    <row r="59" ht="18" x14ac:dyDescent="0.45"/>
    <row r="60" ht="18" x14ac:dyDescent="0.45"/>
    <row r="61" ht="18" x14ac:dyDescent="0.45"/>
    <row r="62" ht="18" x14ac:dyDescent="0.45"/>
    <row r="63" ht="18" x14ac:dyDescent="0.45"/>
    <row r="64" ht="18" x14ac:dyDescent="0.45"/>
    <row r="65" ht="18" x14ac:dyDescent="0.45"/>
    <row r="66" ht="18" x14ac:dyDescent="0.45"/>
    <row r="67" ht="18" x14ac:dyDescent="0.45"/>
    <row r="68" ht="18" x14ac:dyDescent="0.45"/>
    <row r="69" ht="18" x14ac:dyDescent="0.45"/>
    <row r="70" ht="18" x14ac:dyDescent="0.45"/>
    <row r="71" ht="18" x14ac:dyDescent="0.45"/>
    <row r="72" ht="18" x14ac:dyDescent="0.45"/>
    <row r="73" ht="18" x14ac:dyDescent="0.45"/>
    <row r="74" ht="18" x14ac:dyDescent="0.45"/>
    <row r="75" ht="18" x14ac:dyDescent="0.45"/>
    <row r="76" ht="18" x14ac:dyDescent="0.45"/>
    <row r="77" ht="18" x14ac:dyDescent="0.45"/>
    <row r="78" ht="18" x14ac:dyDescent="0.45"/>
    <row r="79" ht="18" x14ac:dyDescent="0.45"/>
    <row r="80" ht="18" x14ac:dyDescent="0.45"/>
    <row r="81" ht="18" x14ac:dyDescent="0.45"/>
    <row r="82" ht="18" x14ac:dyDescent="0.45"/>
    <row r="83" ht="18" x14ac:dyDescent="0.45"/>
    <row r="84" ht="18" x14ac:dyDescent="0.45"/>
    <row r="85" ht="18" x14ac:dyDescent="0.45"/>
    <row r="86" ht="18" x14ac:dyDescent="0.45"/>
    <row r="87" ht="18" x14ac:dyDescent="0.45"/>
    <row r="88" ht="18" x14ac:dyDescent="0.45"/>
    <row r="89" ht="18" x14ac:dyDescent="0.45"/>
    <row r="90" ht="18" x14ac:dyDescent="0.45"/>
    <row r="91" ht="18" x14ac:dyDescent="0.45"/>
    <row r="92" ht="18" x14ac:dyDescent="0.45"/>
    <row r="93" ht="18" x14ac:dyDescent="0.45"/>
    <row r="94" ht="18" x14ac:dyDescent="0.45"/>
    <row r="95" ht="18" x14ac:dyDescent="0.45"/>
    <row r="96" ht="18" x14ac:dyDescent="0.45"/>
    <row r="97" ht="18" x14ac:dyDescent="0.45"/>
    <row r="98" ht="18" x14ac:dyDescent="0.45"/>
    <row r="99" ht="18" x14ac:dyDescent="0.45"/>
    <row r="100" ht="18" x14ac:dyDescent="0.45"/>
    <row r="101" ht="18" x14ac:dyDescent="0.45"/>
    <row r="102" ht="18" x14ac:dyDescent="0.45"/>
    <row r="103" ht="18" x14ac:dyDescent="0.45"/>
    <row r="104" ht="18" x14ac:dyDescent="0.45"/>
    <row r="105" ht="18" x14ac:dyDescent="0.45"/>
    <row r="106" ht="18" x14ac:dyDescent="0.45"/>
    <row r="107" ht="18" x14ac:dyDescent="0.45"/>
    <row r="108" ht="18" x14ac:dyDescent="0.45"/>
    <row r="109" ht="18" x14ac:dyDescent="0.45"/>
    <row r="110" ht="18" x14ac:dyDescent="0.45"/>
    <row r="111" ht="18" x14ac:dyDescent="0.45"/>
    <row r="112" ht="18" x14ac:dyDescent="0.45"/>
    <row r="113" ht="18" x14ac:dyDescent="0.45"/>
    <row r="114" ht="18" x14ac:dyDescent="0.45"/>
    <row r="115" ht="18" x14ac:dyDescent="0.45"/>
    <row r="116" ht="18" x14ac:dyDescent="0.45"/>
    <row r="117" ht="18" x14ac:dyDescent="0.45"/>
    <row r="118" ht="18" x14ac:dyDescent="0.45"/>
    <row r="119" ht="18" x14ac:dyDescent="0.45"/>
    <row r="120" ht="18" x14ac:dyDescent="0.45"/>
    <row r="121" ht="18" x14ac:dyDescent="0.45"/>
    <row r="122" ht="18" x14ac:dyDescent="0.45"/>
    <row r="123" ht="18" x14ac:dyDescent="0.45"/>
    <row r="124" ht="18" x14ac:dyDescent="0.45"/>
    <row r="125" ht="18" x14ac:dyDescent="0.45"/>
    <row r="126" ht="18" x14ac:dyDescent="0.45"/>
    <row r="127" ht="18" x14ac:dyDescent="0.45"/>
    <row r="128" ht="18" x14ac:dyDescent="0.45"/>
    <row r="129" ht="18" x14ac:dyDescent="0.45"/>
    <row r="130" ht="18" x14ac:dyDescent="0.45"/>
    <row r="131" ht="18" x14ac:dyDescent="0.45"/>
    <row r="132" ht="18" x14ac:dyDescent="0.45"/>
    <row r="133" ht="18" x14ac:dyDescent="0.45"/>
    <row r="134" ht="18" x14ac:dyDescent="0.45"/>
    <row r="135" ht="18" x14ac:dyDescent="0.45"/>
    <row r="136" ht="18" x14ac:dyDescent="0.45"/>
    <row r="137" ht="18" x14ac:dyDescent="0.45"/>
    <row r="138" ht="18" x14ac:dyDescent="0.45"/>
    <row r="139" ht="18" x14ac:dyDescent="0.45"/>
    <row r="140" ht="18" x14ac:dyDescent="0.45"/>
    <row r="141" ht="18" x14ac:dyDescent="0.45"/>
    <row r="142" ht="18" x14ac:dyDescent="0.45"/>
    <row r="143" ht="18" x14ac:dyDescent="0.45"/>
    <row r="144" ht="18" x14ac:dyDescent="0.45"/>
    <row r="145" ht="18" x14ac:dyDescent="0.45"/>
    <row r="146" ht="18" x14ac:dyDescent="0.45"/>
    <row r="147" ht="18" x14ac:dyDescent="0.45"/>
    <row r="148" ht="18" x14ac:dyDescent="0.45"/>
    <row r="149" ht="18" x14ac:dyDescent="0.45"/>
    <row r="150" ht="18" x14ac:dyDescent="0.45"/>
    <row r="151" ht="18" x14ac:dyDescent="0.45"/>
    <row r="152" ht="18" x14ac:dyDescent="0.45"/>
    <row r="153" ht="18" x14ac:dyDescent="0.45"/>
    <row r="154" ht="18" x14ac:dyDescent="0.45"/>
    <row r="155" ht="18" x14ac:dyDescent="0.45"/>
    <row r="156" ht="18" x14ac:dyDescent="0.45"/>
    <row r="157" ht="18" x14ac:dyDescent="0.45"/>
    <row r="158" ht="18" x14ac:dyDescent="0.45"/>
    <row r="159" ht="18" x14ac:dyDescent="0.45"/>
    <row r="160" ht="18" x14ac:dyDescent="0.45"/>
    <row r="161" ht="18" x14ac:dyDescent="0.45"/>
    <row r="162" ht="18" x14ac:dyDescent="0.45"/>
    <row r="163" ht="18" x14ac:dyDescent="0.45"/>
    <row r="164" ht="18" x14ac:dyDescent="0.45"/>
    <row r="165" ht="18" x14ac:dyDescent="0.45"/>
    <row r="166" ht="18" x14ac:dyDescent="0.45"/>
    <row r="167" ht="18" x14ac:dyDescent="0.45"/>
    <row r="168" ht="18" x14ac:dyDescent="0.45"/>
    <row r="169" ht="18" x14ac:dyDescent="0.45"/>
    <row r="170" ht="18" x14ac:dyDescent="0.45"/>
    <row r="171" ht="18" x14ac:dyDescent="0.45"/>
    <row r="172" ht="18" x14ac:dyDescent="0.45"/>
    <row r="173" ht="18" x14ac:dyDescent="0.45"/>
    <row r="174" ht="18" x14ac:dyDescent="0.45"/>
    <row r="175" ht="18" x14ac:dyDescent="0.45"/>
    <row r="176" ht="18" x14ac:dyDescent="0.45"/>
    <row r="177" ht="18" x14ac:dyDescent="0.45"/>
    <row r="178" ht="18" x14ac:dyDescent="0.45"/>
    <row r="179" ht="18" x14ac:dyDescent="0.45"/>
    <row r="180" ht="18" x14ac:dyDescent="0.45"/>
    <row r="181" ht="18" x14ac:dyDescent="0.45"/>
    <row r="182" ht="18" x14ac:dyDescent="0.45"/>
    <row r="183" ht="18" x14ac:dyDescent="0.45"/>
    <row r="184" ht="18" x14ac:dyDescent="0.45"/>
    <row r="185" ht="18" x14ac:dyDescent="0.45"/>
    <row r="186" ht="18" x14ac:dyDescent="0.45"/>
    <row r="187" ht="18" x14ac:dyDescent="0.45"/>
    <row r="188" ht="18" x14ac:dyDescent="0.45"/>
    <row r="189" ht="18" x14ac:dyDescent="0.45"/>
    <row r="190" ht="18" x14ac:dyDescent="0.45"/>
    <row r="191" ht="18" x14ac:dyDescent="0.45"/>
    <row r="192" ht="18" x14ac:dyDescent="0.45"/>
    <row r="193" ht="18" x14ac:dyDescent="0.45"/>
    <row r="194" ht="18" x14ac:dyDescent="0.45"/>
    <row r="195" ht="18" x14ac:dyDescent="0.45"/>
    <row r="196" ht="18" x14ac:dyDescent="0.45"/>
    <row r="197" ht="18" x14ac:dyDescent="0.45"/>
    <row r="198" ht="18" x14ac:dyDescent="0.45"/>
    <row r="199" ht="18" x14ac:dyDescent="0.45"/>
    <row r="200" ht="18" x14ac:dyDescent="0.45"/>
    <row r="201" ht="18" x14ac:dyDescent="0.45"/>
    <row r="202" ht="18" x14ac:dyDescent="0.45"/>
    <row r="203" ht="18" x14ac:dyDescent="0.45"/>
    <row r="204" ht="18" x14ac:dyDescent="0.45"/>
    <row r="205" ht="18" x14ac:dyDescent="0.45"/>
    <row r="206" ht="18" x14ac:dyDescent="0.45"/>
    <row r="207" ht="18" x14ac:dyDescent="0.45"/>
    <row r="208" ht="18" x14ac:dyDescent="0.45"/>
    <row r="209" ht="18" x14ac:dyDescent="0.45"/>
    <row r="210" ht="18" x14ac:dyDescent="0.45"/>
    <row r="211" ht="18" x14ac:dyDescent="0.45"/>
    <row r="212" ht="18" x14ac:dyDescent="0.45"/>
    <row r="213" ht="18" x14ac:dyDescent="0.45"/>
    <row r="214" ht="18" x14ac:dyDescent="0.45"/>
    <row r="215" ht="18" x14ac:dyDescent="0.45"/>
    <row r="216" ht="18" x14ac:dyDescent="0.45"/>
    <row r="217" ht="18" x14ac:dyDescent="0.45"/>
    <row r="218" ht="18" x14ac:dyDescent="0.45"/>
    <row r="219" ht="18" x14ac:dyDescent="0.45"/>
    <row r="220" ht="18" x14ac:dyDescent="0.45"/>
    <row r="221" ht="18" x14ac:dyDescent="0.45"/>
    <row r="222" ht="18" x14ac:dyDescent="0.45"/>
    <row r="223" ht="18" x14ac:dyDescent="0.45"/>
    <row r="224" ht="18" x14ac:dyDescent="0.45"/>
    <row r="225" ht="18" x14ac:dyDescent="0.45"/>
    <row r="226" ht="18" x14ac:dyDescent="0.45"/>
    <row r="227" ht="18" x14ac:dyDescent="0.45"/>
    <row r="228" ht="18" x14ac:dyDescent="0.45"/>
    <row r="229" ht="18" x14ac:dyDescent="0.45"/>
    <row r="230" ht="18" x14ac:dyDescent="0.45"/>
    <row r="231" ht="18" x14ac:dyDescent="0.45"/>
    <row r="232" ht="18" x14ac:dyDescent="0.45"/>
    <row r="233" ht="18" x14ac:dyDescent="0.45"/>
    <row r="234" ht="18" x14ac:dyDescent="0.45"/>
    <row r="235" ht="18" x14ac:dyDescent="0.45"/>
    <row r="236" ht="18" x14ac:dyDescent="0.45"/>
    <row r="237" ht="18" x14ac:dyDescent="0.45"/>
    <row r="238" ht="18" x14ac:dyDescent="0.45"/>
    <row r="239" ht="18" x14ac:dyDescent="0.45"/>
    <row r="240" ht="18" x14ac:dyDescent="0.45"/>
    <row r="241" ht="18" x14ac:dyDescent="0.45"/>
    <row r="242" ht="18" x14ac:dyDescent="0.45"/>
    <row r="243" ht="18" x14ac:dyDescent="0.45"/>
    <row r="244" ht="18" x14ac:dyDescent="0.45"/>
    <row r="245" ht="18" x14ac:dyDescent="0.45"/>
    <row r="246" ht="18" x14ac:dyDescent="0.45"/>
    <row r="247" ht="18" x14ac:dyDescent="0.45"/>
    <row r="248" ht="18" x14ac:dyDescent="0.45"/>
    <row r="249" ht="18" x14ac:dyDescent="0.45"/>
    <row r="250" ht="18" x14ac:dyDescent="0.45"/>
    <row r="251" ht="18" x14ac:dyDescent="0.45"/>
    <row r="252" ht="18" x14ac:dyDescent="0.45"/>
    <row r="253" ht="18" x14ac:dyDescent="0.45"/>
    <row r="254" ht="18" x14ac:dyDescent="0.45"/>
    <row r="255" ht="18" x14ac:dyDescent="0.45"/>
    <row r="256" ht="18" x14ac:dyDescent="0.45"/>
    <row r="257" ht="18" x14ac:dyDescent="0.45"/>
    <row r="258" ht="18" x14ac:dyDescent="0.45"/>
    <row r="259" ht="18" x14ac:dyDescent="0.45"/>
    <row r="260" ht="18" x14ac:dyDescent="0.45"/>
    <row r="261" ht="18" x14ac:dyDescent="0.45"/>
    <row r="262" ht="18" x14ac:dyDescent="0.45"/>
    <row r="263" ht="18" x14ac:dyDescent="0.45"/>
    <row r="264" ht="18" x14ac:dyDescent="0.45"/>
    <row r="265" ht="18" x14ac:dyDescent="0.45"/>
    <row r="266" ht="18" x14ac:dyDescent="0.45"/>
    <row r="267" ht="18" x14ac:dyDescent="0.45"/>
    <row r="268" ht="18" x14ac:dyDescent="0.45"/>
    <row r="269" ht="18" x14ac:dyDescent="0.45"/>
    <row r="270" ht="18" x14ac:dyDescent="0.45"/>
    <row r="271" ht="18" x14ac:dyDescent="0.45"/>
    <row r="272" ht="18" x14ac:dyDescent="0.45"/>
    <row r="273" ht="18" x14ac:dyDescent="0.45"/>
    <row r="274" ht="18" x14ac:dyDescent="0.45"/>
    <row r="275" ht="18" x14ac:dyDescent="0.45"/>
    <row r="276" ht="18" x14ac:dyDescent="0.45"/>
    <row r="277" ht="18" x14ac:dyDescent="0.45"/>
    <row r="278" ht="18" x14ac:dyDescent="0.45"/>
    <row r="279" ht="18" x14ac:dyDescent="0.45"/>
    <row r="280" ht="18" x14ac:dyDescent="0.45"/>
    <row r="281" ht="18" x14ac:dyDescent="0.45"/>
    <row r="282" ht="18" x14ac:dyDescent="0.45"/>
    <row r="283" ht="18" x14ac:dyDescent="0.45"/>
    <row r="284" ht="18" x14ac:dyDescent="0.45"/>
    <row r="285" ht="18" x14ac:dyDescent="0.45"/>
    <row r="286" ht="18" x14ac:dyDescent="0.45"/>
    <row r="287" ht="18" x14ac:dyDescent="0.45"/>
    <row r="288" ht="18" x14ac:dyDescent="0.45"/>
    <row r="289" ht="18" x14ac:dyDescent="0.45"/>
    <row r="290" ht="18" x14ac:dyDescent="0.45"/>
    <row r="291" ht="18" x14ac:dyDescent="0.45"/>
    <row r="292" ht="18" x14ac:dyDescent="0.45"/>
    <row r="293" ht="18" x14ac:dyDescent="0.45"/>
    <row r="294" ht="18" x14ac:dyDescent="0.45"/>
    <row r="295" ht="18" x14ac:dyDescent="0.45"/>
    <row r="296" ht="18" x14ac:dyDescent="0.45"/>
    <row r="297" ht="18" x14ac:dyDescent="0.45"/>
    <row r="298" ht="18" x14ac:dyDescent="0.45"/>
    <row r="299" ht="18" x14ac:dyDescent="0.45"/>
    <row r="300" ht="18" x14ac:dyDescent="0.45"/>
    <row r="301" ht="18" x14ac:dyDescent="0.45"/>
    <row r="302" ht="18" x14ac:dyDescent="0.45"/>
    <row r="303" ht="18" x14ac:dyDescent="0.45"/>
    <row r="304" ht="18" x14ac:dyDescent="0.45"/>
    <row r="305" ht="18" x14ac:dyDescent="0.45"/>
    <row r="306" ht="18" x14ac:dyDescent="0.45"/>
    <row r="307" ht="18" x14ac:dyDescent="0.45"/>
    <row r="308" ht="18" x14ac:dyDescent="0.45"/>
    <row r="309" ht="18" x14ac:dyDescent="0.45"/>
    <row r="310" ht="18" x14ac:dyDescent="0.45"/>
    <row r="311" ht="18" x14ac:dyDescent="0.45"/>
    <row r="312" ht="18" x14ac:dyDescent="0.45"/>
    <row r="313" ht="18" x14ac:dyDescent="0.45"/>
    <row r="314" ht="18" x14ac:dyDescent="0.45"/>
    <row r="315" ht="18" x14ac:dyDescent="0.45"/>
    <row r="316" ht="18" x14ac:dyDescent="0.45"/>
    <row r="317" ht="18" x14ac:dyDescent="0.45"/>
    <row r="318" ht="18" x14ac:dyDescent="0.45"/>
    <row r="319" ht="18" x14ac:dyDescent="0.45"/>
    <row r="320" ht="18" x14ac:dyDescent="0.45"/>
    <row r="321" ht="18" x14ac:dyDescent="0.45"/>
    <row r="322" ht="18" x14ac:dyDescent="0.45"/>
    <row r="323" ht="18" x14ac:dyDescent="0.45"/>
    <row r="324" ht="18" x14ac:dyDescent="0.45"/>
    <row r="325" ht="18" x14ac:dyDescent="0.45"/>
    <row r="326" ht="18" x14ac:dyDescent="0.45"/>
    <row r="327" ht="18" x14ac:dyDescent="0.45"/>
    <row r="328" ht="18" x14ac:dyDescent="0.45"/>
    <row r="329" ht="18" x14ac:dyDescent="0.45"/>
    <row r="330" ht="18" x14ac:dyDescent="0.45"/>
    <row r="331" ht="18" x14ac:dyDescent="0.45"/>
    <row r="332" ht="18" x14ac:dyDescent="0.45"/>
    <row r="333" ht="18" x14ac:dyDescent="0.45"/>
    <row r="334" ht="18" x14ac:dyDescent="0.45"/>
    <row r="335" ht="18" x14ac:dyDescent="0.45"/>
    <row r="336" ht="18" x14ac:dyDescent="0.45"/>
    <row r="337" ht="18" x14ac:dyDescent="0.45"/>
    <row r="338" ht="18" x14ac:dyDescent="0.45"/>
    <row r="339" ht="18" x14ac:dyDescent="0.45"/>
    <row r="340" ht="18" x14ac:dyDescent="0.45"/>
    <row r="341" ht="18" x14ac:dyDescent="0.45"/>
    <row r="342" ht="18" x14ac:dyDescent="0.45"/>
    <row r="343" ht="18" x14ac:dyDescent="0.45"/>
    <row r="344" ht="18" x14ac:dyDescent="0.45"/>
    <row r="345" ht="18" x14ac:dyDescent="0.45"/>
    <row r="346" ht="18" x14ac:dyDescent="0.45"/>
    <row r="347" ht="18" x14ac:dyDescent="0.45"/>
    <row r="348" ht="18" x14ac:dyDescent="0.45"/>
    <row r="349" ht="18" x14ac:dyDescent="0.45"/>
    <row r="350" ht="18" x14ac:dyDescent="0.45"/>
    <row r="351" ht="18" x14ac:dyDescent="0.45"/>
    <row r="352" ht="18" x14ac:dyDescent="0.45"/>
    <row r="353" ht="18" x14ac:dyDescent="0.45"/>
    <row r="354" ht="18" x14ac:dyDescent="0.45"/>
    <row r="355" ht="18" x14ac:dyDescent="0.45"/>
    <row r="356" ht="18" x14ac:dyDescent="0.45"/>
    <row r="357" ht="18" x14ac:dyDescent="0.45"/>
    <row r="358" ht="18" x14ac:dyDescent="0.45"/>
    <row r="359" ht="18" x14ac:dyDescent="0.45"/>
    <row r="360" ht="18" x14ac:dyDescent="0.45"/>
    <row r="361" ht="18" x14ac:dyDescent="0.45"/>
    <row r="362" ht="18" x14ac:dyDescent="0.45"/>
    <row r="363" ht="18" x14ac:dyDescent="0.45"/>
    <row r="364" ht="18" x14ac:dyDescent="0.45"/>
    <row r="365" ht="18" x14ac:dyDescent="0.45"/>
    <row r="366" ht="18" x14ac:dyDescent="0.45"/>
    <row r="367" ht="18" x14ac:dyDescent="0.45"/>
    <row r="368" ht="18" x14ac:dyDescent="0.45"/>
    <row r="369" ht="18" x14ac:dyDescent="0.45"/>
    <row r="370" ht="18" x14ac:dyDescent="0.45"/>
    <row r="371" ht="18" x14ac:dyDescent="0.45"/>
    <row r="372" ht="18" x14ac:dyDescent="0.45"/>
    <row r="373" ht="18" x14ac:dyDescent="0.45"/>
    <row r="374" ht="18" x14ac:dyDescent="0.45"/>
    <row r="375" ht="18" x14ac:dyDescent="0.45"/>
    <row r="376" ht="18" x14ac:dyDescent="0.45"/>
    <row r="377" ht="18" x14ac:dyDescent="0.45"/>
    <row r="378" ht="18" x14ac:dyDescent="0.45"/>
    <row r="379" ht="18" x14ac:dyDescent="0.45"/>
    <row r="380" ht="18" x14ac:dyDescent="0.45"/>
    <row r="381" ht="18" x14ac:dyDescent="0.45"/>
    <row r="382" ht="18" x14ac:dyDescent="0.45"/>
    <row r="383" ht="18" x14ac:dyDescent="0.45"/>
    <row r="384" ht="18" x14ac:dyDescent="0.45"/>
    <row r="385" ht="18" x14ac:dyDescent="0.45"/>
    <row r="386" ht="18" x14ac:dyDescent="0.45"/>
    <row r="387" ht="18" x14ac:dyDescent="0.45"/>
    <row r="388" ht="18" x14ac:dyDescent="0.45"/>
    <row r="389" ht="18" x14ac:dyDescent="0.45"/>
    <row r="390" ht="18" x14ac:dyDescent="0.45"/>
    <row r="391" ht="18" x14ac:dyDescent="0.45"/>
    <row r="392" ht="18" x14ac:dyDescent="0.45"/>
    <row r="393" ht="18" x14ac:dyDescent="0.45"/>
    <row r="394" ht="18" x14ac:dyDescent="0.45"/>
    <row r="395" ht="18" x14ac:dyDescent="0.45"/>
    <row r="396" ht="18" x14ac:dyDescent="0.45"/>
    <row r="397" ht="18" x14ac:dyDescent="0.45"/>
    <row r="398" ht="18" x14ac:dyDescent="0.45"/>
    <row r="399" ht="18" x14ac:dyDescent="0.45"/>
    <row r="400" ht="18" x14ac:dyDescent="0.45"/>
    <row r="401" ht="18" x14ac:dyDescent="0.45"/>
    <row r="402" ht="18" x14ac:dyDescent="0.45"/>
    <row r="403" ht="18" x14ac:dyDescent="0.45"/>
    <row r="404" ht="18" x14ac:dyDescent="0.45"/>
    <row r="405" ht="18" x14ac:dyDescent="0.45"/>
    <row r="406" ht="18" x14ac:dyDescent="0.45"/>
    <row r="407" ht="18" x14ac:dyDescent="0.45"/>
    <row r="408" ht="18" x14ac:dyDescent="0.45"/>
    <row r="409" ht="18" x14ac:dyDescent="0.45"/>
    <row r="410" ht="18" x14ac:dyDescent="0.45"/>
    <row r="411" ht="18" x14ac:dyDescent="0.45"/>
    <row r="412" ht="18" x14ac:dyDescent="0.45"/>
    <row r="413" ht="18" x14ac:dyDescent="0.45"/>
    <row r="414" ht="18" x14ac:dyDescent="0.45"/>
    <row r="415" ht="18" x14ac:dyDescent="0.45"/>
    <row r="416" ht="18" x14ac:dyDescent="0.45"/>
    <row r="417" ht="18" x14ac:dyDescent="0.45"/>
    <row r="418" ht="18" x14ac:dyDescent="0.45"/>
    <row r="419" ht="18" x14ac:dyDescent="0.45"/>
    <row r="420" ht="18" x14ac:dyDescent="0.45"/>
    <row r="421" ht="18" x14ac:dyDescent="0.45"/>
    <row r="422" ht="18" x14ac:dyDescent="0.45"/>
    <row r="423" ht="18" x14ac:dyDescent="0.45"/>
    <row r="424" ht="18" x14ac:dyDescent="0.45"/>
    <row r="425" ht="18" x14ac:dyDescent="0.45"/>
    <row r="426" ht="18" x14ac:dyDescent="0.45"/>
    <row r="427" ht="18" x14ac:dyDescent="0.45"/>
    <row r="428" ht="18" x14ac:dyDescent="0.45"/>
    <row r="429" ht="18" x14ac:dyDescent="0.45"/>
    <row r="430" ht="18" x14ac:dyDescent="0.45"/>
    <row r="431" ht="18" x14ac:dyDescent="0.45"/>
    <row r="432" ht="18" x14ac:dyDescent="0.45"/>
    <row r="433" ht="18" x14ac:dyDescent="0.45"/>
    <row r="434" ht="18" x14ac:dyDescent="0.45"/>
    <row r="435" ht="18" x14ac:dyDescent="0.45"/>
    <row r="436" ht="18" x14ac:dyDescent="0.45"/>
    <row r="437" ht="18" x14ac:dyDescent="0.45"/>
    <row r="438" ht="18" x14ac:dyDescent="0.45"/>
    <row r="439" ht="18" x14ac:dyDescent="0.45"/>
    <row r="440" ht="18" x14ac:dyDescent="0.45"/>
    <row r="441" ht="18" x14ac:dyDescent="0.45"/>
    <row r="442" ht="18" x14ac:dyDescent="0.45"/>
    <row r="443" ht="18" x14ac:dyDescent="0.45"/>
    <row r="444" ht="18" x14ac:dyDescent="0.45"/>
    <row r="445" ht="18" x14ac:dyDescent="0.45"/>
    <row r="446" ht="18" x14ac:dyDescent="0.45"/>
    <row r="447" ht="18" x14ac:dyDescent="0.45"/>
    <row r="448" ht="18" x14ac:dyDescent="0.45"/>
    <row r="449" ht="18" x14ac:dyDescent="0.45"/>
    <row r="450" ht="18" x14ac:dyDescent="0.45"/>
    <row r="451" ht="18" x14ac:dyDescent="0.45"/>
    <row r="452" ht="18" x14ac:dyDescent="0.45"/>
    <row r="453" ht="18" x14ac:dyDescent="0.45"/>
    <row r="454" ht="18" x14ac:dyDescent="0.45"/>
    <row r="455" ht="18" x14ac:dyDescent="0.45"/>
    <row r="456" ht="18" x14ac:dyDescent="0.45"/>
    <row r="457" ht="18" x14ac:dyDescent="0.45"/>
    <row r="458" ht="18" x14ac:dyDescent="0.45"/>
    <row r="459" ht="18" x14ac:dyDescent="0.45"/>
    <row r="460" ht="18" x14ac:dyDescent="0.45"/>
    <row r="461" ht="18" x14ac:dyDescent="0.45"/>
    <row r="462" ht="18" x14ac:dyDescent="0.45"/>
    <row r="463" ht="18" x14ac:dyDescent="0.45"/>
    <row r="464" ht="18" x14ac:dyDescent="0.45"/>
    <row r="465" ht="18" x14ac:dyDescent="0.45"/>
    <row r="466" ht="18" x14ac:dyDescent="0.45"/>
    <row r="467" ht="18" x14ac:dyDescent="0.45"/>
    <row r="468" ht="18" x14ac:dyDescent="0.45"/>
    <row r="469" ht="18" x14ac:dyDescent="0.45"/>
    <row r="470" ht="18" x14ac:dyDescent="0.45"/>
    <row r="471" ht="18" x14ac:dyDescent="0.45"/>
    <row r="472" ht="18" x14ac:dyDescent="0.45"/>
    <row r="473" ht="18" x14ac:dyDescent="0.45"/>
    <row r="474" ht="18" x14ac:dyDescent="0.45"/>
    <row r="475" ht="18" x14ac:dyDescent="0.45"/>
    <row r="476" ht="18" x14ac:dyDescent="0.45"/>
    <row r="477" ht="18" x14ac:dyDescent="0.45"/>
    <row r="478" ht="18" x14ac:dyDescent="0.45"/>
    <row r="479" ht="18" x14ac:dyDescent="0.45"/>
    <row r="480" ht="18" x14ac:dyDescent="0.45"/>
    <row r="481" ht="18" x14ac:dyDescent="0.45"/>
    <row r="482" ht="18" x14ac:dyDescent="0.45"/>
    <row r="483" ht="18" x14ac:dyDescent="0.45"/>
    <row r="484" ht="18" x14ac:dyDescent="0.45"/>
    <row r="485" ht="18" x14ac:dyDescent="0.45"/>
    <row r="486" ht="18" x14ac:dyDescent="0.45"/>
    <row r="487" ht="18" x14ac:dyDescent="0.45"/>
    <row r="488" ht="18" x14ac:dyDescent="0.45"/>
    <row r="489" ht="18" x14ac:dyDescent="0.45"/>
    <row r="490" ht="18" x14ac:dyDescent="0.45"/>
    <row r="491" ht="18" x14ac:dyDescent="0.45"/>
    <row r="492" ht="18" x14ac:dyDescent="0.45"/>
    <row r="493" ht="18" x14ac:dyDescent="0.45"/>
    <row r="494" ht="18" x14ac:dyDescent="0.45"/>
    <row r="495" ht="18" x14ac:dyDescent="0.45"/>
    <row r="496" ht="18" x14ac:dyDescent="0.45"/>
    <row r="497" ht="18" x14ac:dyDescent="0.45"/>
    <row r="498" ht="18" x14ac:dyDescent="0.45"/>
    <row r="499" ht="18" x14ac:dyDescent="0.45"/>
    <row r="500" ht="18" x14ac:dyDescent="0.45"/>
    <row r="501" ht="18" x14ac:dyDescent="0.45"/>
    <row r="502" ht="18" x14ac:dyDescent="0.45"/>
    <row r="503" ht="18" x14ac:dyDescent="0.45"/>
    <row r="504" ht="18" x14ac:dyDescent="0.45"/>
    <row r="505" ht="18" x14ac:dyDescent="0.45"/>
    <row r="506" ht="18" x14ac:dyDescent="0.45"/>
    <row r="507" ht="18" x14ac:dyDescent="0.45"/>
    <row r="508" ht="18" x14ac:dyDescent="0.45"/>
    <row r="509" ht="18" x14ac:dyDescent="0.45"/>
    <row r="510" ht="18" x14ac:dyDescent="0.45"/>
    <row r="511" ht="18" x14ac:dyDescent="0.45"/>
    <row r="512" ht="18" x14ac:dyDescent="0.45"/>
    <row r="513" ht="18" x14ac:dyDescent="0.45"/>
    <row r="514" ht="18" x14ac:dyDescent="0.45"/>
    <row r="515" ht="18" x14ac:dyDescent="0.45"/>
    <row r="516" ht="18" x14ac:dyDescent="0.45"/>
    <row r="517" ht="18" x14ac:dyDescent="0.45"/>
    <row r="518" ht="18" x14ac:dyDescent="0.45"/>
    <row r="519" ht="18" x14ac:dyDescent="0.45"/>
    <row r="520" ht="18" x14ac:dyDescent="0.45"/>
    <row r="521" ht="18" x14ac:dyDescent="0.45"/>
    <row r="522" ht="18" x14ac:dyDescent="0.45"/>
    <row r="523" ht="18" x14ac:dyDescent="0.45"/>
    <row r="524" ht="18" x14ac:dyDescent="0.45"/>
    <row r="525" ht="18" x14ac:dyDescent="0.45"/>
    <row r="526" ht="18" x14ac:dyDescent="0.45"/>
    <row r="527" ht="18" x14ac:dyDescent="0.45"/>
    <row r="528" ht="18" x14ac:dyDescent="0.45"/>
    <row r="529" ht="18" x14ac:dyDescent="0.45"/>
    <row r="530" ht="18" x14ac:dyDescent="0.45"/>
    <row r="531" ht="18" x14ac:dyDescent="0.45"/>
    <row r="532" ht="18" x14ac:dyDescent="0.45"/>
    <row r="533" ht="18" x14ac:dyDescent="0.45"/>
    <row r="534" ht="18" x14ac:dyDescent="0.45"/>
    <row r="535" ht="18" x14ac:dyDescent="0.45"/>
    <row r="536" ht="18" x14ac:dyDescent="0.45"/>
    <row r="537" ht="18" x14ac:dyDescent="0.45"/>
    <row r="538" ht="18" x14ac:dyDescent="0.45"/>
    <row r="539" ht="18" x14ac:dyDescent="0.45"/>
    <row r="540" ht="18" x14ac:dyDescent="0.45"/>
    <row r="541" ht="18" x14ac:dyDescent="0.45"/>
    <row r="542" ht="18" x14ac:dyDescent="0.45"/>
    <row r="543" ht="18" x14ac:dyDescent="0.45"/>
    <row r="544" ht="18" x14ac:dyDescent="0.45"/>
    <row r="545" ht="18" x14ac:dyDescent="0.45"/>
    <row r="546" ht="18" x14ac:dyDescent="0.45"/>
    <row r="547" ht="18" x14ac:dyDescent="0.45"/>
    <row r="548" ht="18" x14ac:dyDescent="0.45"/>
    <row r="549" ht="18" x14ac:dyDescent="0.45"/>
    <row r="550" ht="18" x14ac:dyDescent="0.45"/>
    <row r="551" ht="18" x14ac:dyDescent="0.45"/>
    <row r="552" ht="18" x14ac:dyDescent="0.45"/>
    <row r="553" ht="18" x14ac:dyDescent="0.45"/>
    <row r="554" ht="18" x14ac:dyDescent="0.45"/>
    <row r="555" ht="18" x14ac:dyDescent="0.45"/>
    <row r="556" ht="18" x14ac:dyDescent="0.45"/>
    <row r="557" ht="18" x14ac:dyDescent="0.45"/>
    <row r="558" ht="18" x14ac:dyDescent="0.45"/>
    <row r="559" ht="18" x14ac:dyDescent="0.45"/>
    <row r="560" ht="18" x14ac:dyDescent="0.45"/>
    <row r="561" ht="18" x14ac:dyDescent="0.45"/>
    <row r="562" ht="18" x14ac:dyDescent="0.45"/>
    <row r="563" ht="18" x14ac:dyDescent="0.45"/>
    <row r="564" ht="18" x14ac:dyDescent="0.45"/>
    <row r="565" ht="18" x14ac:dyDescent="0.45"/>
    <row r="566" ht="18" x14ac:dyDescent="0.45"/>
    <row r="567" ht="18" x14ac:dyDescent="0.45"/>
    <row r="568" ht="18" x14ac:dyDescent="0.45"/>
    <row r="569" ht="18" x14ac:dyDescent="0.45"/>
    <row r="570" ht="18" x14ac:dyDescent="0.45"/>
    <row r="571" ht="18" x14ac:dyDescent="0.45"/>
    <row r="572" ht="18" x14ac:dyDescent="0.45"/>
    <row r="573" ht="18" x14ac:dyDescent="0.45"/>
    <row r="574" ht="18" x14ac:dyDescent="0.45"/>
    <row r="575" ht="18" x14ac:dyDescent="0.45"/>
    <row r="576" ht="18" x14ac:dyDescent="0.45"/>
    <row r="577" ht="18" x14ac:dyDescent="0.45"/>
    <row r="578" ht="18" x14ac:dyDescent="0.45"/>
    <row r="579" ht="18" x14ac:dyDescent="0.45"/>
    <row r="580" ht="18" x14ac:dyDescent="0.45"/>
    <row r="581" ht="18" x14ac:dyDescent="0.45"/>
    <row r="582" ht="18" x14ac:dyDescent="0.45"/>
    <row r="583" ht="18" x14ac:dyDescent="0.45"/>
    <row r="584" ht="18" x14ac:dyDescent="0.45"/>
    <row r="585" ht="18" x14ac:dyDescent="0.45"/>
    <row r="586" ht="18" x14ac:dyDescent="0.45"/>
    <row r="587" ht="18" x14ac:dyDescent="0.45"/>
    <row r="588" ht="18" x14ac:dyDescent="0.45"/>
    <row r="589" ht="18" x14ac:dyDescent="0.45"/>
    <row r="590" ht="18" x14ac:dyDescent="0.45"/>
    <row r="591" ht="18" x14ac:dyDescent="0.45"/>
    <row r="592" ht="18" x14ac:dyDescent="0.45"/>
    <row r="593" ht="18" x14ac:dyDescent="0.45"/>
    <row r="594" ht="18" x14ac:dyDescent="0.45"/>
    <row r="595" ht="18" x14ac:dyDescent="0.45"/>
    <row r="596" ht="18" x14ac:dyDescent="0.45"/>
    <row r="597" ht="18" x14ac:dyDescent="0.45"/>
    <row r="598" ht="18" x14ac:dyDescent="0.45"/>
    <row r="599" ht="18" x14ac:dyDescent="0.45"/>
    <row r="600" ht="18" x14ac:dyDescent="0.45"/>
    <row r="601" ht="18" x14ac:dyDescent="0.45"/>
    <row r="602" ht="18" x14ac:dyDescent="0.45"/>
    <row r="603" ht="18" x14ac:dyDescent="0.45"/>
    <row r="604" ht="18" x14ac:dyDescent="0.45"/>
    <row r="605" ht="18" x14ac:dyDescent="0.45"/>
    <row r="606" ht="18" x14ac:dyDescent="0.45"/>
    <row r="607" ht="18" x14ac:dyDescent="0.45"/>
    <row r="608" ht="18" x14ac:dyDescent="0.45"/>
    <row r="609" ht="18" x14ac:dyDescent="0.45"/>
    <row r="610" ht="18" x14ac:dyDescent="0.45"/>
    <row r="611" ht="18" x14ac:dyDescent="0.45"/>
    <row r="612" ht="18" x14ac:dyDescent="0.45"/>
    <row r="613" ht="18" x14ac:dyDescent="0.45"/>
    <row r="614" ht="18" x14ac:dyDescent="0.45"/>
    <row r="615" ht="18" x14ac:dyDescent="0.45"/>
    <row r="616" ht="18" x14ac:dyDescent="0.45"/>
    <row r="617" ht="18" x14ac:dyDescent="0.45"/>
    <row r="618" ht="18" x14ac:dyDescent="0.45"/>
    <row r="619" ht="18" x14ac:dyDescent="0.45"/>
    <row r="620" ht="18" x14ac:dyDescent="0.45"/>
    <row r="621" ht="18" x14ac:dyDescent="0.45"/>
    <row r="622" ht="18" x14ac:dyDescent="0.45"/>
    <row r="623" ht="18" x14ac:dyDescent="0.45"/>
    <row r="624" ht="18" x14ac:dyDescent="0.45"/>
    <row r="625" ht="18" x14ac:dyDescent="0.45"/>
    <row r="626" ht="18" x14ac:dyDescent="0.45"/>
    <row r="627" ht="18" x14ac:dyDescent="0.45"/>
    <row r="628" ht="18" x14ac:dyDescent="0.45"/>
    <row r="629" ht="18" x14ac:dyDescent="0.45"/>
    <row r="630" ht="18" x14ac:dyDescent="0.45"/>
    <row r="631" ht="18" x14ac:dyDescent="0.45"/>
    <row r="632" ht="18" x14ac:dyDescent="0.45"/>
    <row r="633" ht="18" x14ac:dyDescent="0.45"/>
    <row r="634" ht="18" x14ac:dyDescent="0.45"/>
    <row r="635" ht="18" x14ac:dyDescent="0.45"/>
    <row r="636" ht="18" x14ac:dyDescent="0.45"/>
    <row r="637" ht="18" x14ac:dyDescent="0.45"/>
    <row r="638" ht="18" x14ac:dyDescent="0.45"/>
    <row r="639" ht="18" x14ac:dyDescent="0.45"/>
    <row r="640" ht="18" x14ac:dyDescent="0.45"/>
    <row r="641" ht="18" x14ac:dyDescent="0.45"/>
    <row r="642" ht="18" x14ac:dyDescent="0.45"/>
    <row r="643" ht="18" x14ac:dyDescent="0.45"/>
    <row r="644" ht="18" x14ac:dyDescent="0.45"/>
    <row r="645" ht="18" x14ac:dyDescent="0.45"/>
    <row r="646" ht="18" x14ac:dyDescent="0.45"/>
    <row r="647" ht="18" x14ac:dyDescent="0.45"/>
    <row r="648" ht="18" x14ac:dyDescent="0.45"/>
    <row r="649" ht="18" x14ac:dyDescent="0.45"/>
    <row r="650" ht="18" x14ac:dyDescent="0.45"/>
    <row r="651" ht="18" x14ac:dyDescent="0.45"/>
    <row r="652" ht="18" x14ac:dyDescent="0.45"/>
    <row r="653" ht="18" x14ac:dyDescent="0.45"/>
    <row r="654" ht="18" x14ac:dyDescent="0.45"/>
    <row r="655" ht="18" x14ac:dyDescent="0.45"/>
    <row r="656" ht="18" x14ac:dyDescent="0.45"/>
    <row r="657" ht="18" x14ac:dyDescent="0.45"/>
    <row r="658" ht="18" x14ac:dyDescent="0.45"/>
    <row r="659" ht="18" x14ac:dyDescent="0.45"/>
    <row r="660" ht="18" x14ac:dyDescent="0.45"/>
    <row r="661" ht="18" x14ac:dyDescent="0.45"/>
    <row r="662" ht="18" x14ac:dyDescent="0.45"/>
    <row r="663" ht="18" x14ac:dyDescent="0.45"/>
    <row r="664" ht="18" x14ac:dyDescent="0.45"/>
    <row r="665" ht="18" x14ac:dyDescent="0.45"/>
    <row r="666" ht="18" x14ac:dyDescent="0.45"/>
    <row r="667" ht="18" x14ac:dyDescent="0.45"/>
    <row r="668" ht="18" x14ac:dyDescent="0.45"/>
    <row r="669" ht="18" x14ac:dyDescent="0.45"/>
    <row r="670" ht="18" x14ac:dyDescent="0.45"/>
    <row r="671" ht="18" x14ac:dyDescent="0.45"/>
    <row r="672" ht="18" x14ac:dyDescent="0.45"/>
    <row r="673" ht="18" x14ac:dyDescent="0.45"/>
    <row r="674" ht="18" x14ac:dyDescent="0.45"/>
    <row r="675" ht="18" x14ac:dyDescent="0.45"/>
    <row r="676" ht="18" x14ac:dyDescent="0.45"/>
    <row r="677" ht="18" x14ac:dyDescent="0.45"/>
    <row r="678" ht="18" x14ac:dyDescent="0.45"/>
    <row r="679" ht="18" x14ac:dyDescent="0.45"/>
    <row r="680" ht="18" x14ac:dyDescent="0.45"/>
    <row r="681" ht="18" x14ac:dyDescent="0.45"/>
    <row r="682" ht="18" x14ac:dyDescent="0.45"/>
    <row r="683" ht="18" x14ac:dyDescent="0.45"/>
    <row r="684" ht="18" x14ac:dyDescent="0.45"/>
    <row r="685" ht="18" x14ac:dyDescent="0.45"/>
    <row r="686" ht="18" x14ac:dyDescent="0.45"/>
    <row r="687" ht="18" x14ac:dyDescent="0.45"/>
    <row r="688" ht="18" x14ac:dyDescent="0.45"/>
    <row r="689" ht="18" x14ac:dyDescent="0.45"/>
    <row r="690" ht="18" x14ac:dyDescent="0.45"/>
    <row r="691" ht="18" x14ac:dyDescent="0.45"/>
    <row r="692" ht="18" x14ac:dyDescent="0.45"/>
    <row r="693" ht="18" x14ac:dyDescent="0.45"/>
    <row r="694" ht="18" x14ac:dyDescent="0.45"/>
    <row r="695" ht="18" x14ac:dyDescent="0.45"/>
    <row r="696" ht="18" x14ac:dyDescent="0.45"/>
    <row r="697" ht="18" x14ac:dyDescent="0.45"/>
    <row r="698" ht="18" x14ac:dyDescent="0.45"/>
    <row r="699" ht="18" x14ac:dyDescent="0.45"/>
    <row r="700" ht="18" x14ac:dyDescent="0.45"/>
    <row r="701" ht="18" x14ac:dyDescent="0.45"/>
    <row r="702" ht="18" x14ac:dyDescent="0.45"/>
    <row r="703" ht="18" x14ac:dyDescent="0.45"/>
    <row r="704" ht="18" x14ac:dyDescent="0.45"/>
    <row r="705" ht="18" x14ac:dyDescent="0.45"/>
    <row r="706" ht="18" x14ac:dyDescent="0.45"/>
    <row r="707" ht="18" x14ac:dyDescent="0.45"/>
    <row r="708" ht="18" x14ac:dyDescent="0.45"/>
    <row r="709" ht="18" x14ac:dyDescent="0.45"/>
    <row r="710" ht="18" x14ac:dyDescent="0.45"/>
    <row r="711" ht="18" x14ac:dyDescent="0.45"/>
    <row r="712" ht="18" x14ac:dyDescent="0.45"/>
    <row r="713" ht="18" x14ac:dyDescent="0.45"/>
    <row r="714" ht="18" x14ac:dyDescent="0.45"/>
    <row r="715" ht="18" x14ac:dyDescent="0.45"/>
    <row r="716" ht="18" x14ac:dyDescent="0.45"/>
    <row r="717" ht="18" x14ac:dyDescent="0.45"/>
    <row r="718" ht="18" x14ac:dyDescent="0.45"/>
    <row r="719" ht="18" x14ac:dyDescent="0.45"/>
    <row r="720" ht="18" x14ac:dyDescent="0.45"/>
    <row r="721" ht="18" x14ac:dyDescent="0.45"/>
    <row r="722" ht="18" x14ac:dyDescent="0.45"/>
    <row r="723" ht="18" x14ac:dyDescent="0.45"/>
    <row r="724" ht="18" x14ac:dyDescent="0.45"/>
    <row r="725" ht="18" x14ac:dyDescent="0.45"/>
    <row r="726" ht="18" x14ac:dyDescent="0.45"/>
    <row r="727" ht="18" x14ac:dyDescent="0.45"/>
    <row r="728" ht="18" x14ac:dyDescent="0.45"/>
    <row r="729" ht="18" x14ac:dyDescent="0.45"/>
    <row r="730" ht="18" x14ac:dyDescent="0.45"/>
    <row r="731" ht="18" x14ac:dyDescent="0.45"/>
    <row r="732" ht="18" x14ac:dyDescent="0.45"/>
    <row r="733" ht="18" x14ac:dyDescent="0.45"/>
    <row r="734" ht="18" x14ac:dyDescent="0.45"/>
    <row r="735" ht="18" x14ac:dyDescent="0.45"/>
    <row r="736" ht="18" x14ac:dyDescent="0.45"/>
    <row r="737" ht="18" x14ac:dyDescent="0.45"/>
    <row r="738" ht="18" x14ac:dyDescent="0.45"/>
    <row r="739" ht="18" x14ac:dyDescent="0.45"/>
    <row r="740" ht="18" x14ac:dyDescent="0.45"/>
    <row r="741" ht="18" x14ac:dyDescent="0.45"/>
    <row r="742" ht="18" x14ac:dyDescent="0.45"/>
    <row r="743" ht="18" x14ac:dyDescent="0.45"/>
    <row r="744" ht="18" x14ac:dyDescent="0.45"/>
    <row r="745" ht="18" x14ac:dyDescent="0.45"/>
    <row r="746" ht="18" x14ac:dyDescent="0.45"/>
    <row r="747" ht="18" x14ac:dyDescent="0.45"/>
    <row r="748" ht="18" x14ac:dyDescent="0.45"/>
    <row r="749" ht="18" x14ac:dyDescent="0.45"/>
    <row r="750" ht="18" x14ac:dyDescent="0.45"/>
    <row r="751" ht="18" x14ac:dyDescent="0.45"/>
    <row r="752" ht="18" x14ac:dyDescent="0.45"/>
    <row r="753" ht="18" x14ac:dyDescent="0.45"/>
    <row r="754" ht="18" x14ac:dyDescent="0.45"/>
    <row r="755" ht="18" x14ac:dyDescent="0.45"/>
    <row r="756" ht="18" x14ac:dyDescent="0.45"/>
    <row r="757" ht="18" x14ac:dyDescent="0.45"/>
    <row r="758" ht="18" x14ac:dyDescent="0.45"/>
    <row r="759" ht="18" x14ac:dyDescent="0.45"/>
    <row r="760" ht="18" x14ac:dyDescent="0.45"/>
    <row r="761" ht="18" x14ac:dyDescent="0.45"/>
    <row r="762" ht="18" x14ac:dyDescent="0.45"/>
    <row r="763" ht="18" x14ac:dyDescent="0.45"/>
    <row r="764" ht="18" x14ac:dyDescent="0.45"/>
    <row r="765" ht="18" x14ac:dyDescent="0.45"/>
    <row r="766" ht="18" x14ac:dyDescent="0.45"/>
    <row r="767" ht="18" x14ac:dyDescent="0.45"/>
    <row r="768" ht="18" x14ac:dyDescent="0.45"/>
    <row r="769" ht="18" x14ac:dyDescent="0.45"/>
    <row r="770" ht="18" x14ac:dyDescent="0.45"/>
    <row r="771" ht="18" x14ac:dyDescent="0.45"/>
    <row r="772" ht="18" x14ac:dyDescent="0.45"/>
    <row r="773" ht="18" x14ac:dyDescent="0.45"/>
    <row r="774" ht="18" x14ac:dyDescent="0.45"/>
    <row r="775" ht="18" x14ac:dyDescent="0.45"/>
    <row r="776" ht="18" x14ac:dyDescent="0.45"/>
    <row r="777" ht="18" x14ac:dyDescent="0.45"/>
    <row r="778" ht="18" x14ac:dyDescent="0.45"/>
    <row r="779" ht="18" x14ac:dyDescent="0.45"/>
    <row r="780" ht="18" x14ac:dyDescent="0.45"/>
    <row r="781" ht="18" x14ac:dyDescent="0.45"/>
    <row r="782" ht="18" x14ac:dyDescent="0.45"/>
    <row r="783" ht="18" x14ac:dyDescent="0.45"/>
    <row r="784" ht="18" x14ac:dyDescent="0.45"/>
    <row r="785" ht="18" x14ac:dyDescent="0.45"/>
    <row r="786" ht="18" x14ac:dyDescent="0.45"/>
    <row r="787" ht="18" x14ac:dyDescent="0.45"/>
    <row r="788" ht="18" x14ac:dyDescent="0.45"/>
    <row r="789" ht="18" x14ac:dyDescent="0.45"/>
    <row r="790" ht="18" x14ac:dyDescent="0.45"/>
    <row r="791" ht="18" x14ac:dyDescent="0.45"/>
    <row r="792" ht="18" x14ac:dyDescent="0.45"/>
    <row r="793" ht="18" x14ac:dyDescent="0.45"/>
    <row r="794" ht="18" x14ac:dyDescent="0.45"/>
    <row r="795" ht="18" x14ac:dyDescent="0.45"/>
    <row r="796" ht="18" x14ac:dyDescent="0.45"/>
    <row r="797" ht="18" x14ac:dyDescent="0.45"/>
    <row r="798" ht="18" x14ac:dyDescent="0.45"/>
    <row r="799" ht="18" x14ac:dyDescent="0.45"/>
    <row r="800" ht="18" x14ac:dyDescent="0.45"/>
    <row r="801" ht="18" x14ac:dyDescent="0.45"/>
    <row r="802" ht="18" x14ac:dyDescent="0.45"/>
    <row r="803" ht="18" x14ac:dyDescent="0.45"/>
    <row r="804" ht="18" x14ac:dyDescent="0.45"/>
    <row r="805" ht="18" x14ac:dyDescent="0.45"/>
    <row r="806" ht="18" x14ac:dyDescent="0.45"/>
    <row r="807" ht="18" x14ac:dyDescent="0.45"/>
    <row r="808" ht="18" x14ac:dyDescent="0.45"/>
    <row r="809" ht="18" x14ac:dyDescent="0.45"/>
    <row r="810" ht="18" x14ac:dyDescent="0.45"/>
    <row r="811" ht="18" x14ac:dyDescent="0.45"/>
    <row r="812" ht="18" x14ac:dyDescent="0.45"/>
    <row r="813" ht="18" x14ac:dyDescent="0.45"/>
    <row r="814" ht="18" x14ac:dyDescent="0.45"/>
    <row r="815" ht="18" x14ac:dyDescent="0.45"/>
    <row r="816" ht="18" x14ac:dyDescent="0.45"/>
    <row r="817" ht="18" x14ac:dyDescent="0.45"/>
    <row r="818" ht="18" x14ac:dyDescent="0.45"/>
    <row r="819" ht="18" x14ac:dyDescent="0.45"/>
    <row r="820" ht="18" x14ac:dyDescent="0.45"/>
    <row r="821" ht="18" x14ac:dyDescent="0.45"/>
    <row r="822" ht="18" x14ac:dyDescent="0.45"/>
    <row r="823" ht="18" x14ac:dyDescent="0.45"/>
    <row r="824" ht="18" x14ac:dyDescent="0.45"/>
    <row r="825" ht="18" x14ac:dyDescent="0.45"/>
    <row r="826" ht="18" x14ac:dyDescent="0.45"/>
    <row r="827" ht="18" x14ac:dyDescent="0.45"/>
    <row r="828" ht="18" x14ac:dyDescent="0.45"/>
    <row r="829" ht="18" x14ac:dyDescent="0.45"/>
    <row r="830" ht="18" x14ac:dyDescent="0.45"/>
    <row r="831" ht="18" x14ac:dyDescent="0.45"/>
    <row r="832" ht="18" x14ac:dyDescent="0.45"/>
    <row r="833" ht="18" x14ac:dyDescent="0.45"/>
    <row r="834" ht="18" x14ac:dyDescent="0.45"/>
    <row r="835" ht="18" x14ac:dyDescent="0.45"/>
    <row r="836" ht="18" x14ac:dyDescent="0.45"/>
    <row r="837" ht="18" x14ac:dyDescent="0.45"/>
    <row r="838" ht="18" x14ac:dyDescent="0.45"/>
    <row r="839" ht="18" x14ac:dyDescent="0.45"/>
    <row r="840" ht="18" x14ac:dyDescent="0.45"/>
    <row r="841" ht="18" x14ac:dyDescent="0.45"/>
    <row r="842" ht="18" x14ac:dyDescent="0.45"/>
    <row r="843" ht="18" x14ac:dyDescent="0.45"/>
    <row r="844" ht="18" x14ac:dyDescent="0.45"/>
    <row r="845" ht="18" x14ac:dyDescent="0.45"/>
    <row r="846" ht="18" x14ac:dyDescent="0.45"/>
    <row r="847" ht="18" x14ac:dyDescent="0.45"/>
    <row r="848" ht="18" x14ac:dyDescent="0.45"/>
    <row r="849" ht="18" x14ac:dyDescent="0.45"/>
    <row r="850" ht="18" x14ac:dyDescent="0.45"/>
    <row r="851" ht="18" x14ac:dyDescent="0.45"/>
    <row r="852" ht="18" x14ac:dyDescent="0.45"/>
    <row r="853" ht="18" x14ac:dyDescent="0.45"/>
    <row r="854" ht="18" x14ac:dyDescent="0.45"/>
    <row r="855" ht="18" x14ac:dyDescent="0.45"/>
    <row r="856" ht="18" x14ac:dyDescent="0.45"/>
    <row r="857" ht="18" x14ac:dyDescent="0.45"/>
    <row r="858" ht="18" x14ac:dyDescent="0.45"/>
    <row r="859" ht="18" x14ac:dyDescent="0.45"/>
    <row r="860" ht="18" x14ac:dyDescent="0.45"/>
    <row r="861" ht="18" x14ac:dyDescent="0.45"/>
    <row r="862" ht="18" x14ac:dyDescent="0.45"/>
    <row r="863" ht="18" x14ac:dyDescent="0.45"/>
    <row r="864" ht="18" x14ac:dyDescent="0.45"/>
    <row r="865" ht="18" x14ac:dyDescent="0.45"/>
    <row r="866" ht="18" x14ac:dyDescent="0.45"/>
    <row r="867" ht="18" x14ac:dyDescent="0.45"/>
    <row r="868" ht="18" x14ac:dyDescent="0.45"/>
    <row r="869" ht="18" x14ac:dyDescent="0.45"/>
    <row r="870" ht="18" x14ac:dyDescent="0.45"/>
    <row r="871" ht="18" x14ac:dyDescent="0.45"/>
    <row r="872" ht="18" x14ac:dyDescent="0.45"/>
    <row r="873" ht="18" x14ac:dyDescent="0.45"/>
    <row r="874" ht="18" x14ac:dyDescent="0.45"/>
    <row r="875" ht="18" x14ac:dyDescent="0.45"/>
    <row r="876" ht="18" x14ac:dyDescent="0.45"/>
    <row r="877" ht="18" x14ac:dyDescent="0.45"/>
    <row r="878" ht="18" x14ac:dyDescent="0.45"/>
    <row r="879" ht="18" x14ac:dyDescent="0.45"/>
    <row r="880" ht="18" x14ac:dyDescent="0.45"/>
    <row r="881" ht="18" x14ac:dyDescent="0.45"/>
    <row r="882" ht="18" x14ac:dyDescent="0.45"/>
    <row r="883" ht="18" x14ac:dyDescent="0.45"/>
    <row r="884" ht="18" x14ac:dyDescent="0.45"/>
    <row r="885" ht="18" x14ac:dyDescent="0.45"/>
    <row r="886" ht="18" x14ac:dyDescent="0.45"/>
    <row r="887" ht="18" x14ac:dyDescent="0.45"/>
    <row r="888" ht="18" x14ac:dyDescent="0.45"/>
    <row r="889" ht="18" x14ac:dyDescent="0.45"/>
    <row r="890" ht="18" x14ac:dyDescent="0.45"/>
    <row r="891" ht="18" x14ac:dyDescent="0.45"/>
    <row r="892" ht="18" x14ac:dyDescent="0.45"/>
    <row r="893" ht="18" x14ac:dyDescent="0.45"/>
    <row r="894" ht="18" x14ac:dyDescent="0.45"/>
    <row r="895" ht="18" x14ac:dyDescent="0.45"/>
    <row r="896" ht="18" x14ac:dyDescent="0.45"/>
    <row r="897" ht="18" x14ac:dyDescent="0.45"/>
    <row r="898" ht="18" x14ac:dyDescent="0.45"/>
    <row r="899" ht="18" x14ac:dyDescent="0.45"/>
    <row r="900" ht="18" x14ac:dyDescent="0.45"/>
    <row r="901" ht="18" x14ac:dyDescent="0.45"/>
    <row r="902" ht="18" x14ac:dyDescent="0.45"/>
    <row r="903" ht="18" x14ac:dyDescent="0.45"/>
    <row r="904" ht="18" x14ac:dyDescent="0.45"/>
    <row r="905" ht="18" x14ac:dyDescent="0.45"/>
    <row r="906" ht="18" x14ac:dyDescent="0.45"/>
    <row r="907" ht="18" x14ac:dyDescent="0.45"/>
    <row r="908" ht="18" x14ac:dyDescent="0.45"/>
    <row r="909" ht="18" x14ac:dyDescent="0.45"/>
    <row r="910" ht="18" x14ac:dyDescent="0.45"/>
    <row r="911" ht="18" x14ac:dyDescent="0.45"/>
    <row r="912" ht="18" x14ac:dyDescent="0.45"/>
    <row r="913" ht="18" x14ac:dyDescent="0.45"/>
    <row r="914" ht="18" x14ac:dyDescent="0.45"/>
    <row r="915" ht="18" x14ac:dyDescent="0.45"/>
    <row r="916" ht="18" x14ac:dyDescent="0.45"/>
    <row r="917" ht="18" x14ac:dyDescent="0.45"/>
    <row r="918" ht="18" x14ac:dyDescent="0.45"/>
    <row r="919" ht="18" x14ac:dyDescent="0.45"/>
    <row r="920" ht="18" x14ac:dyDescent="0.45"/>
    <row r="921" ht="18" x14ac:dyDescent="0.45"/>
    <row r="922" ht="18" x14ac:dyDescent="0.45"/>
    <row r="923" ht="18" x14ac:dyDescent="0.45"/>
    <row r="924" ht="18" x14ac:dyDescent="0.45"/>
    <row r="925" ht="18" x14ac:dyDescent="0.45"/>
    <row r="926" ht="18" x14ac:dyDescent="0.45"/>
    <row r="927" ht="18" x14ac:dyDescent="0.45"/>
    <row r="928" ht="18" x14ac:dyDescent="0.45"/>
    <row r="929" ht="18" x14ac:dyDescent="0.45"/>
    <row r="930" ht="18" x14ac:dyDescent="0.45"/>
    <row r="931" ht="18" x14ac:dyDescent="0.45"/>
    <row r="932" ht="18" x14ac:dyDescent="0.45"/>
    <row r="933" ht="18" x14ac:dyDescent="0.45"/>
    <row r="934" ht="18" x14ac:dyDescent="0.45"/>
    <row r="935" ht="18" x14ac:dyDescent="0.45"/>
    <row r="936" ht="18" x14ac:dyDescent="0.45"/>
    <row r="937" ht="18" x14ac:dyDescent="0.45"/>
    <row r="938" ht="18" x14ac:dyDescent="0.45"/>
    <row r="939" ht="18" x14ac:dyDescent="0.45"/>
    <row r="940" ht="18" x14ac:dyDescent="0.45"/>
    <row r="941" ht="18" x14ac:dyDescent="0.45"/>
    <row r="942" ht="18" x14ac:dyDescent="0.45"/>
    <row r="943" ht="18" x14ac:dyDescent="0.45"/>
    <row r="944" ht="18" x14ac:dyDescent="0.45"/>
    <row r="945" ht="18" x14ac:dyDescent="0.45"/>
    <row r="946" ht="18" x14ac:dyDescent="0.45"/>
    <row r="947" ht="18" x14ac:dyDescent="0.45"/>
    <row r="948" ht="18" x14ac:dyDescent="0.45"/>
    <row r="949" ht="18" x14ac:dyDescent="0.45"/>
    <row r="950" ht="18" x14ac:dyDescent="0.45"/>
    <row r="951" ht="18" x14ac:dyDescent="0.45"/>
    <row r="952" ht="18" x14ac:dyDescent="0.45"/>
    <row r="953" ht="18" x14ac:dyDescent="0.45"/>
    <row r="954" ht="18" x14ac:dyDescent="0.45"/>
    <row r="955" ht="18" x14ac:dyDescent="0.45"/>
    <row r="956" ht="18" x14ac:dyDescent="0.45"/>
    <row r="957" ht="18" x14ac:dyDescent="0.45"/>
    <row r="958" ht="18" x14ac:dyDescent="0.45"/>
    <row r="959" ht="18" x14ac:dyDescent="0.45"/>
    <row r="960" ht="18" x14ac:dyDescent="0.45"/>
    <row r="961" ht="18" x14ac:dyDescent="0.45"/>
    <row r="962" ht="18" x14ac:dyDescent="0.45"/>
    <row r="963" ht="18" x14ac:dyDescent="0.45"/>
    <row r="964" ht="18" x14ac:dyDescent="0.45"/>
    <row r="965" ht="18" x14ac:dyDescent="0.45"/>
    <row r="966" ht="18" x14ac:dyDescent="0.45"/>
    <row r="967" ht="18" x14ac:dyDescent="0.45"/>
    <row r="968" ht="18" x14ac:dyDescent="0.45"/>
    <row r="969" ht="18" x14ac:dyDescent="0.45"/>
    <row r="970" ht="18" x14ac:dyDescent="0.45"/>
    <row r="971" ht="18" x14ac:dyDescent="0.45"/>
    <row r="972" ht="18" x14ac:dyDescent="0.45"/>
    <row r="973" ht="18" x14ac:dyDescent="0.45"/>
    <row r="974" ht="18" x14ac:dyDescent="0.45"/>
    <row r="975" ht="18" x14ac:dyDescent="0.45"/>
    <row r="976" ht="18" x14ac:dyDescent="0.45"/>
    <row r="977" ht="18" x14ac:dyDescent="0.45"/>
    <row r="978" ht="18" x14ac:dyDescent="0.45"/>
    <row r="979" ht="18" x14ac:dyDescent="0.45"/>
    <row r="980" ht="18" x14ac:dyDescent="0.45"/>
  </sheetData>
  <mergeCells count="9">
    <mergeCell ref="A2:A6"/>
    <mergeCell ref="B2:B6"/>
    <mergeCell ref="A7:A23"/>
    <mergeCell ref="B8:B10"/>
    <mergeCell ref="B11:B13"/>
    <mergeCell ref="B14:B16"/>
    <mergeCell ref="B17:B19"/>
    <mergeCell ref="B20:B21"/>
    <mergeCell ref="B22:B23"/>
  </mergeCells>
  <phoneticPr fontId="2"/>
  <pageMargins left="0.7" right="0.7" top="0.75" bottom="0.75" header="0.3" footer="0.3"/>
  <pageSetup paperSize="9" orientation="portrait" r:id="rId1"/>
  <headerFooter>
    <oddFooter>&amp;R©2024 SMS DataTech Corporation. All rights reserved.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G8"/>
  <sheetViews>
    <sheetView workbookViewId="0">
      <selection activeCell="O27" sqref="O27"/>
    </sheetView>
  </sheetViews>
  <sheetFormatPr defaultRowHeight="18" x14ac:dyDescent="0.45"/>
  <sheetData>
    <row r="1" spans="1:33" x14ac:dyDescent="0.45">
      <c r="A1" s="47" t="s">
        <v>37</v>
      </c>
      <c r="C1" t="s">
        <v>37</v>
      </c>
      <c r="E1" t="s">
        <v>38</v>
      </c>
      <c r="G1" t="s">
        <v>39</v>
      </c>
      <c r="I1" t="s">
        <v>39</v>
      </c>
      <c r="M1" t="s">
        <v>40</v>
      </c>
      <c r="O1" t="s">
        <v>41</v>
      </c>
      <c r="Q1" t="s">
        <v>42</v>
      </c>
      <c r="S1" t="s">
        <v>43</v>
      </c>
      <c r="U1" t="s">
        <v>44</v>
      </c>
      <c r="W1" t="s">
        <v>45</v>
      </c>
      <c r="Y1" t="s">
        <v>70</v>
      </c>
      <c r="AA1" t="s">
        <v>73</v>
      </c>
      <c r="AC1" t="s">
        <v>75</v>
      </c>
      <c r="AE1" t="s">
        <v>77</v>
      </c>
      <c r="AG1" t="s">
        <v>80</v>
      </c>
    </row>
    <row r="2" spans="1:33" x14ac:dyDescent="0.45">
      <c r="A2" t="s">
        <v>46</v>
      </c>
      <c r="C2" t="s">
        <v>46</v>
      </c>
      <c r="E2" t="s">
        <v>47</v>
      </c>
      <c r="G2" t="s">
        <v>48</v>
      </c>
      <c r="I2" t="s">
        <v>48</v>
      </c>
      <c r="K2" t="s">
        <v>49</v>
      </c>
      <c r="M2" t="s">
        <v>50</v>
      </c>
      <c r="O2" t="s">
        <v>51</v>
      </c>
      <c r="Q2" t="s">
        <v>52</v>
      </c>
      <c r="S2" t="s">
        <v>53</v>
      </c>
      <c r="U2" t="s">
        <v>54</v>
      </c>
      <c r="W2" t="s">
        <v>55</v>
      </c>
      <c r="Y2" t="s">
        <v>71</v>
      </c>
      <c r="AA2" t="s">
        <v>74</v>
      </c>
      <c r="AC2" t="s">
        <v>76</v>
      </c>
      <c r="AE2" t="s">
        <v>78</v>
      </c>
      <c r="AG2" t="s">
        <v>81</v>
      </c>
    </row>
    <row r="3" spans="1:33" x14ac:dyDescent="0.45">
      <c r="A3" t="s">
        <v>56</v>
      </c>
      <c r="C3" t="s">
        <v>56</v>
      </c>
      <c r="I3" t="s">
        <v>57</v>
      </c>
      <c r="O3" t="s">
        <v>58</v>
      </c>
      <c r="Q3" t="s">
        <v>59</v>
      </c>
      <c r="S3" t="s">
        <v>60</v>
      </c>
      <c r="U3" t="s">
        <v>61</v>
      </c>
      <c r="W3" t="s">
        <v>62</v>
      </c>
      <c r="Y3" t="s">
        <v>72</v>
      </c>
      <c r="AE3" t="s">
        <v>79</v>
      </c>
      <c r="AG3" t="s">
        <v>61</v>
      </c>
    </row>
    <row r="4" spans="1:33" x14ac:dyDescent="0.45">
      <c r="A4" t="s">
        <v>63</v>
      </c>
      <c r="C4" t="s">
        <v>63</v>
      </c>
      <c r="O4" t="s">
        <v>64</v>
      </c>
      <c r="Q4" t="s">
        <v>65</v>
      </c>
      <c r="S4" t="s">
        <v>66</v>
      </c>
      <c r="AG4" t="s">
        <v>82</v>
      </c>
    </row>
    <row r="5" spans="1:33" x14ac:dyDescent="0.45">
      <c r="A5" t="s">
        <v>67</v>
      </c>
      <c r="C5" t="s">
        <v>67</v>
      </c>
      <c r="S5" t="s">
        <v>68</v>
      </c>
      <c r="AG5" t="s">
        <v>83</v>
      </c>
    </row>
    <row r="6" spans="1:33" x14ac:dyDescent="0.45">
      <c r="C6" t="s">
        <v>69</v>
      </c>
      <c r="AG6" t="s">
        <v>44</v>
      </c>
    </row>
    <row r="7" spans="1:33" x14ac:dyDescent="0.45">
      <c r="C7" t="s">
        <v>16</v>
      </c>
      <c r="AG7" t="s">
        <v>84</v>
      </c>
    </row>
    <row r="8" spans="1:33" x14ac:dyDescent="0.45">
      <c r="AG8" t="s">
        <v>54</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26</vt:i4>
      </vt:variant>
    </vt:vector>
  </HeadingPairs>
  <TitlesOfParts>
    <vt:vector size="40" baseType="lpstr">
      <vt:lpstr>目次</vt:lpstr>
      <vt:lpstr>変更履歴</vt:lpstr>
      <vt:lpstr>一覧_画面レイアウト</vt:lpstr>
      <vt:lpstr>一覧_一覧要素</vt:lpstr>
      <vt:lpstr>一覧_集計要素</vt:lpstr>
      <vt:lpstr>一覧_フィルタ要素</vt:lpstr>
      <vt:lpstr>一覧_その他要素</vt:lpstr>
      <vt:lpstr>詳細_画面レイアウト</vt:lpstr>
      <vt:lpstr>詳細_編集要素</vt:lpstr>
      <vt:lpstr>詳細_その他要素</vt:lpstr>
      <vt:lpstr>スクリプト要素</vt:lpstr>
      <vt:lpstr>課題事項</vt:lpstr>
      <vt:lpstr>雛形</vt:lpstr>
      <vt:lpstr>参照</vt:lpstr>
      <vt:lpstr>Pleasanter項目種別</vt:lpstr>
      <vt:lpstr>スクリプト要素!Print_Area</vt:lpstr>
      <vt:lpstr>一覧_その他要素!Print_Area</vt:lpstr>
      <vt:lpstr>一覧_フィルタ要素!Print_Area</vt:lpstr>
      <vt:lpstr>一覧_一覧要素!Print_Area</vt:lpstr>
      <vt:lpstr>一覧_画面レイアウト!Print_Area</vt:lpstr>
      <vt:lpstr>一覧_集計要素!Print_Area</vt:lpstr>
      <vt:lpstr>詳細_その他要素!Print_Area</vt:lpstr>
      <vt:lpstr>詳細_画面レイアウト!Print_Area</vt:lpstr>
      <vt:lpstr>詳細_編集要素!Print_Area</vt:lpstr>
      <vt:lpstr>エディタの書式</vt:lpstr>
      <vt:lpstr>コントロール種別</vt:lpstr>
      <vt:lpstr>コントロール種別_チェックフィルタ</vt:lpstr>
      <vt:lpstr>スタイル</vt:lpstr>
      <vt:lpstr>スタイル_説明</vt:lpstr>
      <vt:lpstr>チェック</vt:lpstr>
      <vt:lpstr>ビュワー切替</vt:lpstr>
      <vt:lpstr>フィルタ要素</vt:lpstr>
      <vt:lpstr>フルテキストの種類</vt:lpstr>
      <vt:lpstr>モード選択</vt:lpstr>
      <vt:lpstr>一覧の書式</vt:lpstr>
      <vt:lpstr>検索の種類</vt:lpstr>
      <vt:lpstr>集計種別</vt:lpstr>
      <vt:lpstr>書式</vt:lpstr>
      <vt:lpstr>端数処理種類</vt:lpstr>
      <vt:lpstr>配置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2024-04-08T02:08:30Z</cp:lastPrinted>
  <dcterms:created xsi:type="dcterms:W3CDTF">2021-04-12T04:47:05Z</dcterms:created>
  <dcterms:modified xsi:type="dcterms:W3CDTF">2025-05-24T04:13:42Z</dcterms:modified>
</cp:coreProperties>
</file>