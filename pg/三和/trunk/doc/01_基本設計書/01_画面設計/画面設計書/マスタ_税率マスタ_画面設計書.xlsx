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<sst xmlns="http://schemas.openxmlformats.org/spreadsheetml/2006/main" count="1577" uniqueCount="321">
  <si>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</si>
  <si>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</si>
  <si>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</si>
  <si>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</si>
  <si>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</si>
  <si>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</si>
  <si>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</si>
  <si>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</si>
  <si>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</si>
  <si>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</si>
  <si>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</si>
  <si>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</si>
  <si>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</si>
  <si>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</si>
  <si>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</si>
  <si>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</si>
  <si>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</si>
  <si>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</si>
  <si>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</si>
  <si>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</si>
  <si>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</si>
  <si>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</si>
  <si>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</si>
  <si>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</si>
  <si>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</si>
  <si>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</si>
  <si>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</si>
  <si>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</si>
  <si>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</si>
  <si>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</si>
  <si>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</si>
  <si>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</si>
  <si>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</si>
  <si>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</si>
  <si>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</si>
  <si>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</si>
  <si>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</si>
  <si>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</si>
  <si>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</si>
  <si>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</si>
  <si>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</si>
  <si>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</si>
  <si>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</si>
  <si>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</si>
  <si>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</si>
  <si>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</si>
  <si>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</si>
  <si>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</si>
  <si>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</si>
  <si>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</si>
  <si>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</si>
  <si>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</si>
  <si>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</si>
  <si>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</si>
  <si>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</si>
  <si>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</si>
  <si>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</si>
  <si>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</si>
  <si>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</si>
  <si>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</si>
  <si>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</si>
  <si>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</si>
  <si>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</si>
  <si>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</si>
  <si>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</si>
  <si>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</si>
  <si>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</si>
  <si>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</si>
  <si>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</si>
  <si>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</si>
  <si>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</si>
  <si>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</si>
  <si>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</si>
  <si>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</si>
  <si>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</si>
  <si>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</si>
  <si>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</si>
  <si>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</si>
  <si>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</si>
  <si>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</si>
  <si>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</si>
  <si>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</si>
  <si>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</si>
  <si>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</si>
  <si>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</si>
  <si>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</si>
  <si>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</si>
  <si>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</si>
  <si>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</si>
  <si>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</si>
  <si>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</si>
  <si>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</si>
  <si>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</si>
  <si>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</si>
  <si>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</si>
  <si>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</si>
  <si>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</si>
  <si>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</si>
  <si>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</si>
  <si>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</si>
  <si>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</si>
  <si>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</si>
  <si>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</si>
  <si>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</si>
  <si>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</si>
  <si>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</si>
  <si>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</si>
  <si>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</si>
  <si>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</si>
  <si>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</si>
  <si>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</si>
  <si>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</si>
  <si>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</si>
  <si>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</si>
  <si>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</si>
  <si>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</si>
  <si>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</si>
  <si>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</si>
  <si>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</si>
  <si>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</si>
  <si>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</si>
  <si>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</si>
  <si>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</si>
  <si>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</si>
  <si>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</si>
  <si>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</si>
  <si>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</si>
  <si>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</si>
  <si>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</si>
  <si>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</si>
  <si>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</si>
  <si>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</si>
  <si>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</si>
  <si>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</si>
  <si>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</si>
  <si>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</si>
  <si>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</si>
  <si>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</si>
  <si>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</si>
  <si>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</si>
  <si>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</si>
  <si>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</si>
  <si>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</si>
  <si>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</si>
  <si>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</si>
  <si>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</si>
  <si>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</si>
  <si>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</si>
  <si>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</si>
  <si>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</si>
  <si>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</si>
  <si>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</si>
  <si>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</si>
  <si>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</si>
  <si>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</si>
  <si>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</si>
  <si>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</si>
  <si>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</si>
  <si>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</si>
  <si>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</si>
  <si>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</si>
  <si>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</si>
  <si>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</si>
  <si>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</si>
  <si>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</si>
  <si>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</si>
  <si>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</si>
  <si>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</si>
  <si>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</si>
  <si>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</si>
  <si>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</si>
  <si>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</si>
  <si>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</si>
  <si>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</si>
  <si>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</si>
  <si>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</si>
  <si>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</si>
  <si>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</si>
  <si>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</si>
  <si>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</si>
  <si>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</si>
  <si>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</si>
  <si>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</si>
  <si>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</si>
  <si>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</si>
  <si>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</si>
  <si>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</si>
  <si>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</si>
  <si>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</si>
  <si>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</si>
  <si>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</si>
  <si>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</si>
  <si>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</si>
  <si>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</si>
  <si>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</si>
  <si>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</si>
  <si>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</si>
  <si>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</si>
  <si>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</si>
  <si>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</si>
  <si>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</si>
  <si>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</si>
  <si>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</si>
  <si>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</si>
  <si>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</si>
  <si>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</si>
  <si>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</si>
  <si>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</si>
  <si>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</si>
  <si>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</si>
  <si>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</si>
  <si>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</si>
  <si>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</si>
  <si>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</si>
  <si>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</si>
  <si>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</si>
  <si>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</si>
  <si>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</si>
  <si>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</si>
  <si>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</si>
  <si>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</si>
  <si>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</si>
  <si>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</si>
  <si>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</si>
  <si>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</si>
  <si>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</si>
  <si>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</si>
  <si>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</si>
  <si>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</si>
  <si>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</si>
  <si>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</si>
  <si>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</si>
  <si>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</si>
  <si>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</si>
  <si>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</si>
  <si>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</si>
  <si>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</si>
  <si>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</si>
  <si>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</si>
  <si>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</si>
  <si>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</si>
  <si>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</si>
  <si>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</si>
  <si>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</si>
  <si>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</si>
  <si>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</si>
  <si>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</si>
  <si>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</si>
  <si>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</si>
  <si>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</si>
  <si>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</si>
  <si>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</si>
  <si>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</si>
  <si>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</si>
  <si>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</si>
  <si>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</si>
  <si>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</si>
  <si>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</si>
  <si>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</si>
  <si>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</si>
  <si>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</si>
  <si>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</si>
  <si>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</si>
  <si>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</si>
  <si>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</si>
  <si>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</si>
  <si>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</si>
  <si>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</si>
  <si>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</si>
  <si>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</si>
  <si>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</si>
  <si>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</si>
  <si>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</si>
  <si>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</si>
  <si>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</si>
  <si>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</si>
  <si>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</si>
  <si>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</si>
  <si>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</si>
  <si>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</si>
  <si>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</si>
  <si>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</si>
  <si>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</si>
  <si>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</si>
  <si>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</si>
  <si>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</si>
  <si>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</si>
  <si>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</si>
  <si>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</si>
  <si>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</si>
  <si>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</si>
  <si>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</si>
  <si>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</si>
  <si>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</si>
  <si>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</si>
  <si>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</si>
  <si>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</si>
  <si>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</si>
  <si>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</si>
  <si>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</si>
  <si>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</si>
  <si>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切替日付</t>
    <rPh sb="0" eb="2">
      <t>キリカエ</t>
    </rPh>
    <rPh sb="2" eb="4">
      <t>ヒヅケ</t>
    </rPh>
    <phoneticPr fontId="2"/>
  </si>
  <si>
    <t>切替前税率</t>
    <rPh sb="0" eb="2">
      <t>キリカエ</t>
    </rPh>
    <rPh sb="2" eb="3">
      <t>マエ</t>
    </rPh>
    <rPh sb="3" eb="5">
      <t>ゼイリツ</t>
    </rPh>
    <phoneticPr fontId="2"/>
  </si>
  <si>
    <t>切替後税率</t>
    <rPh sb="0" eb="3">
      <t>キリカエゴ</t>
    </rPh>
    <rPh sb="3" eb="5">
      <t>ゼイリツ</t>
    </rPh>
    <phoneticPr fontId="2"/>
  </si>
  <si>
    <t>切替日付</t>
    <rPh sb="0" eb="2">
      <t>キリカエ</t>
    </rPh>
    <rPh sb="2" eb="4">
      <t>ヒヅケ</t>
    </rPh>
    <phoneticPr fontId="2"/>
  </si>
  <si>
    <t>切替前税率</t>
    <rPh sb="0" eb="3">
      <t>キリカエマエ</t>
    </rPh>
    <rPh sb="3" eb="5">
      <t>ゼイリツ</t>
    </rPh>
    <phoneticPr fontId="2"/>
  </si>
  <si>
    <t>切替後税率</t>
    <rPh sb="0" eb="5">
      <t>キリカエゴゼイリツ</t>
    </rPh>
    <phoneticPr fontId="2"/>
  </si>
  <si>
    <t>切替日付</t>
    <rPh sb="0" eb="4">
      <t>キリカエヒヅケ</t>
    </rPh>
    <phoneticPr fontId="2"/>
  </si>
  <si>
    <t>TM税率_切替日付</t>
    <rPh sb="2" eb="4">
      <t>ゼイリツ</t>
    </rPh>
    <rPh sb="5" eb="9">
      <t>キリカエヒヅケ</t>
    </rPh>
    <phoneticPr fontId="2"/>
  </si>
  <si>
    <t>切替前税率</t>
    <rPh sb="0" eb="3">
      <t>キリカエマエ</t>
    </rPh>
    <rPh sb="3" eb="5">
      <t>ゼイリツ</t>
    </rPh>
    <phoneticPr fontId="2"/>
  </si>
  <si>
    <t>TM税率_旧税率</t>
    <rPh sb="2" eb="4">
      <t>ゼイリツ</t>
    </rPh>
    <rPh sb="5" eb="8">
      <t>キュウゼイリツ</t>
    </rPh>
    <phoneticPr fontId="2"/>
  </si>
  <si>
    <t>TM税率_税率</t>
    <rPh sb="2" eb="4">
      <t>ゼイリツ</t>
    </rPh>
    <rPh sb="5" eb="7">
      <t>ゼイリツ</t>
    </rPh>
    <phoneticPr fontId="2"/>
  </si>
  <si>
    <t>A</t>
    <phoneticPr fontId="2"/>
  </si>
  <si>
    <t>B</t>
    <phoneticPr fontId="2"/>
  </si>
  <si>
    <t>A</t>
    <phoneticPr fontId="2"/>
  </si>
  <si>
    <t>丹羽</t>
    <rPh sb="0" eb="2">
      <t>ニワ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</si>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</sst>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89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31059</xdr:colOff>
      <xdr:row>30</xdr:row>
      <xdr:rowOff>68581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1"/>
          <a:ext cx="13998519" cy="61036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96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243840</xdr:colOff>
      <xdr:row>5</xdr:row>
      <xdr:rowOff>205740</xdr:rowOff>
    </xdr:from>
    <xdr:to>
      <xdr:col>23</xdr:col>
      <xdr:colOff>161073</xdr:colOff>
      <xdr:row>25</xdr:row>
      <xdr:rowOff>23280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" y="1082040"/>
          <a:ext cx="12154953" cy="4846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43</xdr:col>
          <xdr:colOff>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6" t="s">
        <v>256</v>
      </c>
      <c r="D8" s="147"/>
      <c r="E8" s="146" t="s">
        <v>257</v>
      </c>
      <c r="F8" s="156"/>
      <c r="G8" s="156"/>
      <c r="H8" s="156"/>
      <c r="I8" s="156"/>
      <c r="J8" s="156"/>
      <c r="K8" s="156"/>
      <c r="L8" s="156"/>
      <c r="M8" s="156"/>
      <c r="N8" s="147"/>
      <c r="O8" s="146" t="s">
        <v>258</v>
      </c>
      <c r="P8" s="156"/>
      <c r="Q8" s="14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8">
        <f>ROW()-8</f>
        <v>1</v>
      </c>
      <c r="D9" s="149"/>
      <c r="E9" s="150" t="s">
        <v>17</v>
      </c>
      <c r="F9" s="151"/>
      <c r="G9" s="151"/>
      <c r="H9" s="151"/>
      <c r="I9" s="151"/>
      <c r="J9" s="151"/>
      <c r="K9" s="151"/>
      <c r="L9" s="151"/>
      <c r="M9" s="151"/>
      <c r="N9" s="152"/>
      <c r="O9" s="153" t="str">
        <f>HYPERLINK("#"&amp;E9&amp;"!A1","リンク")</f>
        <v>リンク</v>
      </c>
      <c r="P9" s="154"/>
      <c r="Q9" s="155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8">
        <f t="shared" ref="C10:C18" si="0">ROW()-8</f>
        <v>2</v>
      </c>
      <c r="D10" s="149"/>
      <c r="E10" s="150" t="s">
        <v>259</v>
      </c>
      <c r="F10" s="151"/>
      <c r="G10" s="151"/>
      <c r="H10" s="151"/>
      <c r="I10" s="151"/>
      <c r="J10" s="151"/>
      <c r="K10" s="151"/>
      <c r="L10" s="151"/>
      <c r="M10" s="151"/>
      <c r="N10" s="152"/>
      <c r="O10" s="153" t="str">
        <f t="shared" ref="O10:O15" si="1">HYPERLINK("#"&amp;E10&amp;"!A1","リンク")</f>
        <v>リンク</v>
      </c>
      <c r="P10" s="154"/>
      <c r="Q10" s="155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8">
        <f t="shared" si="0"/>
        <v>3</v>
      </c>
      <c r="D11" s="149"/>
      <c r="E11" s="150" t="s">
        <v>260</v>
      </c>
      <c r="F11" s="151"/>
      <c r="G11" s="151"/>
      <c r="H11" s="151"/>
      <c r="I11" s="151"/>
      <c r="J11" s="151"/>
      <c r="K11" s="151"/>
      <c r="L11" s="151"/>
      <c r="M11" s="151"/>
      <c r="N11" s="152"/>
      <c r="O11" s="153" t="str">
        <f t="shared" si="1"/>
        <v>リンク</v>
      </c>
      <c r="P11" s="154"/>
      <c r="Q11" s="155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8">
        <f t="shared" si="0"/>
        <v>4</v>
      </c>
      <c r="D12" s="149"/>
      <c r="E12" s="150" t="s">
        <v>261</v>
      </c>
      <c r="F12" s="151"/>
      <c r="G12" s="151"/>
      <c r="H12" s="151"/>
      <c r="I12" s="151"/>
      <c r="J12" s="151"/>
      <c r="K12" s="151"/>
      <c r="L12" s="151"/>
      <c r="M12" s="151"/>
      <c r="N12" s="152"/>
      <c r="O12" s="153" t="str">
        <f t="shared" si="1"/>
        <v>リンク</v>
      </c>
      <c r="P12" s="154"/>
      <c r="Q12" s="15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8">
        <f t="shared" si="0"/>
        <v>5</v>
      </c>
      <c r="D13" s="149"/>
      <c r="E13" s="150" t="s">
        <v>263</v>
      </c>
      <c r="F13" s="151"/>
      <c r="G13" s="151"/>
      <c r="H13" s="151"/>
      <c r="I13" s="151"/>
      <c r="J13" s="151"/>
      <c r="K13" s="151"/>
      <c r="L13" s="151"/>
      <c r="M13" s="151"/>
      <c r="N13" s="152"/>
      <c r="O13" s="153" t="str">
        <f t="shared" si="1"/>
        <v>リンク</v>
      </c>
      <c r="P13" s="154"/>
      <c r="Q13" s="155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8">
        <f t="shared" si="0"/>
        <v>6</v>
      </c>
      <c r="D14" s="149"/>
      <c r="E14" s="150" t="s">
        <v>264</v>
      </c>
      <c r="F14" s="151"/>
      <c r="G14" s="151"/>
      <c r="H14" s="151"/>
      <c r="I14" s="151"/>
      <c r="J14" s="151"/>
      <c r="K14" s="151"/>
      <c r="L14" s="151"/>
      <c r="M14" s="151"/>
      <c r="N14" s="152"/>
      <c r="O14" s="153" t="str">
        <f t="shared" si="1"/>
        <v>リンク</v>
      </c>
      <c r="P14" s="154"/>
      <c r="Q14" s="15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8">
        <f t="shared" si="0"/>
        <v>7</v>
      </c>
      <c r="D15" s="149"/>
      <c r="E15" s="150" t="s">
        <v>262</v>
      </c>
      <c r="F15" s="151"/>
      <c r="G15" s="151"/>
      <c r="H15" s="151"/>
      <c r="I15" s="151"/>
      <c r="J15" s="151"/>
      <c r="K15" s="151"/>
      <c r="L15" s="151"/>
      <c r="M15" s="151"/>
      <c r="N15" s="152"/>
      <c r="O15" s="153" t="str">
        <f t="shared" si="1"/>
        <v>リンク</v>
      </c>
      <c r="P15" s="154"/>
      <c r="Q15" s="155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8">
        <f t="shared" si="0"/>
        <v>8</v>
      </c>
      <c r="D16" s="149"/>
      <c r="E16" s="150" t="s">
        <v>265</v>
      </c>
      <c r="F16" s="151"/>
      <c r="G16" s="151"/>
      <c r="H16" s="151"/>
      <c r="I16" s="151"/>
      <c r="J16" s="151"/>
      <c r="K16" s="151"/>
      <c r="L16" s="151"/>
      <c r="M16" s="151"/>
      <c r="N16" s="152"/>
      <c r="O16" s="153" t="str">
        <f>HYPERLINK("#"&amp;E16&amp;"!A1","リンク")</f>
        <v>リンク</v>
      </c>
      <c r="P16" s="154"/>
      <c r="Q16" s="155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8">
        <f t="shared" si="0"/>
        <v>9</v>
      </c>
      <c r="D17" s="149"/>
      <c r="E17" s="150" t="s">
        <v>266</v>
      </c>
      <c r="F17" s="151"/>
      <c r="G17" s="151"/>
      <c r="H17" s="151"/>
      <c r="I17" s="151"/>
      <c r="J17" s="151"/>
      <c r="K17" s="151"/>
      <c r="L17" s="151"/>
      <c r="M17" s="151"/>
      <c r="N17" s="152"/>
      <c r="O17" s="153" t="str">
        <f>HYPERLINK("#"&amp;E17&amp;"!A1","リンク")</f>
        <v>リンク</v>
      </c>
      <c r="P17" s="154"/>
      <c r="Q17" s="155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8">
        <f t="shared" si="0"/>
        <v>10</v>
      </c>
      <c r="D18" s="149"/>
      <c r="E18" s="150" t="s">
        <v>294</v>
      </c>
      <c r="F18" s="151"/>
      <c r="G18" s="151"/>
      <c r="H18" s="151"/>
      <c r="I18" s="151"/>
      <c r="J18" s="151"/>
      <c r="K18" s="151"/>
      <c r="L18" s="151"/>
      <c r="M18" s="151"/>
      <c r="N18" s="152"/>
      <c r="O18" s="153" t="str">
        <f>HYPERLINK("#"&amp;E18&amp;"!A1","リンク")</f>
        <v>リンク</v>
      </c>
      <c r="P18" s="154"/>
      <c r="Q18" s="155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7" t="s">
        <v>0</v>
      </c>
      <c r="C2" s="158"/>
      <c r="D2" s="158"/>
      <c r="E2" s="158"/>
      <c r="F2" s="158"/>
      <c r="G2" s="158"/>
      <c r="H2" s="158" t="s">
        <v>319</v>
      </c>
      <c r="I2" s="158"/>
      <c r="J2" s="158"/>
      <c r="K2" s="158"/>
      <c r="L2" s="158" t="s">
        <v>318</v>
      </c>
      <c r="M2" s="158"/>
      <c r="N2" s="158"/>
      <c r="O2" s="158"/>
      <c r="P2" s="158"/>
      <c r="Q2" s="158"/>
      <c r="R2" s="158" t="s">
        <v>1</v>
      </c>
      <c r="S2" s="158"/>
      <c r="T2" s="158"/>
      <c r="U2" s="158"/>
      <c r="V2" s="158"/>
      <c r="W2" s="158"/>
      <c r="X2" s="159" t="s">
        <v>2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15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58" t="s">
        <v>4</v>
      </c>
      <c r="AY2" s="158"/>
      <c r="AZ2" s="158"/>
      <c r="BA2" s="158"/>
      <c r="BB2" s="158" t="s">
        <v>3</v>
      </c>
      <c r="BC2" s="158"/>
      <c r="BD2" s="158"/>
      <c r="BE2" s="158"/>
      <c r="BF2" s="158" t="s">
        <v>5</v>
      </c>
      <c r="BG2" s="158"/>
      <c r="BH2" s="158"/>
      <c r="BI2" s="158"/>
      <c r="BJ2" s="158" t="s">
        <v>6</v>
      </c>
      <c r="BK2" s="158"/>
      <c r="BL2" s="158"/>
      <c r="BM2" s="172"/>
      <c r="BN2" s="15"/>
    </row>
    <row r="3" spans="1:66" ht="20.100000000000001" customHeight="1" x14ac:dyDescent="0.45">
      <c r="A3" s="9"/>
      <c r="B3" s="162" t="s">
        <v>316</v>
      </c>
      <c r="C3" s="163"/>
      <c r="D3" s="163"/>
      <c r="E3" s="163"/>
      <c r="F3" s="163"/>
      <c r="G3" s="163"/>
      <c r="H3" s="163" t="str">
        <f ca="1">LEFT($X$3,FIND("_",$X$3)-1)</f>
        <v>マスタ</v>
      </c>
      <c r="I3" s="163"/>
      <c r="J3" s="163"/>
      <c r="K3" s="163"/>
      <c r="L3" s="163" t="s">
        <v>317</v>
      </c>
      <c r="M3" s="163"/>
      <c r="N3" s="163"/>
      <c r="O3" s="163"/>
      <c r="P3" s="163"/>
      <c r="Q3" s="163"/>
      <c r="R3" s="166" t="str">
        <f ca="1">MID($X$3,FIND("_",$X$3,FIND("_",$X$3)+1)+1,LEN($X$3)-FIND("_",$X$3,FIND("_",$X$3)+1))</f>
        <v>画面設計書</v>
      </c>
      <c r="S3" s="163"/>
      <c r="T3" s="163"/>
      <c r="U3" s="163"/>
      <c r="V3" s="163"/>
      <c r="W3" s="163"/>
      <c r="X3" s="167" t="str">
        <f ca="1">REPLACE(LEFT(CELL("filename",$B$2),FIND(".x",CELL("filename",$B$2))-1),1,FIND("[",CELL("filename",$B$2)),)</f>
        <v>マスタ_税率マスタ_画面設計書</v>
      </c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4"/>
      <c r="AK3" s="167" t="str">
        <f ca="1">MID($X$3,FIND("_",$X$3)+1,FIND("_",$X$3,FIND("_",$X$3)+1)-FIND("_",$X$3)-1)</f>
        <v>税率マスタ</v>
      </c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4"/>
      <c r="AX3" s="174">
        <v>45435</v>
      </c>
      <c r="AY3" s="163"/>
      <c r="AZ3" s="163"/>
      <c r="BA3" s="163"/>
      <c r="BB3" s="163" t="s">
        <v>315</v>
      </c>
      <c r="BC3" s="163"/>
      <c r="BD3" s="163"/>
      <c r="BE3" s="163"/>
      <c r="BF3" s="174">
        <v>45435</v>
      </c>
      <c r="BG3" s="163"/>
      <c r="BH3" s="163"/>
      <c r="BI3" s="163"/>
      <c r="BJ3" s="163" t="s">
        <v>315</v>
      </c>
      <c r="BK3" s="163"/>
      <c r="BL3" s="163"/>
      <c r="BM3" s="175"/>
      <c r="BN3" s="15"/>
    </row>
    <row r="4" spans="1:66" ht="20.100000000000001" customHeight="1" thickBot="1" x14ac:dyDescent="0.5">
      <c r="A4" s="9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3" t="s">
        <v>7</v>
      </c>
      <c r="D8" s="173"/>
      <c r="E8" s="173"/>
      <c r="F8" s="173"/>
      <c r="G8" s="173" t="s">
        <v>8</v>
      </c>
      <c r="H8" s="173"/>
      <c r="I8" s="173"/>
      <c r="J8" s="173"/>
      <c r="K8" s="173" t="s">
        <v>9</v>
      </c>
      <c r="L8" s="173"/>
      <c r="M8" s="173"/>
      <c r="N8" s="173"/>
      <c r="O8" s="173" t="s">
        <v>10</v>
      </c>
      <c r="P8" s="173"/>
      <c r="Q8" s="173"/>
      <c r="R8" s="173"/>
      <c r="S8" s="173"/>
      <c r="T8" s="173"/>
      <c r="U8" s="173"/>
      <c r="V8" s="173"/>
      <c r="W8" s="173"/>
      <c r="X8" s="173"/>
      <c r="Y8" s="173" t="s">
        <v>11</v>
      </c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8"/>
      <c r="BN8" s="15"/>
    </row>
    <row r="9" spans="1:66" ht="20.100000000000001" customHeight="1" x14ac:dyDescent="0.45">
      <c r="A9" s="9"/>
      <c r="B9" s="8"/>
      <c r="C9" s="176">
        <v>45435</v>
      </c>
      <c r="D9" s="177"/>
      <c r="E9" s="177"/>
      <c r="F9" s="178"/>
      <c r="G9" s="150" t="s">
        <v>18</v>
      </c>
      <c r="H9" s="151"/>
      <c r="I9" s="151"/>
      <c r="J9" s="152"/>
      <c r="K9" s="179" t="s">
        <v>315</v>
      </c>
      <c r="L9" s="177"/>
      <c r="M9" s="177"/>
      <c r="N9" s="17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6"/>
      <c r="D10" s="177"/>
      <c r="E10" s="177"/>
      <c r="F10" s="178"/>
      <c r="G10" s="150"/>
      <c r="H10" s="151"/>
      <c r="I10" s="151"/>
      <c r="J10" s="152"/>
      <c r="K10" s="179"/>
      <c r="L10" s="177"/>
      <c r="M10" s="177"/>
      <c r="N10" s="1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6"/>
      <c r="D11" s="177"/>
      <c r="E11" s="177"/>
      <c r="F11" s="178"/>
      <c r="G11" s="150"/>
      <c r="H11" s="151"/>
      <c r="I11" s="151"/>
      <c r="J11" s="152"/>
      <c r="K11" s="179"/>
      <c r="L11" s="177"/>
      <c r="M11" s="177"/>
      <c r="N11" s="1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6"/>
      <c r="D36" s="177"/>
      <c r="E36" s="177"/>
      <c r="F36" s="178"/>
      <c r="G36" s="150"/>
      <c r="H36" s="151"/>
      <c r="I36" s="151"/>
      <c r="J36" s="152"/>
      <c r="K36" s="179"/>
      <c r="L36" s="177"/>
      <c r="M36" s="177"/>
      <c r="N36" s="1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6"/>
      <c r="D37" s="177"/>
      <c r="E37" s="177"/>
      <c r="F37" s="178"/>
      <c r="G37" s="150"/>
      <c r="H37" s="151"/>
      <c r="I37" s="151"/>
      <c r="J37" s="152"/>
      <c r="K37" s="179"/>
      <c r="L37" s="177"/>
      <c r="M37" s="177"/>
      <c r="N37" s="1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6"/>
      <c r="D38" s="177"/>
      <c r="E38" s="177"/>
      <c r="F38" s="178"/>
      <c r="G38" s="150"/>
      <c r="H38" s="151"/>
      <c r="I38" s="151"/>
      <c r="J38" s="152"/>
      <c r="K38" s="179"/>
      <c r="L38" s="177"/>
      <c r="M38" s="177"/>
      <c r="N38" s="1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6"/>
      <c r="D39" s="177"/>
      <c r="E39" s="177"/>
      <c r="F39" s="178"/>
      <c r="G39" s="150"/>
      <c r="H39" s="151"/>
      <c r="I39" s="151"/>
      <c r="J39" s="152"/>
      <c r="K39" s="179"/>
      <c r="L39" s="177"/>
      <c r="M39" s="177"/>
      <c r="N39" s="1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6"/>
      <c r="D40" s="177"/>
      <c r="E40" s="177"/>
      <c r="F40" s="178"/>
      <c r="G40" s="150"/>
      <c r="H40" s="151"/>
      <c r="I40" s="151"/>
      <c r="J40" s="152"/>
      <c r="K40" s="179"/>
      <c r="L40" s="177"/>
      <c r="M40" s="177"/>
      <c r="N40" s="1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6"/>
      <c r="D41" s="177"/>
      <c r="E41" s="177"/>
      <c r="F41" s="178"/>
      <c r="G41" s="150"/>
      <c r="H41" s="151"/>
      <c r="I41" s="151"/>
      <c r="J41" s="152"/>
      <c r="K41" s="179"/>
      <c r="L41" s="177"/>
      <c r="M41" s="177"/>
      <c r="N41" s="1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6"/>
      <c r="D42" s="177"/>
      <c r="E42" s="177"/>
      <c r="F42" s="178"/>
      <c r="G42" s="150"/>
      <c r="H42" s="151"/>
      <c r="I42" s="151"/>
      <c r="J42" s="152"/>
      <c r="K42" s="179"/>
      <c r="L42" s="177"/>
      <c r="M42" s="177"/>
      <c r="N42" s="1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6"/>
      <c r="D43" s="177"/>
      <c r="E43" s="177"/>
      <c r="F43" s="178"/>
      <c r="G43" s="150"/>
      <c r="H43" s="151"/>
      <c r="I43" s="151"/>
      <c r="J43" s="152"/>
      <c r="K43" s="179"/>
      <c r="L43" s="177"/>
      <c r="M43" s="177"/>
      <c r="N43" s="1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6"/>
      <c r="D44" s="177"/>
      <c r="E44" s="177"/>
      <c r="F44" s="178"/>
      <c r="G44" s="150"/>
      <c r="H44" s="151"/>
      <c r="I44" s="151"/>
      <c r="J44" s="152"/>
      <c r="K44" s="179"/>
      <c r="L44" s="177"/>
      <c r="M44" s="177"/>
      <c r="N44" s="1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6"/>
      <c r="D45" s="177"/>
      <c r="E45" s="177"/>
      <c r="F45" s="178"/>
      <c r="G45" s="150"/>
      <c r="H45" s="151"/>
      <c r="I45" s="151"/>
      <c r="J45" s="152"/>
      <c r="K45" s="179"/>
      <c r="L45" s="177"/>
      <c r="M45" s="177"/>
      <c r="N45" s="1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6"/>
      <c r="D46" s="177"/>
      <c r="E46" s="177"/>
      <c r="F46" s="178"/>
      <c r="G46" s="150"/>
      <c r="H46" s="151"/>
      <c r="I46" s="151"/>
      <c r="J46" s="152"/>
      <c r="K46" s="179"/>
      <c r="L46" s="177"/>
      <c r="M46" s="177"/>
      <c r="N46" s="1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6"/>
      <c r="D47" s="177"/>
      <c r="E47" s="177"/>
      <c r="F47" s="178"/>
      <c r="G47" s="150"/>
      <c r="H47" s="151"/>
      <c r="I47" s="151"/>
      <c r="J47" s="152"/>
      <c r="K47" s="179"/>
      <c r="L47" s="177"/>
      <c r="M47" s="177"/>
      <c r="N47" s="1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/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/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/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/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topLeftCell="A19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304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305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306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/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/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/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/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4.296875" style="7" bestFit="1" customWidth="1"/>
    <col min="30" max="31" width="3.59765625" style="7"/>
    <col min="32" max="32" width="5.796875" style="7" bestFit="1" customWidth="1"/>
    <col min="33" max="33" width="11" style="7" bestFit="1" customWidth="1"/>
    <col min="34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15.296875" style="7" bestFit="1" customWidth="1"/>
    <col min="59" max="60" width="3.59765625" style="7"/>
    <col min="61" max="61" width="5.796875" style="7" bestFit="1" customWidth="1"/>
    <col min="62" max="62" width="9.19921875" style="7" bestFit="1" customWidth="1"/>
    <col min="63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17.39843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/>
      <c r="E10" s="100"/>
      <c r="F10" s="105"/>
      <c r="G10" s="105"/>
      <c r="H10" s="105"/>
      <c r="I10" s="42"/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/>
      <c r="AE10" s="19">
        <v>1</v>
      </c>
      <c r="AF10" s="96" t="s">
        <v>312</v>
      </c>
      <c r="AG10" s="100" t="s">
        <v>309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 t="s">
        <v>320</v>
      </c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310</v>
      </c>
      <c r="BH10" s="19">
        <v>1</v>
      </c>
      <c r="BI10" s="96" t="s">
        <v>314</v>
      </c>
      <c r="BJ10" s="100" t="s">
        <v>307</v>
      </c>
      <c r="BK10" s="105" t="s">
        <v>38</v>
      </c>
      <c r="BL10" s="105"/>
      <c r="BM10" s="42" t="s">
        <v>267</v>
      </c>
      <c r="BN10" s="42"/>
      <c r="BO10" s="42"/>
      <c r="BP10" s="42"/>
      <c r="BQ10" s="42"/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308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/>
      <c r="E11" s="100"/>
      <c r="F11" s="105"/>
      <c r="G11" s="105"/>
      <c r="H11" s="105"/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313</v>
      </c>
      <c r="AG11" s="100" t="s">
        <v>303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 t="s">
        <v>320</v>
      </c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 t="s">
        <v>311</v>
      </c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AH10:AH19 BK10:BK19 CF10:CF19 DE10:DE19 DX10:DX19 FC10 EQ10 FN10 GK10 HI10:HJ10 IG10 JC10 JY10 KP10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0" t="s">
        <v>136</v>
      </c>
      <c r="B2" s="18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1"/>
      <c r="B3" s="18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1"/>
      <c r="B4" s="18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1"/>
      <c r="B5" s="18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2"/>
      <c r="B6" s="18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1"/>
      <c r="B8" s="18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1"/>
      <c r="B9" s="18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1"/>
      <c r="B10" s="18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1"/>
      <c r="B11" s="18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1"/>
      <c r="B12" s="18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1"/>
      <c r="B13" s="18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1"/>
      <c r="B14" s="18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1"/>
      <c r="B15" s="18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1"/>
      <c r="B16" s="18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1"/>
      <c r="B17" s="18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1"/>
      <c r="B18" s="18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1"/>
      <c r="B19" s="18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1"/>
      <c r="B20" s="18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1"/>
      <c r="B21" s="18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1"/>
      <c r="B22" s="18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2"/>
      <c r="B23" s="18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2025-05-24T04:43:53Z</dcterms:modified>
</cp:coreProperties>
</file>