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tabRatio="818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一覧_画面レイアウト!$A$1:$Z$71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詳細_画面レイアウト!$A$1:$Z$75</definedName>
    <definedName name="_xlnm.Print_Area" localSheetId="8">詳細_編集要素!$A$1:$KZ$58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0" i="15" l="1"/>
  <c r="AC21" i="15"/>
  <c r="AC15" i="15" l="1"/>
  <c r="AC32" i="15"/>
  <c r="AC35" i="15" l="1"/>
  <c r="AC34" i="15"/>
  <c r="AC11" i="15" l="1"/>
  <c r="AC12" i="15"/>
  <c r="AC13" i="15"/>
  <c r="AC14" i="15"/>
  <c r="AC16" i="15"/>
  <c r="AC17" i="15"/>
  <c r="AC18" i="15"/>
  <c r="AC22" i="15"/>
  <c r="AC23" i="15"/>
  <c r="AC24" i="15"/>
  <c r="AC25" i="15"/>
  <c r="AC26" i="15"/>
  <c r="AC27" i="15"/>
  <c r="AC28" i="15"/>
  <c r="AC29" i="15"/>
  <c r="AC30" i="15"/>
  <c r="AC31" i="15"/>
  <c r="AC33" i="15"/>
  <c r="AC10" i="15"/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<sst xmlns="http://schemas.openxmlformats.org/spreadsheetml/2006/main" count="1798" uniqueCount="422">
  <si>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</si>
  <si>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</si>
  <si>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</si>
  <si>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</si>
  <si>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</si>
  <si>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</si>
  <si>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</si>
  <si>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</si>
  <si>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</si>
  <si>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</si>
  <si>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</si>
  <si>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</si>
  <si>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</si>
  <si>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</si>
  <si>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</si>
  <si>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</si>
  <si>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</si>
  <si>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</si>
  <si>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</si>
  <si>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</si>
  <si>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</si>
  <si>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</si>
  <si>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</si>
  <si>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</si>
  <si>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</si>
  <si>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</si>
  <si>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</si>
  <si>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</si>
  <si>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</si>
  <si>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</si>
  <si>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</si>
  <si>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</si>
  <si>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</si>
  <si>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</si>
  <si>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</si>
  <si>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</si>
  <si>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</si>
  <si>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</si>
  <si>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</si>
  <si>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</si>
  <si>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</si>
  <si>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</si>
  <si>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</si>
  <si>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</si>
  <si>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</si>
  <si>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</si>
  <si>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</si>
  <si>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</si>
  <si>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</si>
  <si>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</si>
  <si>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</si>
  <si>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</si>
  <si>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</si>
  <si>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</si>
  <si>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</si>
  <si>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</si>
  <si>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</si>
  <si>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</si>
  <si>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</si>
  <si>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</si>
  <si>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</si>
  <si>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</si>
  <si>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</si>
  <si>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</si>
  <si>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</si>
  <si>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</si>
  <si>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</si>
  <si>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</si>
  <si>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</si>
  <si>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</si>
  <si>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</si>
  <si>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</si>
  <si>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</si>
  <si>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</si>
  <si>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</si>
  <si>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</si>
  <si>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</si>
  <si>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</si>
  <si>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</si>
  <si>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</si>
  <si>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</si>
  <si>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</si>
  <si>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</si>
  <si>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</si>
  <si>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</si>
  <si>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</si>
  <si>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</si>
  <si>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</si>
  <si>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</si>
  <si>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</si>
  <si>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</si>
  <si>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</si>
  <si>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</si>
  <si>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</si>
  <si>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</si>
  <si>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</si>
  <si>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</si>
  <si>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</si>
  <si>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</si>
  <si>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</si>
  <si>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</si>
  <si>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</si>
  <si>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</si>
  <si>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</si>
  <si>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</si>
  <si>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</si>
  <si>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</si>
  <si>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</si>
  <si>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</si>
  <si>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</si>
  <si>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</si>
  <si>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</si>
  <si>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</si>
  <si>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</si>
  <si>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</si>
  <si>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</si>
  <si>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</si>
  <si>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</si>
  <si>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</si>
  <si>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</si>
  <si>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</si>
  <si>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</si>
  <si>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</si>
  <si>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</si>
  <si>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</si>
  <si>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</si>
  <si>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</si>
  <si>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</si>
  <si>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</si>
  <si>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</si>
  <si>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</si>
  <si>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</si>
  <si>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</si>
  <si>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</si>
  <si>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</si>
  <si>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</si>
  <si>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</si>
  <si>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</si>
  <si>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</si>
  <si>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</si>
  <si>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</si>
  <si>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</si>
  <si>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</si>
  <si>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</si>
  <si>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</si>
  <si>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</si>
  <si>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</si>
  <si>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</si>
  <si>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</si>
  <si>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</si>
  <si>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</si>
  <si>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</si>
  <si>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</si>
  <si>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</si>
  <si>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</si>
  <si>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</si>
  <si>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</si>
  <si>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</si>
  <si>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</si>
  <si>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</si>
  <si>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</si>
  <si>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</si>
  <si>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</si>
  <si>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</si>
  <si>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</si>
  <si>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</si>
  <si>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</si>
  <si>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</si>
  <si>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</si>
  <si>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</si>
  <si>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</si>
  <si>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</si>
  <si>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</si>
  <si>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</si>
  <si>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</si>
  <si>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</si>
  <si>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</si>
  <si>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</si>
  <si>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</si>
  <si>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</si>
  <si>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</si>
  <si>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</si>
  <si>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</si>
  <si>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</si>
  <si>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</si>
  <si>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</si>
  <si>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</si>
  <si>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</si>
  <si>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</si>
  <si>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</si>
  <si>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</si>
  <si>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</si>
  <si>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</si>
  <si>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</si>
  <si>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</si>
  <si>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</si>
  <si>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</si>
  <si>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</si>
  <si>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</si>
  <si>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</si>
  <si>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</si>
  <si>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</si>
  <si>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</si>
  <si>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</si>
  <si>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</si>
  <si>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</si>
  <si>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</si>
  <si>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</si>
  <si>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</si>
  <si>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</si>
  <si>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</si>
  <si>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</si>
  <si>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</si>
  <si>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</si>
  <si>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</si>
  <si>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</si>
  <si>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</si>
  <si>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</si>
  <si>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</si>
  <si>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</si>
  <si>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</si>
  <si>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</si>
  <si>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</si>
  <si>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</si>
  <si>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</si>
  <si>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</si>
  <si>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</si>
  <si>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</si>
  <si>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</si>
  <si>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</si>
  <si>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</si>
  <si>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</si>
  <si>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</si>
  <si>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</si>
  <si>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</si>
  <si>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</si>
  <si>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</si>
  <si>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</si>
  <si>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</si>
  <si>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</si>
  <si>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</si>
  <si>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</si>
  <si>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</si>
  <si>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</si>
  <si>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</si>
  <si>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</si>
  <si>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</si>
  <si>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</si>
  <si>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</si>
  <si>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</si>
  <si>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</si>
  <si>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</si>
  <si>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</si>
  <si>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</si>
  <si>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</si>
  <si>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</si>
  <si>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</si>
  <si>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</si>
  <si>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</si>
  <si>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</si>
  <si>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</si>
  <si>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</si>
  <si>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</si>
  <si>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</si>
  <si>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</si>
  <si>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</si>
  <si>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</si>
  <si>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</si>
  <si>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</si>
  <si>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</si>
  <si>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</si>
  <si>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</si>
  <si>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</si>
  <si>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</si>
  <si>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</si>
  <si>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</si>
  <si>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</si>
  <si>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</si>
  <si>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</si>
  <si>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</si>
  <si>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</si>
  <si>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</si>
  <si>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</si>
  <si>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</si>
  <si>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</si>
  <si>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</si>
  <si>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</si>
  <si>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</si>
  <si>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</si>
  <si>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</si>
  <si>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</si>
  <si>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</si>
  <si>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</si>
  <si>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</si>
  <si>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</si>
  <si>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</si>
  <si>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</si>
  <si>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</si>
  <si>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</si>
  <si>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</si>
  <si>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</si>
  <si>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</si>
  <si>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</si>
  <si>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漢字名称</t>
    <rPh sb="0" eb="2">
      <t>カンジ</t>
    </rPh>
    <rPh sb="2" eb="4">
      <t>メイショウ</t>
    </rPh>
    <phoneticPr fontId="2"/>
  </si>
  <si>
    <t>カナ名称</t>
    <rPh sb="2" eb="4">
      <t>メイショウ</t>
    </rPh>
    <phoneticPr fontId="2"/>
  </si>
  <si>
    <t>ベース色</t>
    <rPh sb="3" eb="4">
      <t>ショク</t>
    </rPh>
    <phoneticPr fontId="2"/>
  </si>
  <si>
    <t>入出庫用コード</t>
    <rPh sb="0" eb="3">
      <t>ニュウシュッコ</t>
    </rPh>
    <rPh sb="3" eb="4">
      <t>ヨウ</t>
    </rPh>
    <phoneticPr fontId="2"/>
  </si>
  <si>
    <t>W</t>
  </si>
  <si>
    <t>W</t>
    <phoneticPr fontId="2"/>
  </si>
  <si>
    <t>D1</t>
  </si>
  <si>
    <t>D1</t>
    <phoneticPr fontId="2"/>
  </si>
  <si>
    <t>H1</t>
  </si>
  <si>
    <t>H1</t>
    <phoneticPr fontId="2"/>
  </si>
  <si>
    <t>D2</t>
  </si>
  <si>
    <t>D2</t>
    <phoneticPr fontId="2"/>
  </si>
  <si>
    <t>H2</t>
  </si>
  <si>
    <t>H2</t>
    <phoneticPr fontId="2"/>
  </si>
  <si>
    <t>H</t>
  </si>
  <si>
    <t>H</t>
    <phoneticPr fontId="2"/>
  </si>
  <si>
    <t>単位名</t>
    <rPh sb="0" eb="2">
      <t>タンイ</t>
    </rPh>
    <rPh sb="2" eb="3">
      <t>メイ</t>
    </rPh>
    <phoneticPr fontId="2"/>
  </si>
  <si>
    <t>費用区分</t>
  </si>
  <si>
    <t>費用区分</t>
    <rPh sb="0" eb="2">
      <t>ヒヨウ</t>
    </rPh>
    <rPh sb="2" eb="4">
      <t>クブン</t>
    </rPh>
    <phoneticPr fontId="2"/>
  </si>
  <si>
    <t>グループ</t>
  </si>
  <si>
    <t>定価</t>
  </si>
  <si>
    <t>定価</t>
    <rPh sb="0" eb="2">
      <t>テイカ</t>
    </rPh>
    <phoneticPr fontId="2"/>
  </si>
  <si>
    <t>売上税区分</t>
    <rPh sb="0" eb="3">
      <t>ウリアゲゼイ</t>
    </rPh>
    <rPh sb="3" eb="5">
      <t>クブン</t>
    </rPh>
    <phoneticPr fontId="2"/>
  </si>
  <si>
    <t>売上単価</t>
  </si>
  <si>
    <t>仕入税区分</t>
  </si>
  <si>
    <t>仕入税区分</t>
    <rPh sb="0" eb="2">
      <t>シイレ</t>
    </rPh>
    <rPh sb="2" eb="5">
      <t>ゼイクブン</t>
    </rPh>
    <phoneticPr fontId="2"/>
  </si>
  <si>
    <t>仕入単価</t>
  </si>
  <si>
    <t>在庫区分</t>
  </si>
  <si>
    <t>在庫区分</t>
    <rPh sb="0" eb="2">
      <t>ザイコ</t>
    </rPh>
    <rPh sb="2" eb="4">
      <t>クブン</t>
    </rPh>
    <phoneticPr fontId="2"/>
  </si>
  <si>
    <t>サイズ変更区分</t>
  </si>
  <si>
    <t>サイズ変更区分</t>
    <rPh sb="3" eb="5">
      <t>ヘンコウ</t>
    </rPh>
    <rPh sb="5" eb="7">
      <t>クブン</t>
    </rPh>
    <phoneticPr fontId="2"/>
  </si>
  <si>
    <t>ロケーション</t>
  </si>
  <si>
    <t>取組終了年月</t>
    <rPh sb="0" eb="2">
      <t>トリクミ</t>
    </rPh>
    <rPh sb="2" eb="4">
      <t>シュウリョウ</t>
    </rPh>
    <rPh sb="4" eb="6">
      <t>ネンゲツ</t>
    </rPh>
    <phoneticPr fontId="2"/>
  </si>
  <si>
    <t>取組区分</t>
    <rPh sb="0" eb="2">
      <t>トリクミ</t>
    </rPh>
    <rPh sb="2" eb="4">
      <t>クブン</t>
    </rPh>
    <phoneticPr fontId="2"/>
  </si>
  <si>
    <t>単位名</t>
    <phoneticPr fontId="2"/>
  </si>
  <si>
    <t>D</t>
    <phoneticPr fontId="2"/>
  </si>
  <si>
    <t>JANCODE</t>
  </si>
  <si>
    <t>廃盤FLG</t>
  </si>
  <si>
    <t>主仕入先CD</t>
    <phoneticPr fontId="2"/>
  </si>
  <si>
    <t>主仕入先名</t>
    <rPh sb="4" eb="5">
      <t>メイ</t>
    </rPh>
    <phoneticPr fontId="2"/>
  </si>
  <si>
    <t>初期登録日</t>
    <rPh sb="0" eb="2">
      <t>ショキ</t>
    </rPh>
    <rPh sb="2" eb="4">
      <t>トウロク</t>
    </rPh>
    <rPh sb="4" eb="5">
      <t>ビ</t>
    </rPh>
    <phoneticPr fontId="2"/>
  </si>
  <si>
    <t>丹羽</t>
    <rPh sb="0" eb="2">
      <t>ニワ</t>
    </rPh>
    <phoneticPr fontId="2"/>
  </si>
  <si>
    <t>TM製品_W</t>
    <phoneticPr fontId="2"/>
  </si>
  <si>
    <t>TM製品_廃盤FLG</t>
    <phoneticPr fontId="2"/>
  </si>
  <si>
    <t>TM製品_D1</t>
    <phoneticPr fontId="2"/>
  </si>
  <si>
    <t>TM製品_H1</t>
    <phoneticPr fontId="2"/>
  </si>
  <si>
    <t>TM製品_D</t>
    <phoneticPr fontId="2"/>
  </si>
  <si>
    <t>TM製品_D2</t>
    <phoneticPr fontId="2"/>
  </si>
  <si>
    <t>TM製品_H2</t>
    <phoneticPr fontId="2"/>
  </si>
  <si>
    <t>TM製品_H</t>
    <phoneticPr fontId="2"/>
  </si>
  <si>
    <t>TM製品_定価</t>
    <phoneticPr fontId="2"/>
  </si>
  <si>
    <t>A</t>
  </si>
  <si>
    <t>B</t>
  </si>
  <si>
    <t>C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</si>
  <si>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</si>
  <si>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</si>
  <si>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</si>
  <si>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</si>
  <si>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</si>
  <si>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</si>
  <si>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</si>
  <si>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</si>
  <si>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</si>
  <si>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</si>
  <si>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</si>
  <si>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</si>
  <si>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</si>
  <si>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</si>
  <si>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グループCD</t>
    <phoneticPr fontId="2"/>
  </si>
  <si>
    <t>売上税区分CD</t>
    <phoneticPr fontId="2"/>
  </si>
  <si>
    <t>売上税区分</t>
    <phoneticPr fontId="2"/>
  </si>
  <si>
    <t>仕入税区分CD</t>
    <phoneticPr fontId="2"/>
  </si>
  <si>
    <t>在庫区分CD</t>
    <phoneticPr fontId="2"/>
  </si>
  <si>
    <t>サイズ変更区分CD</t>
    <phoneticPr fontId="2"/>
  </si>
  <si>
    <t>取組区分CD</t>
    <phoneticPr fontId="2"/>
  </si>
  <si>
    <t>主仕入先CD</t>
    <rPh sb="0" eb="1">
      <t>オモ</t>
    </rPh>
    <rPh sb="1" eb="3">
      <t>シイレ</t>
    </rPh>
    <rPh sb="3" eb="4">
      <t>サキ</t>
    </rPh>
    <phoneticPr fontId="2"/>
  </si>
  <si>
    <t>売上税区分CD</t>
    <rPh sb="0" eb="3">
      <t>ウリアゲゼイ</t>
    </rPh>
    <rPh sb="3" eb="5">
      <t>クブン</t>
    </rPh>
    <phoneticPr fontId="2"/>
  </si>
  <si>
    <t>仕入税区分CD</t>
    <rPh sb="0" eb="2">
      <t>シイレ</t>
    </rPh>
    <rPh sb="2" eb="5">
      <t>ゼイクブン</t>
    </rPh>
    <phoneticPr fontId="2"/>
  </si>
  <si>
    <t>在庫区分CD</t>
    <rPh sb="0" eb="2">
      <t>ザイコ</t>
    </rPh>
    <rPh sb="2" eb="4">
      <t>クブン</t>
    </rPh>
    <phoneticPr fontId="2"/>
  </si>
  <si>
    <t>サイズ変更区分CD</t>
    <rPh sb="3" eb="5">
      <t>ヘンコウ</t>
    </rPh>
    <rPh sb="5" eb="7">
      <t>クブン</t>
    </rPh>
    <phoneticPr fontId="2"/>
  </si>
  <si>
    <t>取組区分CD</t>
    <rPh sb="0" eb="2">
      <t>トリクミ</t>
    </rPh>
    <rPh sb="2" eb="4">
      <t>クブン</t>
    </rPh>
    <phoneticPr fontId="2"/>
  </si>
  <si>
    <t>取組区分</t>
    <rPh sb="0" eb="4">
      <t>トリクミクブン</t>
    </rPh>
    <phoneticPr fontId="2"/>
  </si>
  <si>
    <t>S</t>
    <phoneticPr fontId="2"/>
  </si>
  <si>
    <t>T</t>
    <phoneticPr fontId="2"/>
  </si>
  <si>
    <t>U</t>
    <phoneticPr fontId="2"/>
  </si>
  <si>
    <t>V</t>
    <phoneticPr fontId="2"/>
  </si>
  <si>
    <t>W</t>
    <phoneticPr fontId="2"/>
  </si>
  <si>
    <t>X</t>
    <phoneticPr fontId="2"/>
  </si>
  <si>
    <t>Y</t>
    <phoneticPr fontId="2"/>
  </si>
  <si>
    <t>取組終了年月</t>
    <rPh sb="0" eb="2">
      <t>トリクミ</t>
    </rPh>
    <rPh sb="2" eb="4">
      <t>シュウリョウ</t>
    </rPh>
    <rPh sb="4" eb="6">
      <t>ネンゲツ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</si>
  <si>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</si>
  <si>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</si>
  <si>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</si>
  <si>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</si>
  <si>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</si>
  <si>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メモ</t>
    <phoneticPr fontId="2"/>
  </si>
  <si>
    <t>（使用しない）TM製品_売上単価</t>
    <rPh sb="1" eb="3">
      <t>シヨウ</t>
    </rPh>
    <phoneticPr fontId="2"/>
  </si>
  <si>
    <t>（使用しない）TM製品_仕入単価</t>
    <phoneticPr fontId="2"/>
  </si>
  <si>
    <t>廃盤FLG</t>
    <rPh sb="0" eb="2">
      <t>ハイバン</t>
    </rPh>
    <phoneticPr fontId="2"/>
  </si>
  <si>
    <t>費用区分名</t>
    <rPh sb="0" eb="2">
      <t>ヒヨウ</t>
    </rPh>
    <rPh sb="2" eb="4">
      <t>クブン</t>
    </rPh>
    <rPh sb="4" eb="5">
      <t>メイ</t>
    </rPh>
    <phoneticPr fontId="2"/>
  </si>
  <si>
    <t>主仕入先名</t>
    <rPh sb="0" eb="1">
      <t>オモ</t>
    </rPh>
    <rPh sb="1" eb="3">
      <t>シイレ</t>
    </rPh>
    <rPh sb="3" eb="4">
      <t>サキ</t>
    </rPh>
    <rPh sb="4" eb="5">
      <t>メイ</t>
    </rPh>
    <phoneticPr fontId="2"/>
  </si>
  <si>
    <t>Z</t>
    <phoneticPr fontId="2"/>
  </si>
  <si>
    <t>費用区分名</t>
    <rPh sb="4" eb="5">
      <t>メイ</t>
    </rPh>
    <phoneticPr fontId="2"/>
  </si>
  <si>
    <t>〇</t>
    <phoneticPr fontId="2"/>
  </si>
  <si>
    <t>0:部材費　1:労務費</t>
    <phoneticPr fontId="2"/>
  </si>
  <si>
    <t>〇</t>
    <phoneticPr fontId="2"/>
  </si>
  <si>
    <t>0:外税　1:内税　2:非課税</t>
    <phoneticPr fontId="2"/>
  </si>
  <si>
    <t>0:在庫管理する　1:在庫管理しない</t>
    <phoneticPr fontId="2"/>
  </si>
  <si>
    <t>0:変更不可　1:変更可</t>
    <phoneticPr fontId="2"/>
  </si>
  <si>
    <t>0:一般製品　1:取組製品</t>
    <phoneticPr fontId="2"/>
  </si>
  <si>
    <t>A</t>
    <phoneticPr fontId="2"/>
  </si>
  <si>
    <t>メモ</t>
    <phoneticPr fontId="2"/>
  </si>
  <si>
    <t>(使用しない)TM製品_初期登録日</t>
    <rPh sb="1" eb="3">
      <t>シヨウ</t>
    </rPh>
    <phoneticPr fontId="2"/>
  </si>
  <si>
    <t>〇</t>
    <phoneticPr fontId="2"/>
  </si>
  <si>
    <t>　主キー設定</t>
    <phoneticPr fontId="2"/>
  </si>
  <si>
    <t>$(document).on('change', '#Results_ClassA, #Results_DateA', function () {
    var A = $('#Results_ClassA').val();
    var B = $('#Results_ClassB').val();
   $p.set($('#Results_Class100'), A + '__' + B);
})</t>
    <phoneticPr fontId="2"/>
  </si>
  <si>
    <t>〇</t>
    <phoneticPr fontId="2"/>
  </si>
  <si>
    <t>　サイズ入力制御</t>
    <phoneticPr fontId="2"/>
  </si>
  <si>
    <t>//Dに入力されたらD1,D2を読み取り専用にする
$p.on('change', 'NumD', function () {
    if ($p.getControl('NumD').val() != "") {
        $p.getControl('NumB').attr('readonly', true);
        $p.getControl('NumB').css('background', '#f5f5f5');
        $p.getControl('NumE').attr('readonly', true);
        $p.getControl('NumE').css('background', '#f5f5f5');
    }else if($p.getControl('NumD').val() === "") {
        $p.getControl('NumB').attr('readonly', false);
        $p.getControl('NumB').css('background', '#ffffff');
        $p.getControl('NumE').attr('readonly', false);
        $p.getControl('NumE').css('background', '#ffffff');
    }
});
//Hに入力されたらH1,H2を読み取り専用にする
$p.on('change', 'NumG', function () {
    if ($p.getControl('NumG').val() != "") {
        $p.getControl('NumC').attr('readonly', true);
        $p.getControl('NumC').css('background', '#f5f5f5');
        $p.getControl('NumF').attr('readonly', true);
        $p.getControl('NumF').css('background', '#f5f5f5');
    }else if($p.getControl('NumG').val() === "") {
        $p.getControl('NumC').attr('readonly', false);
        $p.getControl('NumC').css('background', '#ffffff');
        $p.getControl('NumF').attr('readonly', false);
        $p.getControl('NumF').css('background', '#ffffff');
    }
});
//D1に入力されたらDを読み取り専用にする
$p.on('change', 'NumB', function () {
    if ($p.getControl('NumB').val() != "") {
        $p.getControl('NumD').attr('readonly', true);
        $p.getControl('NumD').css('background', '#f5f5f5');
    }else if($p.getControl('NumB').val() === "" &amp;&amp; $p.getControl('NumE').val() === "") {
        $p.getControl('NumD').attr('readonly', false);
        $p.getControl('NumD').css('background', '#ffffff');
    }
});
//D2に入力されたらDを読み取り専用にする
$p.on('change', 'NumE', function () {
    if ($p.getControl('NumE').val() != "") {
        $p.getControl('NumD').attr('readonly', true);
        $p.getControl('NumD').css('background', '#f5f5f5');
    }else if($p.getControl('NumB').val() === "" &amp;&amp; $p.getControl('NumE').val() === "") {
        $p.getControl('NumD').attr('readonly', false);
        $p.getControl('NumD').css('background', '#ffffff');
    }
});
//H1に入力されたらHを読み取り専用にする
$p.on('change', 'NumC', function () {
    if ($p.getControl('NumC').val() != "") {
        $p.getControl('NumG').attr('readonly', true);
        $p.getControl('NumG').css('background', '#f5f5f5');
    }else if($p.getControl('NumC').val() === "" &amp;&amp; $p.getControl('NumF').val() === "") {
        $p.getControl('NumG').attr('readonly', false);
        $p.getControl('NumG').css('background', '#ffffff');
    }
});
//H2に入力されたらHを読み取り専用にする
$p.on('change', 'NumF', function () {
    if ($p.getControl('NumF').val() != "") {
        $p.getControl('NumG').attr('readonly', true);
        $p.getControl('NumG').css('background', '#f5f5f5');
    }else if($p.getControl('NumC').val() === "" &amp;&amp; $p.getControl('NumF').val() === "") {
        $p.getControl('NumG').attr('readonly', false);
        $p.getControl('NumG').css('background', '#ffffff');
    }
});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</si>
</sst>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9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left" vertical="center"/>
    </xf>
    <xf numFmtId="0" fontId="1" fillId="2" borderId="39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1" fillId="2" borderId="39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3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3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1</xdr:row>
          <xdr:rowOff>0</xdr:rowOff>
        </xdr:from>
        <xdr:to>
          <xdr:col>24</xdr:col>
          <xdr:colOff>7620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6200" y="60960"/>
              <a:ext cx="1454658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67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1</xdr:col>
      <xdr:colOff>190501</xdr:colOff>
      <xdr:row>5</xdr:row>
      <xdr:rowOff>144780</xdr:rowOff>
    </xdr:from>
    <xdr:to>
      <xdr:col>22</xdr:col>
      <xdr:colOff>259081</xdr:colOff>
      <xdr:row>32</xdr:row>
      <xdr:rowOff>59582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1" y="1021080"/>
          <a:ext cx="14036040" cy="670422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4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297180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4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4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45720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3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6538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71</xdr:row>
      <xdr:rowOff>104775</xdr:rowOff>
    </xdr:to>
    <xdr:sp macro="" textlink="">
      <xdr:nvSpPr>
        <xdr:cNvPr id="4" name="正方形/長方形 3"/>
        <xdr:cNvSpPr/>
      </xdr:nvSpPr>
      <xdr:spPr>
        <a:xfrm>
          <a:off x="5913120" y="8795385"/>
          <a:ext cx="2943225" cy="878205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  <a:r>
            <a:rPr kumimoji="1" lang="en-US" altLang="ja-JP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 editAs="oneCell">
    <xdr:from>
      <xdr:col>1</xdr:col>
      <xdr:colOff>152401</xdr:colOff>
      <xdr:row>5</xdr:row>
      <xdr:rowOff>121920</xdr:rowOff>
    </xdr:from>
    <xdr:to>
      <xdr:col>21</xdr:col>
      <xdr:colOff>266700</xdr:colOff>
      <xdr:row>34</xdr:row>
      <xdr:rowOff>191997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21" y="998220"/>
          <a:ext cx="11788139" cy="736241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39</xdr:col>
          <xdr:colOff>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5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21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21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21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21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21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21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21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21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21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5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5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56" t="s">
        <v>256</v>
      </c>
      <c r="D8" s="157"/>
      <c r="E8" s="156" t="s">
        <v>257</v>
      </c>
      <c r="F8" s="166"/>
      <c r="G8" s="166"/>
      <c r="H8" s="166"/>
      <c r="I8" s="166"/>
      <c r="J8" s="166"/>
      <c r="K8" s="166"/>
      <c r="L8" s="166"/>
      <c r="M8" s="166"/>
      <c r="N8" s="157"/>
      <c r="O8" s="156" t="s">
        <v>258</v>
      </c>
      <c r="P8" s="166"/>
      <c r="Q8" s="157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58">
        <f>ROW()-8</f>
        <v>1</v>
      </c>
      <c r="D9" s="159"/>
      <c r="E9" s="160" t="s">
        <v>17</v>
      </c>
      <c r="F9" s="161"/>
      <c r="G9" s="161"/>
      <c r="H9" s="161"/>
      <c r="I9" s="161"/>
      <c r="J9" s="161"/>
      <c r="K9" s="161"/>
      <c r="L9" s="161"/>
      <c r="M9" s="161"/>
      <c r="N9" s="162"/>
      <c r="O9" s="163" t="str">
        <f>HYPERLINK("#"&amp;E9&amp;"!A1","リンク")</f>
        <v>リンク</v>
      </c>
      <c r="P9" s="164"/>
      <c r="Q9" s="165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58">
        <f t="shared" ref="C10:C18" si="0">ROW()-8</f>
        <v>2</v>
      </c>
      <c r="D10" s="159"/>
      <c r="E10" s="160" t="s">
        <v>259</v>
      </c>
      <c r="F10" s="161"/>
      <c r="G10" s="161"/>
      <c r="H10" s="161"/>
      <c r="I10" s="161"/>
      <c r="J10" s="161"/>
      <c r="K10" s="161"/>
      <c r="L10" s="161"/>
      <c r="M10" s="161"/>
      <c r="N10" s="162"/>
      <c r="O10" s="163" t="str">
        <f t="shared" ref="O10:O15" si="1">HYPERLINK("#"&amp;E10&amp;"!A1","リンク")</f>
        <v>リンク</v>
      </c>
      <c r="P10" s="164"/>
      <c r="Q10" s="165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58">
        <f t="shared" si="0"/>
        <v>3</v>
      </c>
      <c r="D11" s="159"/>
      <c r="E11" s="160" t="s">
        <v>260</v>
      </c>
      <c r="F11" s="161"/>
      <c r="G11" s="161"/>
      <c r="H11" s="161"/>
      <c r="I11" s="161"/>
      <c r="J11" s="161"/>
      <c r="K11" s="161"/>
      <c r="L11" s="161"/>
      <c r="M11" s="161"/>
      <c r="N11" s="162"/>
      <c r="O11" s="163" t="str">
        <f t="shared" si="1"/>
        <v>リンク</v>
      </c>
      <c r="P11" s="164"/>
      <c r="Q11" s="165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58">
        <f t="shared" si="0"/>
        <v>4</v>
      </c>
      <c r="D12" s="159"/>
      <c r="E12" s="160" t="s">
        <v>261</v>
      </c>
      <c r="F12" s="161"/>
      <c r="G12" s="161"/>
      <c r="H12" s="161"/>
      <c r="I12" s="161"/>
      <c r="J12" s="161"/>
      <c r="K12" s="161"/>
      <c r="L12" s="161"/>
      <c r="M12" s="161"/>
      <c r="N12" s="162"/>
      <c r="O12" s="163" t="str">
        <f t="shared" si="1"/>
        <v>リンク</v>
      </c>
      <c r="P12" s="164"/>
      <c r="Q12" s="165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58">
        <f t="shared" si="0"/>
        <v>5</v>
      </c>
      <c r="D13" s="159"/>
      <c r="E13" s="160" t="s">
        <v>263</v>
      </c>
      <c r="F13" s="161"/>
      <c r="G13" s="161"/>
      <c r="H13" s="161"/>
      <c r="I13" s="161"/>
      <c r="J13" s="161"/>
      <c r="K13" s="161"/>
      <c r="L13" s="161"/>
      <c r="M13" s="161"/>
      <c r="N13" s="162"/>
      <c r="O13" s="163" t="str">
        <f t="shared" si="1"/>
        <v>リンク</v>
      </c>
      <c r="P13" s="164"/>
      <c r="Q13" s="165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58">
        <f t="shared" si="0"/>
        <v>6</v>
      </c>
      <c r="D14" s="159"/>
      <c r="E14" s="160" t="s">
        <v>264</v>
      </c>
      <c r="F14" s="161"/>
      <c r="G14" s="161"/>
      <c r="H14" s="161"/>
      <c r="I14" s="161"/>
      <c r="J14" s="161"/>
      <c r="K14" s="161"/>
      <c r="L14" s="161"/>
      <c r="M14" s="161"/>
      <c r="N14" s="162"/>
      <c r="O14" s="163" t="str">
        <f t="shared" si="1"/>
        <v>リンク</v>
      </c>
      <c r="P14" s="164"/>
      <c r="Q14" s="165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58">
        <f t="shared" si="0"/>
        <v>7</v>
      </c>
      <c r="D15" s="159"/>
      <c r="E15" s="160" t="s">
        <v>262</v>
      </c>
      <c r="F15" s="161"/>
      <c r="G15" s="161"/>
      <c r="H15" s="161"/>
      <c r="I15" s="161"/>
      <c r="J15" s="161"/>
      <c r="K15" s="161"/>
      <c r="L15" s="161"/>
      <c r="M15" s="161"/>
      <c r="N15" s="162"/>
      <c r="O15" s="163" t="str">
        <f t="shared" si="1"/>
        <v>リンク</v>
      </c>
      <c r="P15" s="164"/>
      <c r="Q15" s="165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58">
        <f t="shared" si="0"/>
        <v>8</v>
      </c>
      <c r="D16" s="159"/>
      <c r="E16" s="160" t="s">
        <v>265</v>
      </c>
      <c r="F16" s="161"/>
      <c r="G16" s="161"/>
      <c r="H16" s="161"/>
      <c r="I16" s="161"/>
      <c r="J16" s="161"/>
      <c r="K16" s="161"/>
      <c r="L16" s="161"/>
      <c r="M16" s="161"/>
      <c r="N16" s="162"/>
      <c r="O16" s="163" t="str">
        <f>HYPERLINK("#"&amp;E16&amp;"!A1","リンク")</f>
        <v>リンク</v>
      </c>
      <c r="P16" s="164"/>
      <c r="Q16" s="165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58">
        <f t="shared" si="0"/>
        <v>9</v>
      </c>
      <c r="D17" s="159"/>
      <c r="E17" s="160" t="s">
        <v>266</v>
      </c>
      <c r="F17" s="161"/>
      <c r="G17" s="161"/>
      <c r="H17" s="161"/>
      <c r="I17" s="161"/>
      <c r="J17" s="161"/>
      <c r="K17" s="161"/>
      <c r="L17" s="161"/>
      <c r="M17" s="161"/>
      <c r="N17" s="162"/>
      <c r="O17" s="163" t="str">
        <f>HYPERLINK("#"&amp;E17&amp;"!A1","リンク")</f>
        <v>リンク</v>
      </c>
      <c r="P17" s="164"/>
      <c r="Q17" s="165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58">
        <f t="shared" si="0"/>
        <v>10</v>
      </c>
      <c r="D18" s="159"/>
      <c r="E18" s="160" t="s">
        <v>294</v>
      </c>
      <c r="F18" s="161"/>
      <c r="G18" s="161"/>
      <c r="H18" s="161"/>
      <c r="I18" s="161"/>
      <c r="J18" s="161"/>
      <c r="K18" s="161"/>
      <c r="L18" s="161"/>
      <c r="M18" s="161"/>
      <c r="N18" s="162"/>
      <c r="O18" s="163" t="str">
        <f>HYPERLINK("#"&amp;E18&amp;"!A1","リンク")</f>
        <v>リンク</v>
      </c>
      <c r="P18" s="164"/>
      <c r="Q18" s="165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7" t="s">
        <v>0</v>
      </c>
      <c r="C2" s="168"/>
      <c r="D2" s="168"/>
      <c r="E2" s="168"/>
      <c r="F2" s="168"/>
      <c r="G2" s="168"/>
      <c r="H2" s="168" t="s">
        <v>396</v>
      </c>
      <c r="I2" s="168"/>
      <c r="J2" s="168"/>
      <c r="K2" s="168"/>
      <c r="L2" s="168" t="s">
        <v>395</v>
      </c>
      <c r="M2" s="168"/>
      <c r="N2" s="168"/>
      <c r="O2" s="168"/>
      <c r="P2" s="168"/>
      <c r="Q2" s="168"/>
      <c r="R2" s="168" t="s">
        <v>1</v>
      </c>
      <c r="S2" s="168"/>
      <c r="T2" s="168"/>
      <c r="U2" s="168"/>
      <c r="V2" s="168"/>
      <c r="W2" s="168"/>
      <c r="X2" s="169" t="s">
        <v>2</v>
      </c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1"/>
      <c r="AK2" s="169" t="s">
        <v>15</v>
      </c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1"/>
      <c r="AX2" s="168" t="s">
        <v>4</v>
      </c>
      <c r="AY2" s="168"/>
      <c r="AZ2" s="168"/>
      <c r="BA2" s="168"/>
      <c r="BB2" s="168" t="s">
        <v>3</v>
      </c>
      <c r="BC2" s="168"/>
      <c r="BD2" s="168"/>
      <c r="BE2" s="168"/>
      <c r="BF2" s="168" t="s">
        <v>5</v>
      </c>
      <c r="BG2" s="168"/>
      <c r="BH2" s="168"/>
      <c r="BI2" s="168"/>
      <c r="BJ2" s="168" t="s">
        <v>6</v>
      </c>
      <c r="BK2" s="168"/>
      <c r="BL2" s="168"/>
      <c r="BM2" s="182"/>
      <c r="BN2" s="15"/>
    </row>
    <row r="3" spans="1:66" ht="20.100000000000001" customHeight="1" x14ac:dyDescent="0.45">
      <c r="A3" s="9"/>
      <c r="B3" s="172" t="s">
        <v>393</v>
      </c>
      <c r="C3" s="173"/>
      <c r="D3" s="173"/>
      <c r="E3" s="173"/>
      <c r="F3" s="173"/>
      <c r="G3" s="173"/>
      <c r="H3" s="173" t="str">
        <f ca="1">LEFT($X$3,FIND("_",$X$3)-1)</f>
        <v>マスタ</v>
      </c>
      <c r="I3" s="173"/>
      <c r="J3" s="173"/>
      <c r="K3" s="173"/>
      <c r="L3" s="173" t="s">
        <v>394</v>
      </c>
      <c r="M3" s="173"/>
      <c r="N3" s="173"/>
      <c r="O3" s="173"/>
      <c r="P3" s="173"/>
      <c r="Q3" s="173"/>
      <c r="R3" s="176" t="str">
        <f ca="1">MID($X$3,FIND("_",$X$3,FIND("_",$X$3)+1)+1,LEN($X$3)-FIND("_",$X$3,FIND("_",$X$3)+1))</f>
        <v>画面設計書</v>
      </c>
      <c r="S3" s="173"/>
      <c r="T3" s="173"/>
      <c r="U3" s="173"/>
      <c r="V3" s="173"/>
      <c r="W3" s="173"/>
      <c r="X3" s="177" t="str">
        <f ca="1">REPLACE(LEFT(CELL("filename",$B$2),FIND(".x",CELL("filename",$B$2))-1),1,FIND("[",CELL("filename",$B$2)),)</f>
        <v>マスタ_製品マスタ_画面設計書</v>
      </c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4"/>
      <c r="AK3" s="177" t="str">
        <f ca="1">MID($X$3,FIND("_",$X$3)+1,FIND("_",$X$3,FIND("_",$X$3)+1)-FIND("_",$X$3)-1)</f>
        <v>製品マスタ</v>
      </c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4"/>
      <c r="AX3" s="184">
        <v>45439</v>
      </c>
      <c r="AY3" s="173"/>
      <c r="AZ3" s="173"/>
      <c r="BA3" s="173"/>
      <c r="BB3" s="173" t="s">
        <v>344</v>
      </c>
      <c r="BC3" s="173"/>
      <c r="BD3" s="173"/>
      <c r="BE3" s="173"/>
      <c r="BF3" s="184">
        <v>45439</v>
      </c>
      <c r="BG3" s="173"/>
      <c r="BH3" s="173"/>
      <c r="BI3" s="173"/>
      <c r="BJ3" s="173" t="s">
        <v>397</v>
      </c>
      <c r="BK3" s="173"/>
      <c r="BL3" s="173"/>
      <c r="BM3" s="185"/>
      <c r="BN3" s="15"/>
    </row>
    <row r="4" spans="1:66" ht="20.100000000000001" customHeight="1" thickBot="1" x14ac:dyDescent="0.5">
      <c r="A4" s="9"/>
      <c r="B4" s="174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9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1"/>
      <c r="AK4" s="179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1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5"/>
      <c r="BL4" s="175"/>
      <c r="BM4" s="177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83" t="s">
        <v>7</v>
      </c>
      <c r="D8" s="183"/>
      <c r="E8" s="183"/>
      <c r="F8" s="183"/>
      <c r="G8" s="183" t="s">
        <v>8</v>
      </c>
      <c r="H8" s="183"/>
      <c r="I8" s="183"/>
      <c r="J8" s="183"/>
      <c r="K8" s="183" t="s">
        <v>9</v>
      </c>
      <c r="L8" s="183"/>
      <c r="M8" s="183"/>
      <c r="N8" s="183"/>
      <c r="O8" s="183" t="s">
        <v>10</v>
      </c>
      <c r="P8" s="183"/>
      <c r="Q8" s="183"/>
      <c r="R8" s="183"/>
      <c r="S8" s="183"/>
      <c r="T8" s="183"/>
      <c r="U8" s="183"/>
      <c r="V8" s="183"/>
      <c r="W8" s="183"/>
      <c r="X8" s="183"/>
      <c r="Y8" s="183" t="s">
        <v>11</v>
      </c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8"/>
      <c r="BN8" s="15"/>
    </row>
    <row r="9" spans="1:66" ht="20.100000000000001" customHeight="1" x14ac:dyDescent="0.45">
      <c r="A9" s="9"/>
      <c r="B9" s="8"/>
      <c r="C9" s="186">
        <v>45439</v>
      </c>
      <c r="D9" s="187"/>
      <c r="E9" s="187"/>
      <c r="F9" s="188"/>
      <c r="G9" s="160" t="s">
        <v>18</v>
      </c>
      <c r="H9" s="161"/>
      <c r="I9" s="161"/>
      <c r="J9" s="162"/>
      <c r="K9" s="189" t="s">
        <v>397</v>
      </c>
      <c r="L9" s="187"/>
      <c r="M9" s="187"/>
      <c r="N9" s="188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86"/>
      <c r="D10" s="187"/>
      <c r="E10" s="187"/>
      <c r="F10" s="188"/>
      <c r="G10" s="160"/>
      <c r="H10" s="161"/>
      <c r="I10" s="161"/>
      <c r="J10" s="162"/>
      <c r="K10" s="189"/>
      <c r="L10" s="187"/>
      <c r="M10" s="187"/>
      <c r="N10" s="18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86"/>
      <c r="D11" s="187"/>
      <c r="E11" s="187"/>
      <c r="F11" s="188"/>
      <c r="G11" s="160"/>
      <c r="H11" s="161"/>
      <c r="I11" s="161"/>
      <c r="J11" s="162"/>
      <c r="K11" s="189"/>
      <c r="L11" s="187"/>
      <c r="M11" s="187"/>
      <c r="N11" s="18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86"/>
      <c r="D36" s="187"/>
      <c r="E36" s="187"/>
      <c r="F36" s="188"/>
      <c r="G36" s="160"/>
      <c r="H36" s="161"/>
      <c r="I36" s="161"/>
      <c r="J36" s="162"/>
      <c r="K36" s="189"/>
      <c r="L36" s="187"/>
      <c r="M36" s="187"/>
      <c r="N36" s="18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86"/>
      <c r="D37" s="187"/>
      <c r="E37" s="187"/>
      <c r="F37" s="188"/>
      <c r="G37" s="160"/>
      <c r="H37" s="161"/>
      <c r="I37" s="161"/>
      <c r="J37" s="162"/>
      <c r="K37" s="189"/>
      <c r="L37" s="187"/>
      <c r="M37" s="187"/>
      <c r="N37" s="18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86"/>
      <c r="D38" s="187"/>
      <c r="E38" s="187"/>
      <c r="F38" s="188"/>
      <c r="G38" s="160"/>
      <c r="H38" s="161"/>
      <c r="I38" s="161"/>
      <c r="J38" s="162"/>
      <c r="K38" s="189"/>
      <c r="L38" s="187"/>
      <c r="M38" s="187"/>
      <c r="N38" s="18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86"/>
      <c r="D39" s="187"/>
      <c r="E39" s="187"/>
      <c r="F39" s="188"/>
      <c r="G39" s="160"/>
      <c r="H39" s="161"/>
      <c r="I39" s="161"/>
      <c r="J39" s="162"/>
      <c r="K39" s="189"/>
      <c r="L39" s="187"/>
      <c r="M39" s="187"/>
      <c r="N39" s="18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86"/>
      <c r="D40" s="187"/>
      <c r="E40" s="187"/>
      <c r="F40" s="188"/>
      <c r="G40" s="160"/>
      <c r="H40" s="161"/>
      <c r="I40" s="161"/>
      <c r="J40" s="162"/>
      <c r="K40" s="189"/>
      <c r="L40" s="187"/>
      <c r="M40" s="187"/>
      <c r="N40" s="18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86"/>
      <c r="D41" s="187"/>
      <c r="E41" s="187"/>
      <c r="F41" s="188"/>
      <c r="G41" s="160"/>
      <c r="H41" s="161"/>
      <c r="I41" s="161"/>
      <c r="J41" s="162"/>
      <c r="K41" s="189"/>
      <c r="L41" s="187"/>
      <c r="M41" s="187"/>
      <c r="N41" s="18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86"/>
      <c r="D42" s="187"/>
      <c r="E42" s="187"/>
      <c r="F42" s="188"/>
      <c r="G42" s="160"/>
      <c r="H42" s="161"/>
      <c r="I42" s="161"/>
      <c r="J42" s="162"/>
      <c r="K42" s="189"/>
      <c r="L42" s="187"/>
      <c r="M42" s="187"/>
      <c r="N42" s="18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86"/>
      <c r="D43" s="187"/>
      <c r="E43" s="187"/>
      <c r="F43" s="188"/>
      <c r="G43" s="160"/>
      <c r="H43" s="161"/>
      <c r="I43" s="161"/>
      <c r="J43" s="162"/>
      <c r="K43" s="189"/>
      <c r="L43" s="187"/>
      <c r="M43" s="187"/>
      <c r="N43" s="18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86"/>
      <c r="D44" s="187"/>
      <c r="E44" s="187"/>
      <c r="F44" s="188"/>
      <c r="G44" s="160"/>
      <c r="H44" s="161"/>
      <c r="I44" s="161"/>
      <c r="J44" s="162"/>
      <c r="K44" s="189"/>
      <c r="L44" s="187"/>
      <c r="M44" s="187"/>
      <c r="N44" s="18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86"/>
      <c r="D45" s="187"/>
      <c r="E45" s="187"/>
      <c r="F45" s="188"/>
      <c r="G45" s="160"/>
      <c r="H45" s="161"/>
      <c r="I45" s="161"/>
      <c r="J45" s="162"/>
      <c r="K45" s="189"/>
      <c r="L45" s="187"/>
      <c r="M45" s="187"/>
      <c r="N45" s="18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86"/>
      <c r="D46" s="187"/>
      <c r="E46" s="187"/>
      <c r="F46" s="188"/>
      <c r="G46" s="160"/>
      <c r="H46" s="161"/>
      <c r="I46" s="161"/>
      <c r="J46" s="162"/>
      <c r="K46" s="189"/>
      <c r="L46" s="187"/>
      <c r="M46" s="187"/>
      <c r="N46" s="18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86"/>
      <c r="D47" s="187"/>
      <c r="E47" s="187"/>
      <c r="F47" s="188"/>
      <c r="G47" s="160"/>
      <c r="H47" s="161"/>
      <c r="I47" s="161"/>
      <c r="J47" s="162"/>
      <c r="K47" s="189"/>
      <c r="L47" s="187"/>
      <c r="M47" s="187"/>
      <c r="N47" s="18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Y7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5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5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5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5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5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5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5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5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5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5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5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5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5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5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5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5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5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5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5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5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5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5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5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5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5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5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5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30" t="s">
        <v>301</v>
      </c>
      <c r="E40" s="39"/>
      <c r="F40" s="19">
        <v>1</v>
      </c>
      <c r="G40" s="128"/>
      <c r="H40" s="10"/>
      <c r="I40" s="19">
        <v>1</v>
      </c>
      <c r="J40" s="128"/>
      <c r="K40" s="40"/>
      <c r="L40" s="19">
        <v>1</v>
      </c>
      <c r="M40" s="128"/>
    </row>
    <row r="41" spans="1:25" ht="20.100000000000001" customHeight="1" x14ac:dyDescent="0.45">
      <c r="A41" s="8"/>
      <c r="B41" s="10"/>
      <c r="C41" s="19">
        <v>2</v>
      </c>
      <c r="D41" s="130" t="s">
        <v>302</v>
      </c>
      <c r="E41" s="39"/>
      <c r="F41" s="19">
        <v>2</v>
      </c>
      <c r="G41" s="128"/>
      <c r="H41" s="10"/>
      <c r="I41" s="19">
        <v>2</v>
      </c>
      <c r="J41" s="128"/>
      <c r="K41" s="40"/>
      <c r="L41" s="19">
        <v>2</v>
      </c>
      <c r="M41" s="128"/>
    </row>
    <row r="42" spans="1:25" ht="20.100000000000001" customHeight="1" x14ac:dyDescent="0.45">
      <c r="B42" s="18"/>
      <c r="C42" s="19">
        <v>3</v>
      </c>
      <c r="D42" s="130" t="s">
        <v>303</v>
      </c>
      <c r="E42" s="39"/>
      <c r="F42" s="19">
        <v>3</v>
      </c>
      <c r="G42" s="128"/>
      <c r="H42" s="18"/>
      <c r="I42" s="19">
        <v>3</v>
      </c>
      <c r="J42" s="128"/>
      <c r="K42" s="40"/>
      <c r="L42" s="19">
        <v>3</v>
      </c>
      <c r="M42" s="128"/>
    </row>
    <row r="43" spans="1:25" ht="20.100000000000001" customHeight="1" x14ac:dyDescent="0.45">
      <c r="B43" s="18"/>
      <c r="C43" s="19">
        <v>4</v>
      </c>
      <c r="D43" s="130" t="s">
        <v>304</v>
      </c>
      <c r="E43" s="39"/>
      <c r="F43" s="19">
        <v>4</v>
      </c>
      <c r="G43" s="128"/>
      <c r="H43" s="18"/>
      <c r="I43" s="19">
        <v>4</v>
      </c>
      <c r="J43" s="128"/>
      <c r="K43" s="40"/>
      <c r="L43" s="19">
        <v>4</v>
      </c>
      <c r="M43" s="128"/>
    </row>
    <row r="44" spans="1:25" ht="20.100000000000001" customHeight="1" x14ac:dyDescent="0.45">
      <c r="B44" s="18"/>
      <c r="C44" s="19">
        <v>5</v>
      </c>
      <c r="D44" s="130" t="s">
        <v>305</v>
      </c>
      <c r="E44" s="39"/>
      <c r="F44" s="19">
        <v>5</v>
      </c>
      <c r="G44" s="128"/>
      <c r="H44" s="18"/>
      <c r="I44" s="19">
        <v>5</v>
      </c>
      <c r="J44" s="128"/>
      <c r="K44" s="40"/>
      <c r="L44" s="19">
        <v>5</v>
      </c>
      <c r="M44" s="128"/>
    </row>
    <row r="45" spans="1:25" ht="20.100000000000001" customHeight="1" x14ac:dyDescent="0.45">
      <c r="B45" s="18"/>
      <c r="C45" s="19">
        <v>6</v>
      </c>
      <c r="D45" s="130" t="s">
        <v>306</v>
      </c>
      <c r="E45" s="39"/>
      <c r="F45" s="19">
        <v>6</v>
      </c>
      <c r="G45" s="128"/>
      <c r="H45" s="18"/>
      <c r="I45" s="19">
        <v>6</v>
      </c>
      <c r="J45" s="128"/>
      <c r="K45" s="40"/>
      <c r="L45" s="19">
        <v>6</v>
      </c>
      <c r="M45" s="128"/>
    </row>
    <row r="46" spans="1:25" ht="20.100000000000001" customHeight="1" x14ac:dyDescent="0.45">
      <c r="B46" s="18"/>
      <c r="C46" s="19">
        <v>7</v>
      </c>
      <c r="D46" s="130" t="s">
        <v>308</v>
      </c>
      <c r="E46" s="39"/>
      <c r="F46" s="19">
        <v>7</v>
      </c>
      <c r="G46" s="128"/>
      <c r="H46" s="18"/>
      <c r="I46" s="19">
        <v>7</v>
      </c>
      <c r="J46" s="128"/>
      <c r="K46" s="40"/>
      <c r="L46" s="19">
        <v>7</v>
      </c>
      <c r="M46" s="128"/>
    </row>
    <row r="47" spans="1:25" ht="20.100000000000001" customHeight="1" x14ac:dyDescent="0.45">
      <c r="B47" s="18"/>
      <c r="C47" s="19">
        <v>8</v>
      </c>
      <c r="D47" s="130" t="s">
        <v>338</v>
      </c>
      <c r="E47" s="39"/>
      <c r="F47" s="19">
        <v>8</v>
      </c>
      <c r="G47" s="128"/>
      <c r="H47" s="18"/>
      <c r="I47" s="19">
        <v>8</v>
      </c>
      <c r="J47" s="128"/>
      <c r="K47" s="40"/>
      <c r="L47" s="19">
        <v>8</v>
      </c>
      <c r="M47" s="128"/>
    </row>
    <row r="48" spans="1:25" ht="20.100000000000001" customHeight="1" x14ac:dyDescent="0.45">
      <c r="B48" s="18"/>
      <c r="C48" s="19">
        <v>9</v>
      </c>
      <c r="D48" s="130" t="s">
        <v>318</v>
      </c>
      <c r="E48" s="39"/>
      <c r="F48" s="19">
        <v>9</v>
      </c>
      <c r="G48" s="128"/>
      <c r="H48" s="18"/>
      <c r="I48" s="19">
        <v>9</v>
      </c>
      <c r="J48" s="128"/>
      <c r="K48" s="40"/>
      <c r="L48" s="19">
        <v>9</v>
      </c>
      <c r="M48" s="128"/>
    </row>
    <row r="49" spans="2:13" ht="20.100000000000001" customHeight="1" x14ac:dyDescent="0.45">
      <c r="B49" s="18"/>
      <c r="C49" s="19">
        <v>10</v>
      </c>
      <c r="D49" s="130" t="s">
        <v>310</v>
      </c>
      <c r="E49" s="39"/>
      <c r="F49" s="19">
        <v>10</v>
      </c>
      <c r="G49" s="128"/>
      <c r="H49" s="18"/>
      <c r="I49" s="19">
        <v>10</v>
      </c>
      <c r="J49" s="128"/>
      <c r="K49" s="40"/>
      <c r="L49" s="19">
        <v>10</v>
      </c>
      <c r="M49" s="128"/>
    </row>
    <row r="50" spans="2:13" ht="20.100000000000001" customHeight="1" x14ac:dyDescent="0.45">
      <c r="B50" s="18"/>
      <c r="C50" s="19">
        <v>11</v>
      </c>
      <c r="D50" s="130" t="s">
        <v>314</v>
      </c>
      <c r="E50" s="39"/>
      <c r="F50" s="19">
        <v>11</v>
      </c>
      <c r="G50" s="128"/>
      <c r="H50" s="18"/>
      <c r="I50" s="19">
        <v>11</v>
      </c>
      <c r="J50" s="128"/>
      <c r="K50" s="40"/>
      <c r="L50" s="19">
        <v>11</v>
      </c>
      <c r="M50" s="128"/>
    </row>
    <row r="51" spans="2:13" ht="20.100000000000001" customHeight="1" x14ac:dyDescent="0.45">
      <c r="B51" s="18"/>
      <c r="C51" s="19">
        <v>12</v>
      </c>
      <c r="D51" s="130" t="s">
        <v>312</v>
      </c>
      <c r="E51" s="39"/>
      <c r="F51" s="19">
        <v>12</v>
      </c>
      <c r="G51" s="128"/>
      <c r="H51" s="18"/>
      <c r="I51" s="19">
        <v>12</v>
      </c>
      <c r="J51" s="128"/>
      <c r="K51" s="40"/>
      <c r="L51" s="19">
        <v>12</v>
      </c>
      <c r="M51" s="128"/>
    </row>
    <row r="52" spans="2:13" ht="20.100000000000001" customHeight="1" x14ac:dyDescent="0.45">
      <c r="B52" s="18"/>
      <c r="C52" s="19">
        <v>13</v>
      </c>
      <c r="D52" s="130" t="s">
        <v>316</v>
      </c>
      <c r="E52" s="39"/>
      <c r="F52" s="19">
        <v>13</v>
      </c>
      <c r="G52" s="128"/>
      <c r="H52" s="18"/>
      <c r="I52" s="19">
        <v>13</v>
      </c>
      <c r="J52" s="128"/>
      <c r="K52" s="40"/>
      <c r="L52" s="19">
        <v>13</v>
      </c>
      <c r="M52" s="128"/>
    </row>
    <row r="53" spans="2:13" ht="20.100000000000001" customHeight="1" x14ac:dyDescent="0.45">
      <c r="B53" s="18"/>
      <c r="C53" s="19">
        <v>14</v>
      </c>
      <c r="D53" s="130" t="s">
        <v>319</v>
      </c>
      <c r="E53" s="39"/>
      <c r="F53" s="19">
        <v>14</v>
      </c>
      <c r="G53" s="128"/>
      <c r="H53" s="18"/>
      <c r="I53" s="19">
        <v>14</v>
      </c>
      <c r="J53" s="128"/>
      <c r="K53" s="40"/>
      <c r="L53" s="19">
        <v>14</v>
      </c>
      <c r="M53" s="128"/>
    </row>
    <row r="54" spans="2:13" ht="20.100000000000001" customHeight="1" x14ac:dyDescent="0.45">
      <c r="B54" s="18"/>
      <c r="C54" s="19">
        <v>15</v>
      </c>
      <c r="D54" s="130" t="s">
        <v>321</v>
      </c>
      <c r="E54" s="39"/>
      <c r="F54" s="19">
        <v>15</v>
      </c>
      <c r="G54" s="128"/>
      <c r="H54" s="18"/>
      <c r="I54" s="19">
        <v>15</v>
      </c>
      <c r="J54" s="128"/>
      <c r="K54" s="40"/>
      <c r="L54" s="19">
        <v>15</v>
      </c>
      <c r="M54" s="128"/>
    </row>
    <row r="55" spans="2:13" ht="20.100000000000001" customHeight="1" x14ac:dyDescent="0.45">
      <c r="B55" s="18"/>
      <c r="C55" s="19">
        <v>18</v>
      </c>
      <c r="D55" s="130" t="s">
        <v>378</v>
      </c>
      <c r="E55" s="39"/>
      <c r="F55" s="19">
        <v>18</v>
      </c>
      <c r="G55" s="128"/>
      <c r="H55" s="18"/>
      <c r="I55" s="19">
        <v>18</v>
      </c>
      <c r="J55" s="128"/>
      <c r="K55" s="40"/>
      <c r="L55" s="19">
        <v>18</v>
      </c>
      <c r="M55" s="128"/>
    </row>
    <row r="56" spans="2:13" ht="20.100000000000001" customHeight="1" x14ac:dyDescent="0.45">
      <c r="B56" s="18"/>
      <c r="C56" s="19">
        <v>19</v>
      </c>
      <c r="D56" s="130" t="s">
        <v>324</v>
      </c>
      <c r="E56" s="39"/>
      <c r="F56" s="19">
        <v>19</v>
      </c>
      <c r="G56" s="128"/>
      <c r="H56" s="18"/>
      <c r="I56" s="19">
        <v>19</v>
      </c>
      <c r="J56" s="128"/>
      <c r="K56" s="40"/>
      <c r="L56" s="19">
        <v>19</v>
      </c>
      <c r="M56" s="128"/>
    </row>
    <row r="57" spans="2:13" ht="20.100000000000001" customHeight="1" x14ac:dyDescent="0.45">
      <c r="B57" s="18"/>
      <c r="C57" s="19">
        <v>20</v>
      </c>
      <c r="D57" s="145" t="s">
        <v>379</v>
      </c>
      <c r="E57" s="39"/>
      <c r="F57" s="19">
        <v>20</v>
      </c>
      <c r="G57" s="128"/>
      <c r="H57" s="18"/>
      <c r="I57" s="19">
        <v>20</v>
      </c>
      <c r="J57" s="128"/>
      <c r="K57" s="40"/>
      <c r="L57" s="19">
        <v>20</v>
      </c>
      <c r="M57" s="128"/>
    </row>
    <row r="58" spans="2:13" ht="20.100000000000001" customHeight="1" x14ac:dyDescent="0.45">
      <c r="B58" s="18"/>
      <c r="C58" s="19">
        <v>21</v>
      </c>
      <c r="D58" s="145" t="s">
        <v>325</v>
      </c>
      <c r="E58" s="39"/>
      <c r="F58" s="19">
        <v>21</v>
      </c>
      <c r="G58" s="128"/>
      <c r="H58" s="18"/>
      <c r="I58" s="19">
        <v>21</v>
      </c>
      <c r="J58" s="128"/>
      <c r="K58" s="40"/>
      <c r="L58" s="19">
        <v>21</v>
      </c>
      <c r="M58" s="128"/>
    </row>
    <row r="59" spans="2:13" ht="20.100000000000001" customHeight="1" x14ac:dyDescent="0.45">
      <c r="B59" s="18"/>
      <c r="C59" s="19">
        <v>23</v>
      </c>
      <c r="D59" s="145" t="s">
        <v>380</v>
      </c>
      <c r="E59" s="39"/>
      <c r="F59" s="19">
        <v>23</v>
      </c>
      <c r="G59" s="128"/>
      <c r="H59" s="18"/>
      <c r="I59" s="19">
        <v>23</v>
      </c>
      <c r="J59" s="128"/>
      <c r="K59" s="40"/>
      <c r="L59" s="19">
        <v>23</v>
      </c>
      <c r="M59" s="128"/>
    </row>
    <row r="60" spans="2:13" ht="20.100000000000001" customHeight="1" x14ac:dyDescent="0.45">
      <c r="B60" s="18"/>
      <c r="C60" s="19">
        <v>24</v>
      </c>
      <c r="D60" s="145" t="s">
        <v>328</v>
      </c>
      <c r="E60" s="39"/>
      <c r="F60" s="19">
        <v>24</v>
      </c>
      <c r="G60" s="128"/>
      <c r="H60" s="18"/>
      <c r="I60" s="19">
        <v>24</v>
      </c>
      <c r="J60" s="128"/>
      <c r="K60" s="40"/>
      <c r="L60" s="19">
        <v>24</v>
      </c>
      <c r="M60" s="128"/>
    </row>
    <row r="61" spans="2:13" ht="20.100000000000001" customHeight="1" x14ac:dyDescent="0.45">
      <c r="B61" s="18"/>
      <c r="C61" s="19">
        <v>26</v>
      </c>
      <c r="D61" s="145" t="s">
        <v>381</v>
      </c>
      <c r="E61" s="39"/>
      <c r="F61" s="19">
        <v>26</v>
      </c>
      <c r="G61" s="146"/>
      <c r="H61" s="18"/>
      <c r="I61" s="19">
        <v>26</v>
      </c>
      <c r="J61" s="146"/>
      <c r="K61" s="40"/>
      <c r="L61" s="19">
        <v>26</v>
      </c>
      <c r="M61" s="146"/>
    </row>
    <row r="62" spans="2:13" ht="20.100000000000001" customHeight="1" x14ac:dyDescent="0.45">
      <c r="B62" s="18"/>
      <c r="C62" s="19">
        <v>27</v>
      </c>
      <c r="D62" s="145" t="s">
        <v>331</v>
      </c>
      <c r="E62" s="39"/>
      <c r="F62" s="19">
        <v>27</v>
      </c>
      <c r="G62" s="146"/>
      <c r="H62" s="18"/>
      <c r="I62" s="19">
        <v>27</v>
      </c>
      <c r="J62" s="146"/>
      <c r="K62" s="40"/>
      <c r="L62" s="19">
        <v>27</v>
      </c>
      <c r="M62" s="146"/>
    </row>
    <row r="63" spans="2:13" ht="20.100000000000001" customHeight="1" x14ac:dyDescent="0.45">
      <c r="B63" s="18"/>
      <c r="C63" s="19">
        <v>28</v>
      </c>
      <c r="D63" s="145" t="s">
        <v>382</v>
      </c>
      <c r="E63" s="39"/>
      <c r="F63" s="19">
        <v>28</v>
      </c>
      <c r="G63" s="146"/>
      <c r="H63" s="18"/>
      <c r="I63" s="19">
        <v>28</v>
      </c>
      <c r="J63" s="146"/>
      <c r="K63" s="40"/>
      <c r="L63" s="19">
        <v>28</v>
      </c>
      <c r="M63" s="146"/>
    </row>
    <row r="64" spans="2:13" ht="20.100000000000001" customHeight="1" x14ac:dyDescent="0.45">
      <c r="B64" s="18"/>
      <c r="C64" s="19">
        <v>29</v>
      </c>
      <c r="D64" s="145" t="s">
        <v>333</v>
      </c>
      <c r="E64" s="39"/>
      <c r="F64" s="19">
        <v>29</v>
      </c>
      <c r="G64" s="146"/>
      <c r="H64" s="18"/>
      <c r="I64" s="19">
        <v>29</v>
      </c>
      <c r="J64" s="146"/>
      <c r="K64" s="40"/>
      <c r="L64" s="19">
        <v>29</v>
      </c>
      <c r="M64" s="146"/>
    </row>
    <row r="65" spans="2:22" ht="20.100000000000001" customHeight="1" x14ac:dyDescent="0.45">
      <c r="B65" s="18"/>
      <c r="C65" s="19">
        <v>31</v>
      </c>
      <c r="D65" s="145" t="s">
        <v>383</v>
      </c>
      <c r="E65" s="39"/>
      <c r="F65" s="19">
        <v>31</v>
      </c>
      <c r="G65" s="146"/>
      <c r="H65" s="18"/>
      <c r="I65" s="19">
        <v>31</v>
      </c>
      <c r="J65" s="146"/>
      <c r="K65" s="40"/>
      <c r="L65" s="19">
        <v>31</v>
      </c>
      <c r="M65" s="146"/>
    </row>
    <row r="66" spans="2:22" ht="20.100000000000001" customHeight="1" x14ac:dyDescent="0.45">
      <c r="B66" s="18"/>
      <c r="C66" s="19">
        <v>32</v>
      </c>
      <c r="D66" s="145" t="s">
        <v>336</v>
      </c>
      <c r="E66" s="39"/>
      <c r="F66" s="19">
        <v>32</v>
      </c>
      <c r="G66" s="146"/>
      <c r="H66" s="18"/>
      <c r="I66" s="19">
        <v>32</v>
      </c>
      <c r="J66" s="146"/>
      <c r="K66" s="40"/>
      <c r="L66" s="19">
        <v>32</v>
      </c>
      <c r="M66" s="146"/>
    </row>
    <row r="67" spans="2:22" ht="20.100000000000001" customHeight="1" thickBot="1" x14ac:dyDescent="0.5">
      <c r="B67" s="10"/>
      <c r="C67" s="19">
        <v>33</v>
      </c>
      <c r="D67" s="131" t="s">
        <v>398</v>
      </c>
      <c r="E67" s="39"/>
      <c r="F67" s="19">
        <v>33</v>
      </c>
      <c r="G67" s="129"/>
      <c r="H67" s="10"/>
      <c r="I67" s="19">
        <v>33</v>
      </c>
      <c r="J67" s="129"/>
      <c r="K67" s="40"/>
      <c r="L67" s="19">
        <v>33</v>
      </c>
      <c r="M67" s="129"/>
    </row>
    <row r="68" spans="2:22" ht="20.100000000000001" customHeight="1" thickTop="1" x14ac:dyDescent="0.45">
      <c r="B68" s="8"/>
      <c r="C68" s="41"/>
      <c r="E68" s="40"/>
      <c r="F68" s="41"/>
      <c r="G68" s="40"/>
      <c r="H68" s="40"/>
      <c r="I68" s="41"/>
      <c r="J68" s="40"/>
      <c r="K68" s="40"/>
      <c r="L68" s="41"/>
    </row>
    <row r="69" spans="2:22" ht="20.100000000000001" customHeight="1" x14ac:dyDescent="0.45">
      <c r="B69" s="8"/>
      <c r="C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 spans="2:22" ht="20.100000000000001" customHeight="1" x14ac:dyDescent="0.45">
      <c r="B70" s="8"/>
      <c r="C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2:22" ht="20.100000000000001" customHeight="1" x14ac:dyDescent="0.45">
      <c r="B71" s="8"/>
      <c r="C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V139"/>
  <sheetViews>
    <sheetView showGridLines="0" view="pageBreakPreview" topLeftCell="A3" zoomScaleNormal="100" zoomScaleSheetLayoutView="100" workbookViewId="0">
      <selection activeCell="N35" sqref="N3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AF22"/>
  <sheetViews>
    <sheetView showGridLines="0" view="pageBreakPreview" zoomScaleNormal="100" zoomScaleSheetLayoutView="100" workbookViewId="0">
      <selection activeCell="F48" sqref="F48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pageSetUpPr fitToPage="1"/>
  </sheetPr>
  <dimension ref="A1:Y7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5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5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5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5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5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5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5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5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5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5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5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5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5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5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5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5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5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5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5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5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5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5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5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5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5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5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5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8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19</v>
      </c>
      <c r="E39" s="8"/>
      <c r="F39" s="22" t="s">
        <v>12</v>
      </c>
      <c r="G39" s="25" t="s">
        <v>19</v>
      </c>
      <c r="H39" s="8"/>
      <c r="I39" s="22" t="s">
        <v>12</v>
      </c>
      <c r="J39" s="25" t="s">
        <v>19</v>
      </c>
      <c r="K39" s="40"/>
    </row>
    <row r="40" spans="1:25" ht="20.100000000000001" customHeight="1" x14ac:dyDescent="0.45">
      <c r="C40" s="19">
        <v>1</v>
      </c>
      <c r="D40" s="130" t="s">
        <v>301</v>
      </c>
      <c r="E40" s="8"/>
      <c r="F40" s="19">
        <v>1</v>
      </c>
      <c r="G40" s="130"/>
      <c r="H40" s="8"/>
      <c r="I40" s="19">
        <v>1</v>
      </c>
      <c r="J40" s="130"/>
    </row>
    <row r="41" spans="1:25" ht="20.100000000000001" customHeight="1" x14ac:dyDescent="0.45">
      <c r="C41" s="19">
        <v>2</v>
      </c>
      <c r="D41" s="130" t="s">
        <v>302</v>
      </c>
      <c r="E41" s="40"/>
      <c r="F41" s="19">
        <v>2</v>
      </c>
      <c r="G41" s="130"/>
      <c r="H41" s="8"/>
      <c r="I41" s="19">
        <v>2</v>
      </c>
      <c r="J41" s="130"/>
    </row>
    <row r="42" spans="1:25" ht="20.100000000000001" customHeight="1" x14ac:dyDescent="0.45">
      <c r="C42" s="19">
        <v>3</v>
      </c>
      <c r="D42" s="130" t="s">
        <v>303</v>
      </c>
      <c r="E42" s="40"/>
      <c r="F42" s="19">
        <v>3</v>
      </c>
      <c r="G42" s="130"/>
      <c r="H42" s="18"/>
      <c r="I42" s="19">
        <v>3</v>
      </c>
      <c r="J42" s="130"/>
    </row>
    <row r="43" spans="1:25" ht="20.100000000000001" customHeight="1" x14ac:dyDescent="0.45">
      <c r="C43" s="19">
        <v>4</v>
      </c>
      <c r="D43" s="130" t="s">
        <v>304</v>
      </c>
      <c r="E43" s="40"/>
      <c r="F43" s="19">
        <v>4</v>
      </c>
      <c r="G43" s="130"/>
      <c r="H43" s="18"/>
      <c r="I43" s="19">
        <v>4</v>
      </c>
      <c r="J43" s="130"/>
    </row>
    <row r="44" spans="1:25" ht="20.100000000000001" customHeight="1" x14ac:dyDescent="0.45">
      <c r="C44" s="19">
        <v>5</v>
      </c>
      <c r="D44" s="130" t="s">
        <v>305</v>
      </c>
      <c r="E44" s="40"/>
      <c r="F44" s="19">
        <v>5</v>
      </c>
      <c r="G44" s="130"/>
      <c r="H44" s="18"/>
      <c r="I44" s="19">
        <v>5</v>
      </c>
      <c r="J44" s="130"/>
    </row>
    <row r="45" spans="1:25" ht="20.100000000000001" customHeight="1" x14ac:dyDescent="0.45">
      <c r="C45" s="19">
        <v>6</v>
      </c>
      <c r="D45" s="130" t="s">
        <v>306</v>
      </c>
      <c r="E45" s="40"/>
      <c r="F45" s="19">
        <v>6</v>
      </c>
      <c r="G45" s="130"/>
      <c r="H45" s="18"/>
      <c r="I45" s="19">
        <v>6</v>
      </c>
      <c r="J45" s="130"/>
    </row>
    <row r="46" spans="1:25" ht="20.100000000000001" customHeight="1" x14ac:dyDescent="0.45">
      <c r="C46" s="19">
        <v>7</v>
      </c>
      <c r="D46" s="130" t="s">
        <v>308</v>
      </c>
      <c r="E46" s="40"/>
      <c r="F46" s="19">
        <v>7</v>
      </c>
      <c r="G46" s="130"/>
      <c r="H46" s="18"/>
      <c r="I46" s="19">
        <v>7</v>
      </c>
      <c r="J46" s="130"/>
    </row>
    <row r="47" spans="1:25" ht="20.100000000000001" customHeight="1" x14ac:dyDescent="0.45">
      <c r="C47" s="19">
        <v>8</v>
      </c>
      <c r="D47" s="130" t="s">
        <v>338</v>
      </c>
      <c r="E47" s="40"/>
      <c r="F47" s="19">
        <v>8</v>
      </c>
      <c r="G47" s="130"/>
      <c r="H47" s="18"/>
      <c r="I47" s="19">
        <v>8</v>
      </c>
      <c r="J47" s="130"/>
    </row>
    <row r="48" spans="1:25" ht="20.100000000000001" customHeight="1" x14ac:dyDescent="0.45">
      <c r="C48" s="19">
        <v>9</v>
      </c>
      <c r="D48" s="130" t="s">
        <v>318</v>
      </c>
      <c r="E48" s="40"/>
      <c r="F48" s="19">
        <v>9</v>
      </c>
      <c r="G48" s="130"/>
      <c r="H48" s="18"/>
      <c r="I48" s="19">
        <v>9</v>
      </c>
      <c r="J48" s="130"/>
    </row>
    <row r="49" spans="3:10" ht="20.100000000000001" customHeight="1" x14ac:dyDescent="0.45">
      <c r="C49" s="19">
        <v>10</v>
      </c>
      <c r="D49" s="130" t="s">
        <v>310</v>
      </c>
      <c r="E49" s="40"/>
      <c r="F49" s="19">
        <v>10</v>
      </c>
      <c r="G49" s="130"/>
      <c r="H49" s="18"/>
      <c r="I49" s="19">
        <v>10</v>
      </c>
      <c r="J49" s="130"/>
    </row>
    <row r="50" spans="3:10" ht="20.100000000000001" customHeight="1" x14ac:dyDescent="0.45">
      <c r="C50" s="19">
        <v>11</v>
      </c>
      <c r="D50" s="130" t="s">
        <v>314</v>
      </c>
      <c r="E50" s="40"/>
      <c r="F50" s="19">
        <v>11</v>
      </c>
      <c r="G50" s="130"/>
      <c r="H50" s="18"/>
      <c r="I50" s="19">
        <v>11</v>
      </c>
      <c r="J50" s="130"/>
    </row>
    <row r="51" spans="3:10" ht="20.100000000000001" customHeight="1" x14ac:dyDescent="0.45">
      <c r="C51" s="19">
        <v>12</v>
      </c>
      <c r="D51" s="130" t="s">
        <v>312</v>
      </c>
      <c r="E51" s="40"/>
      <c r="F51" s="19">
        <v>12</v>
      </c>
      <c r="G51" s="130"/>
      <c r="H51" s="18"/>
      <c r="I51" s="19">
        <v>12</v>
      </c>
      <c r="J51" s="130"/>
    </row>
    <row r="52" spans="3:10" ht="20.100000000000001" customHeight="1" x14ac:dyDescent="0.45">
      <c r="C52" s="19">
        <v>13</v>
      </c>
      <c r="D52" s="130" t="s">
        <v>316</v>
      </c>
      <c r="E52" s="40"/>
      <c r="F52" s="19">
        <v>13</v>
      </c>
      <c r="G52" s="130"/>
      <c r="H52" s="18"/>
      <c r="I52" s="19">
        <v>13</v>
      </c>
      <c r="J52" s="130"/>
    </row>
    <row r="53" spans="3:10" ht="20.100000000000001" customHeight="1" x14ac:dyDescent="0.45">
      <c r="C53" s="19">
        <v>14</v>
      </c>
      <c r="D53" s="130" t="s">
        <v>319</v>
      </c>
      <c r="E53" s="40"/>
      <c r="F53" s="19">
        <v>14</v>
      </c>
      <c r="G53" s="130"/>
      <c r="H53" s="18"/>
      <c r="I53" s="19">
        <v>14</v>
      </c>
      <c r="J53" s="130"/>
    </row>
    <row r="54" spans="3:10" ht="20.100000000000001" customHeight="1" x14ac:dyDescent="0.45">
      <c r="C54" s="19">
        <v>15</v>
      </c>
      <c r="D54" s="130" t="s">
        <v>321</v>
      </c>
      <c r="E54" s="40"/>
      <c r="F54" s="19">
        <v>15</v>
      </c>
      <c r="G54" s="130"/>
      <c r="H54" s="18"/>
      <c r="I54" s="19">
        <v>15</v>
      </c>
      <c r="J54" s="130"/>
    </row>
    <row r="55" spans="3:10" ht="20.100000000000001" customHeight="1" x14ac:dyDescent="0.45">
      <c r="C55" s="19">
        <v>16</v>
      </c>
      <c r="D55" s="130" t="s">
        <v>402</v>
      </c>
      <c r="E55" s="40"/>
      <c r="F55" s="19">
        <v>16</v>
      </c>
      <c r="G55" s="130"/>
      <c r="H55" s="18"/>
      <c r="I55" s="19">
        <v>16</v>
      </c>
      <c r="J55" s="130"/>
    </row>
    <row r="56" spans="3:10" ht="20.100000000000001" customHeight="1" x14ac:dyDescent="0.45">
      <c r="C56" s="19">
        <v>17</v>
      </c>
      <c r="D56" s="130" t="s">
        <v>378</v>
      </c>
      <c r="E56" s="40"/>
      <c r="F56" s="19">
        <v>17</v>
      </c>
      <c r="G56" s="130"/>
      <c r="H56" s="18"/>
      <c r="I56" s="19">
        <v>17</v>
      </c>
      <c r="J56" s="130"/>
    </row>
    <row r="57" spans="3:10" ht="20.100000000000001" customHeight="1" x14ac:dyDescent="0.45">
      <c r="C57" s="19">
        <v>18</v>
      </c>
      <c r="D57" s="130" t="s">
        <v>403</v>
      </c>
      <c r="E57" s="40"/>
      <c r="F57" s="19">
        <v>18</v>
      </c>
      <c r="G57" s="130"/>
      <c r="H57" s="18"/>
      <c r="I57" s="19">
        <v>18</v>
      </c>
      <c r="J57" s="130"/>
    </row>
    <row r="58" spans="3:10" ht="20.100000000000001" customHeight="1" x14ac:dyDescent="0.45">
      <c r="C58" s="19">
        <v>19</v>
      </c>
      <c r="D58" s="130" t="s">
        <v>324</v>
      </c>
      <c r="E58" s="40"/>
      <c r="F58" s="19">
        <v>19</v>
      </c>
      <c r="G58" s="130"/>
      <c r="H58" s="18"/>
      <c r="I58" s="19">
        <v>19</v>
      </c>
      <c r="J58" s="130"/>
    </row>
    <row r="59" spans="3:10" ht="20.100000000000001" customHeight="1" x14ac:dyDescent="0.45">
      <c r="C59" s="19">
        <v>20</v>
      </c>
      <c r="D59" s="145" t="s">
        <v>379</v>
      </c>
      <c r="E59" s="40"/>
      <c r="F59" s="19">
        <v>20</v>
      </c>
      <c r="G59" s="145"/>
      <c r="H59" s="18"/>
      <c r="I59" s="19">
        <v>20</v>
      </c>
      <c r="J59" s="145"/>
    </row>
    <row r="60" spans="3:10" ht="20.100000000000001" customHeight="1" x14ac:dyDescent="0.45">
      <c r="C60" s="19">
        <v>21</v>
      </c>
      <c r="D60" s="145" t="s">
        <v>325</v>
      </c>
      <c r="E60" s="40"/>
      <c r="F60" s="19">
        <v>21</v>
      </c>
      <c r="G60" s="145"/>
      <c r="H60" s="18"/>
      <c r="I60" s="19">
        <v>21</v>
      </c>
      <c r="J60" s="145"/>
    </row>
    <row r="61" spans="3:10" ht="20.100000000000001" customHeight="1" x14ac:dyDescent="0.45">
      <c r="C61" s="19">
        <v>22</v>
      </c>
      <c r="D61" s="145" t="s">
        <v>380</v>
      </c>
      <c r="E61" s="40"/>
      <c r="F61" s="19">
        <v>22</v>
      </c>
      <c r="G61" s="145"/>
      <c r="H61" s="18"/>
      <c r="I61" s="19">
        <v>22</v>
      </c>
      <c r="J61" s="145"/>
    </row>
    <row r="62" spans="3:10" ht="20.100000000000001" customHeight="1" x14ac:dyDescent="0.45">
      <c r="C62" s="19">
        <v>23</v>
      </c>
      <c r="D62" s="145" t="s">
        <v>328</v>
      </c>
      <c r="E62" s="40"/>
      <c r="F62" s="19">
        <v>23</v>
      </c>
      <c r="G62" s="145"/>
      <c r="H62" s="18"/>
      <c r="I62" s="19">
        <v>23</v>
      </c>
      <c r="J62" s="145"/>
    </row>
    <row r="63" spans="3:10" ht="20.100000000000001" customHeight="1" x14ac:dyDescent="0.45">
      <c r="C63" s="19">
        <v>24</v>
      </c>
      <c r="D63" s="145" t="s">
        <v>381</v>
      </c>
      <c r="E63" s="40"/>
      <c r="F63" s="19">
        <v>24</v>
      </c>
      <c r="G63" s="145"/>
      <c r="H63" s="18"/>
      <c r="I63" s="19">
        <v>24</v>
      </c>
      <c r="J63" s="145"/>
    </row>
    <row r="64" spans="3:10" ht="20.100000000000001" customHeight="1" x14ac:dyDescent="0.45">
      <c r="C64" s="19">
        <v>25</v>
      </c>
      <c r="D64" s="145" t="s">
        <v>331</v>
      </c>
      <c r="E64" s="40"/>
      <c r="F64" s="19">
        <v>25</v>
      </c>
      <c r="G64" s="145"/>
      <c r="H64" s="18"/>
      <c r="I64" s="19">
        <v>25</v>
      </c>
      <c r="J64" s="145"/>
    </row>
    <row r="65" spans="3:10" ht="20.100000000000001" customHeight="1" x14ac:dyDescent="0.45">
      <c r="C65" s="19">
        <v>26</v>
      </c>
      <c r="D65" s="145" t="s">
        <v>382</v>
      </c>
      <c r="E65" s="40"/>
      <c r="F65" s="19">
        <v>26</v>
      </c>
      <c r="G65" s="145"/>
      <c r="H65" s="18"/>
      <c r="I65" s="19">
        <v>26</v>
      </c>
      <c r="J65" s="145"/>
    </row>
    <row r="66" spans="3:10" ht="20.100000000000001" customHeight="1" x14ac:dyDescent="0.45">
      <c r="C66" s="19">
        <v>27</v>
      </c>
      <c r="D66" s="145" t="s">
        <v>333</v>
      </c>
      <c r="E66" s="40"/>
      <c r="F66" s="19">
        <v>27</v>
      </c>
      <c r="G66" s="145"/>
      <c r="H66" s="18"/>
      <c r="I66" s="19">
        <v>27</v>
      </c>
      <c r="J66" s="145"/>
    </row>
    <row r="67" spans="3:10" ht="20.100000000000001" customHeight="1" x14ac:dyDescent="0.45">
      <c r="C67" s="19">
        <v>28</v>
      </c>
      <c r="D67" s="145" t="s">
        <v>383</v>
      </c>
      <c r="E67" s="40"/>
      <c r="F67" s="19">
        <v>28</v>
      </c>
      <c r="G67" s="145"/>
      <c r="H67" s="18"/>
      <c r="I67" s="19">
        <v>28</v>
      </c>
      <c r="J67" s="145"/>
    </row>
    <row r="68" spans="3:10" ht="20.100000000000001" customHeight="1" x14ac:dyDescent="0.45">
      <c r="C68" s="19">
        <v>29</v>
      </c>
      <c r="D68" s="145" t="s">
        <v>336</v>
      </c>
      <c r="E68" s="40"/>
      <c r="F68" s="19">
        <v>29</v>
      </c>
      <c r="G68" s="145"/>
      <c r="H68" s="18"/>
      <c r="I68" s="19">
        <v>29</v>
      </c>
      <c r="J68" s="145"/>
    </row>
    <row r="69" spans="3:10" ht="20.100000000000001" customHeight="1" x14ac:dyDescent="0.45">
      <c r="C69" s="19">
        <v>30</v>
      </c>
      <c r="D69" s="145" t="s">
        <v>335</v>
      </c>
      <c r="E69" s="40"/>
      <c r="F69" s="19">
        <v>30</v>
      </c>
      <c r="G69" s="145"/>
      <c r="H69" s="18"/>
      <c r="I69" s="19">
        <v>30</v>
      </c>
      <c r="J69" s="145"/>
    </row>
    <row r="70" spans="3:10" ht="20.100000000000001" customHeight="1" x14ac:dyDescent="0.45">
      <c r="C70" s="19">
        <v>31</v>
      </c>
      <c r="D70" s="145" t="s">
        <v>398</v>
      </c>
      <c r="E70" s="40"/>
      <c r="F70" s="19">
        <v>31</v>
      </c>
      <c r="G70" s="145"/>
      <c r="H70" s="18"/>
      <c r="I70" s="19">
        <v>31</v>
      </c>
      <c r="J70" s="145"/>
    </row>
    <row r="71" spans="3:10" ht="20.100000000000001" customHeight="1" thickBot="1" x14ac:dyDescent="0.5">
      <c r="C71" s="27">
        <v>32</v>
      </c>
      <c r="D71" s="131" t="s">
        <v>401</v>
      </c>
      <c r="E71" s="40"/>
      <c r="F71" s="27">
        <v>32</v>
      </c>
      <c r="G71" s="131"/>
      <c r="H71" s="18"/>
      <c r="I71" s="27">
        <v>32</v>
      </c>
      <c r="J71" s="131"/>
    </row>
    <row r="72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5" max="25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KY9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6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1.19921875" style="7" bestFit="1" customWidth="1"/>
    <col min="30" max="31" width="3.59765625" style="7"/>
    <col min="32" max="33" width="5.796875" style="7" bestFit="1" customWidth="1"/>
    <col min="34" max="34" width="4.29687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49" width="4.296875" style="7" bestFit="1" customWidth="1"/>
    <col min="50" max="50" width="8.59765625" style="7" bestFit="1" customWidth="1"/>
    <col min="51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16.59765625" style="7" bestFit="1" customWidth="1"/>
    <col min="59" max="60" width="3.59765625" style="7"/>
    <col min="61" max="62" width="5.796875" style="7" bestFit="1" customWidth="1"/>
    <col min="63" max="63" width="4.296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20.5976562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354</v>
      </c>
      <c r="E10" s="100" t="s">
        <v>301</v>
      </c>
      <c r="F10" s="105" t="s">
        <v>38</v>
      </c>
      <c r="G10" s="105">
        <v>7</v>
      </c>
      <c r="H10" s="105"/>
      <c r="I10" s="42" t="s">
        <v>267</v>
      </c>
      <c r="J10" s="42"/>
      <c r="K10" s="42"/>
      <c r="L10" s="42"/>
      <c r="M10" s="42"/>
      <c r="N10" s="42"/>
      <c r="O10" s="105"/>
      <c r="P10" s="105"/>
      <c r="Q10" s="105" t="s">
        <v>49</v>
      </c>
      <c r="R10" s="105"/>
      <c r="S10" s="42" t="s">
        <v>267</v>
      </c>
      <c r="T10" s="42"/>
      <c r="U10" s="42"/>
      <c r="V10" s="42"/>
      <c r="W10" s="42"/>
      <c r="X10" s="42" t="s">
        <v>267</v>
      </c>
      <c r="Y10" s="42"/>
      <c r="Z10" s="100"/>
      <c r="AA10" s="100"/>
      <c r="AB10" s="118"/>
      <c r="AC10" s="120" t="str">
        <f>"TM製品_" &amp; E10</f>
        <v>TM製品_製品No</v>
      </c>
      <c r="AE10" s="19">
        <v>1</v>
      </c>
      <c r="AF10" s="96" t="s">
        <v>354</v>
      </c>
      <c r="AG10" s="100" t="s">
        <v>307</v>
      </c>
      <c r="AH10" s="105"/>
      <c r="AI10" s="105"/>
      <c r="AJ10" s="42"/>
      <c r="AK10" s="42"/>
      <c r="AL10" s="42"/>
      <c r="AM10" s="42"/>
      <c r="AN10" s="42"/>
      <c r="AO10" s="42"/>
      <c r="AP10" s="105"/>
      <c r="AQ10" s="105"/>
      <c r="AR10" s="42" t="s">
        <v>416</v>
      </c>
      <c r="AS10" s="105"/>
      <c r="AT10" s="105"/>
      <c r="AU10" s="105"/>
      <c r="AV10" s="105"/>
      <c r="AW10" s="105">
        <v>0</v>
      </c>
      <c r="AX10" s="105">
        <v>9999</v>
      </c>
      <c r="AY10" s="105"/>
      <c r="AZ10" s="42"/>
      <c r="BA10" s="42" t="s">
        <v>267</v>
      </c>
      <c r="BB10" s="42"/>
      <c r="BC10" s="100"/>
      <c r="BD10" s="100"/>
      <c r="BE10" s="118"/>
      <c r="BF10" s="120" t="s">
        <v>345</v>
      </c>
      <c r="BH10" s="19">
        <v>1</v>
      </c>
      <c r="BI10" s="96" t="s">
        <v>354</v>
      </c>
      <c r="BJ10" s="100" t="s">
        <v>343</v>
      </c>
      <c r="BK10" s="105"/>
      <c r="BL10" s="105"/>
      <c r="BM10" s="42"/>
      <c r="BN10" s="42"/>
      <c r="BO10" s="42"/>
      <c r="BP10" s="42"/>
      <c r="BQ10" s="42"/>
      <c r="BR10" s="105" t="s">
        <v>44</v>
      </c>
      <c r="BS10" s="105"/>
      <c r="BT10" s="105"/>
      <c r="BU10" s="42"/>
      <c r="BV10" s="42"/>
      <c r="BW10" s="42"/>
      <c r="BX10" s="100"/>
      <c r="BY10" s="100"/>
      <c r="BZ10" s="118"/>
      <c r="CA10" s="120" t="s">
        <v>415</v>
      </c>
      <c r="CC10" s="19">
        <v>1</v>
      </c>
      <c r="CD10" s="96" t="s">
        <v>413</v>
      </c>
      <c r="CE10" s="100" t="s">
        <v>414</v>
      </c>
      <c r="CF10" s="105" t="s">
        <v>38</v>
      </c>
      <c r="CG10" s="105"/>
      <c r="CH10" s="105" t="s">
        <v>57</v>
      </c>
      <c r="CI10" s="105" t="s">
        <v>45</v>
      </c>
      <c r="CJ10" s="42"/>
      <c r="CK10" s="42"/>
      <c r="CL10" s="42"/>
      <c r="CM10" s="42"/>
      <c r="CN10" s="42"/>
      <c r="CO10" s="42"/>
      <c r="CP10" s="42" t="s">
        <v>408</v>
      </c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 t="s">
        <v>51</v>
      </c>
      <c r="CZ10" s="120"/>
      <c r="DB10" s="19">
        <v>1</v>
      </c>
      <c r="DC10" s="96" t="s">
        <v>354</v>
      </c>
      <c r="DD10" s="100" t="s">
        <v>340</v>
      </c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 t="s">
        <v>346</v>
      </c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133" t="s">
        <v>355</v>
      </c>
      <c r="E11" s="100" t="s">
        <v>302</v>
      </c>
      <c r="F11" s="105" t="s">
        <v>38</v>
      </c>
      <c r="G11" s="105">
        <v>7</v>
      </c>
      <c r="H11" s="105"/>
      <c r="I11" s="42"/>
      <c r="J11" s="42"/>
      <c r="K11" s="42"/>
      <c r="L11" s="42"/>
      <c r="M11" s="42"/>
      <c r="N11" s="42"/>
      <c r="O11" s="105"/>
      <c r="P11" s="105"/>
      <c r="Q11" s="105"/>
      <c r="R11" s="105"/>
      <c r="S11" s="42"/>
      <c r="T11" s="42"/>
      <c r="U11" s="42"/>
      <c r="V11" s="42"/>
      <c r="W11" s="42"/>
      <c r="X11" s="42" t="s">
        <v>267</v>
      </c>
      <c r="Y11" s="42"/>
      <c r="Z11" s="100"/>
      <c r="AA11" s="100"/>
      <c r="AB11" s="118"/>
      <c r="AC11" s="120" t="str">
        <f t="shared" ref="AC11:AC35" si="0">"TM製品_" &amp; E11</f>
        <v>TM製品_仕様No</v>
      </c>
      <c r="AE11" s="19">
        <v>2</v>
      </c>
      <c r="AF11" s="133" t="s">
        <v>355</v>
      </c>
      <c r="AG11" s="100" t="s">
        <v>309</v>
      </c>
      <c r="AH11" s="105"/>
      <c r="AI11" s="105"/>
      <c r="AJ11" s="42"/>
      <c r="AK11" s="42"/>
      <c r="AL11" s="42"/>
      <c r="AM11" s="42"/>
      <c r="AN11" s="42"/>
      <c r="AO11" s="42"/>
      <c r="AP11" s="105"/>
      <c r="AQ11" s="105"/>
      <c r="AR11" s="42" t="s">
        <v>416</v>
      </c>
      <c r="AS11" s="105"/>
      <c r="AT11" s="105"/>
      <c r="AU11" s="105"/>
      <c r="AV11" s="105"/>
      <c r="AW11" s="105">
        <v>0</v>
      </c>
      <c r="AX11" s="105">
        <v>9999</v>
      </c>
      <c r="AY11" s="105"/>
      <c r="AZ11" s="42"/>
      <c r="BA11" s="42"/>
      <c r="BB11" s="42"/>
      <c r="BC11" s="100"/>
      <c r="BD11" s="100"/>
      <c r="BE11" s="118"/>
      <c r="BF11" s="120" t="s">
        <v>347</v>
      </c>
      <c r="BH11" s="19">
        <v>2</v>
      </c>
      <c r="BI11" s="133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133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/>
      <c r="CU11" s="42"/>
      <c r="CV11" s="42"/>
      <c r="CW11" s="100"/>
      <c r="CX11" s="100"/>
      <c r="CY11" s="118"/>
      <c r="CZ11" s="120"/>
      <c r="DB11" s="19">
        <v>2</v>
      </c>
      <c r="DC11" s="133"/>
      <c r="DD11" s="100"/>
      <c r="DE11" s="105"/>
      <c r="DF11" s="105"/>
      <c r="DG11" s="42"/>
      <c r="DH11" s="42"/>
      <c r="DI11" s="42"/>
      <c r="DJ11" s="42"/>
      <c r="DK11" s="42"/>
      <c r="DL11" s="105"/>
      <c r="DM11" s="42"/>
      <c r="DN11" s="42"/>
      <c r="DO11" s="42"/>
      <c r="DP11" s="100"/>
      <c r="DQ11" s="100"/>
      <c r="DR11" s="118"/>
      <c r="DS11" s="120"/>
      <c r="DU11" s="19">
        <v>2</v>
      </c>
      <c r="DV11" s="133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 s="147"/>
      <c r="EQ11" s="148"/>
      <c r="ER11" s="148"/>
      <c r="ES11" s="148"/>
      <c r="ET11" s="148"/>
      <c r="EU11" s="148"/>
      <c r="EV11" s="148"/>
      <c r="EW11" s="147"/>
      <c r="EX11" s="147"/>
      <c r="EY11" s="149"/>
      <c r="EZ11" s="147"/>
      <c r="FB11" s="147"/>
      <c r="FC11" s="148"/>
      <c r="FD11" s="148"/>
      <c r="FE11" s="148"/>
      <c r="FF11" s="148"/>
      <c r="FG11" s="148"/>
      <c r="FH11" s="147"/>
      <c r="FI11" s="147"/>
      <c r="FJ11" s="149"/>
      <c r="FK11" s="147"/>
      <c r="FM11" s="147"/>
      <c r="FN11" s="148"/>
      <c r="FO11" s="148"/>
      <c r="FP11" s="148"/>
      <c r="FQ11" s="148"/>
      <c r="FR11" s="148"/>
      <c r="FS11" s="148"/>
      <c r="FT11" s="148"/>
      <c r="FU11" s="148"/>
      <c r="FV11" s="148"/>
      <c r="FW11" s="148"/>
      <c r="FX11" s="148"/>
      <c r="FY11" s="148"/>
      <c r="FZ11" s="148"/>
      <c r="GA11" s="148"/>
      <c r="GB11" s="148"/>
      <c r="GC11" s="148"/>
      <c r="GD11" s="148"/>
      <c r="GE11" s="147"/>
      <c r="GF11" s="147"/>
      <c r="GG11" s="149"/>
      <c r="GH11" s="147"/>
      <c r="GJ11" s="147"/>
      <c r="GK11" s="148"/>
      <c r="GL11" s="148"/>
      <c r="GM11" s="148"/>
      <c r="GN11" s="148"/>
      <c r="GO11" s="148"/>
      <c r="GP11" s="148"/>
      <c r="GQ11" s="148"/>
      <c r="GR11" s="148"/>
      <c r="GS11" s="148"/>
      <c r="GT11" s="148"/>
      <c r="GU11" s="148"/>
      <c r="GV11" s="148"/>
      <c r="GW11" s="148"/>
      <c r="GX11" s="148"/>
      <c r="GY11" s="148"/>
      <c r="GZ11" s="148"/>
      <c r="HA11" s="148"/>
      <c r="HB11" s="148"/>
      <c r="HC11" s="147"/>
      <c r="HD11" s="147"/>
      <c r="HE11" s="149"/>
      <c r="HF11" s="147"/>
      <c r="HH11" s="147"/>
      <c r="HI11" s="148"/>
      <c r="HJ11" s="148"/>
      <c r="HK11" s="148"/>
      <c r="HL11" s="148"/>
      <c r="HM11" s="148"/>
      <c r="HN11" s="148"/>
      <c r="HO11" s="148"/>
      <c r="HP11" s="148"/>
      <c r="HQ11" s="148"/>
      <c r="HR11" s="148"/>
      <c r="HS11" s="148"/>
      <c r="HT11" s="148"/>
      <c r="HU11" s="148"/>
      <c r="HV11" s="148"/>
      <c r="HW11" s="148"/>
      <c r="HX11" s="148"/>
      <c r="HY11" s="148"/>
      <c r="HZ11" s="148"/>
      <c r="IA11" s="147"/>
      <c r="IB11" s="147"/>
      <c r="IC11" s="149"/>
      <c r="ID11" s="147"/>
      <c r="IF11" s="147"/>
      <c r="IG11" s="148"/>
      <c r="IH11" s="148"/>
      <c r="II11" s="148"/>
      <c r="IJ11" s="148"/>
      <c r="IK11" s="148"/>
      <c r="IL11" s="148"/>
      <c r="IM11" s="148"/>
      <c r="IN11" s="148"/>
      <c r="IO11" s="148"/>
      <c r="IP11" s="148"/>
      <c r="IQ11" s="148"/>
      <c r="IR11" s="148"/>
      <c r="IS11" s="148"/>
      <c r="IT11" s="148"/>
      <c r="IU11" s="148"/>
      <c r="IV11" s="148"/>
      <c r="IW11" s="147"/>
      <c r="IX11" s="147"/>
      <c r="IY11" s="149"/>
      <c r="IZ11" s="147"/>
      <c r="JB11" s="147"/>
      <c r="JC11" s="148"/>
      <c r="JD11" s="148"/>
      <c r="JE11" s="148"/>
      <c r="JF11" s="148"/>
      <c r="JG11" s="148"/>
      <c r="JH11" s="148"/>
      <c r="JI11" s="148"/>
      <c r="JJ11" s="148"/>
      <c r="JK11" s="148"/>
      <c r="JL11" s="148"/>
      <c r="JM11" s="148"/>
      <c r="JN11" s="148"/>
      <c r="JO11" s="148"/>
      <c r="JP11" s="148"/>
      <c r="JQ11" s="148"/>
      <c r="JR11" s="148"/>
      <c r="JS11" s="147"/>
      <c r="JT11" s="147"/>
      <c r="JU11" s="149"/>
      <c r="JV11" s="147"/>
      <c r="JX11" s="147"/>
      <c r="JY11" s="148"/>
      <c r="JZ11" s="148"/>
      <c r="KA11" s="148"/>
      <c r="KB11" s="148"/>
      <c r="KC11" s="148"/>
      <c r="KD11" s="148"/>
      <c r="KE11" s="148"/>
      <c r="KF11" s="148"/>
      <c r="KG11" s="148"/>
      <c r="KH11" s="148"/>
      <c r="KI11" s="148"/>
      <c r="KJ11" s="147"/>
      <c r="KK11" s="147"/>
      <c r="KL11" s="149"/>
      <c r="KM11" s="147"/>
      <c r="KO11" s="147"/>
      <c r="KP11" s="148"/>
      <c r="KQ11" s="148"/>
      <c r="KR11" s="148"/>
      <c r="KS11" s="148"/>
      <c r="KT11" s="148"/>
      <c r="KU11" s="148"/>
      <c r="KV11" s="148"/>
      <c r="KW11" s="148"/>
      <c r="KX11" s="149"/>
      <c r="KY11" s="147"/>
    </row>
    <row r="12" spans="1:311" ht="20.100000000000001" customHeight="1" x14ac:dyDescent="0.45">
      <c r="A12" s="8"/>
      <c r="B12" s="8"/>
      <c r="C12" s="19">
        <v>3</v>
      </c>
      <c r="D12" s="133" t="s">
        <v>356</v>
      </c>
      <c r="E12" s="132" t="s">
        <v>303</v>
      </c>
      <c r="F12" s="105" t="s">
        <v>38</v>
      </c>
      <c r="G12" s="105">
        <v>40</v>
      </c>
      <c r="H12" s="105" t="s">
        <v>48</v>
      </c>
      <c r="I12" s="42" t="s">
        <v>267</v>
      </c>
      <c r="J12" s="42"/>
      <c r="K12" s="42"/>
      <c r="L12" s="42"/>
      <c r="M12" s="42"/>
      <c r="N12" s="42"/>
      <c r="O12" s="105"/>
      <c r="P12" s="105"/>
      <c r="Q12" s="105"/>
      <c r="R12" s="105"/>
      <c r="S12" s="42"/>
      <c r="T12" s="42"/>
      <c r="U12" s="42"/>
      <c r="V12" s="42"/>
      <c r="W12" s="42"/>
      <c r="X12" s="42" t="s">
        <v>267</v>
      </c>
      <c r="Y12" s="42"/>
      <c r="Z12" s="100"/>
      <c r="AA12" s="100"/>
      <c r="AB12" s="118"/>
      <c r="AC12" s="120" t="str">
        <f t="shared" si="0"/>
        <v>TM製品_漢字名称</v>
      </c>
      <c r="AE12" s="19">
        <v>3</v>
      </c>
      <c r="AF12" s="133" t="s">
        <v>356</v>
      </c>
      <c r="AG12" s="100" t="s">
        <v>311</v>
      </c>
      <c r="AH12" s="105"/>
      <c r="AI12" s="105"/>
      <c r="AJ12" s="42"/>
      <c r="AK12" s="42"/>
      <c r="AL12" s="42"/>
      <c r="AM12" s="42"/>
      <c r="AN12" s="42"/>
      <c r="AO12" s="42"/>
      <c r="AP12" s="105"/>
      <c r="AQ12" s="105"/>
      <c r="AR12" s="42" t="s">
        <v>416</v>
      </c>
      <c r="AS12" s="105"/>
      <c r="AT12" s="105"/>
      <c r="AU12" s="105"/>
      <c r="AV12" s="105"/>
      <c r="AW12" s="105">
        <v>0</v>
      </c>
      <c r="AX12" s="105">
        <v>9999</v>
      </c>
      <c r="AY12" s="105"/>
      <c r="AZ12" s="42"/>
      <c r="BA12" s="42"/>
      <c r="BB12" s="42"/>
      <c r="BC12" s="100"/>
      <c r="BD12" s="100"/>
      <c r="BE12" s="118"/>
      <c r="BF12" s="120" t="s">
        <v>348</v>
      </c>
      <c r="BH12" s="19">
        <v>3</v>
      </c>
      <c r="BI12" s="133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133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/>
      <c r="CU12" s="42"/>
      <c r="CV12" s="42"/>
      <c r="CW12" s="100"/>
      <c r="CX12" s="100"/>
      <c r="CY12" s="118"/>
      <c r="CZ12" s="120"/>
      <c r="DB12" s="19">
        <v>3</v>
      </c>
      <c r="DC12" s="133"/>
      <c r="DD12" s="100"/>
      <c r="DE12" s="105"/>
      <c r="DF12" s="105"/>
      <c r="DG12" s="42"/>
      <c r="DH12" s="42"/>
      <c r="DI12" s="42"/>
      <c r="DJ12" s="42"/>
      <c r="DK12" s="42"/>
      <c r="DL12" s="105"/>
      <c r="DM12" s="42"/>
      <c r="DN12" s="42"/>
      <c r="DO12" s="42"/>
      <c r="DP12" s="100"/>
      <c r="DQ12" s="100"/>
      <c r="DR12" s="118"/>
      <c r="DS12" s="120"/>
      <c r="DU12" s="19">
        <v>3</v>
      </c>
      <c r="DV12" s="133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 s="147"/>
      <c r="EQ12" s="148"/>
      <c r="ER12" s="148"/>
      <c r="ES12" s="148"/>
      <c r="ET12" s="148"/>
      <c r="EU12" s="148"/>
      <c r="EV12" s="148"/>
      <c r="EW12" s="147"/>
      <c r="EX12" s="147"/>
      <c r="EY12" s="149"/>
      <c r="EZ12" s="147"/>
      <c r="FB12" s="147"/>
      <c r="FC12" s="148"/>
      <c r="FD12" s="148"/>
      <c r="FE12" s="148"/>
      <c r="FF12" s="148"/>
      <c r="FG12" s="148"/>
      <c r="FH12" s="147"/>
      <c r="FI12" s="147"/>
      <c r="FJ12" s="149"/>
      <c r="FK12" s="147"/>
      <c r="FM12" s="147"/>
      <c r="FN12" s="148"/>
      <c r="FO12" s="148"/>
      <c r="FP12" s="148"/>
      <c r="FQ12" s="148"/>
      <c r="FR12" s="148"/>
      <c r="FS12" s="148"/>
      <c r="FT12" s="148"/>
      <c r="FU12" s="148"/>
      <c r="FV12" s="148"/>
      <c r="FW12" s="148"/>
      <c r="FX12" s="148"/>
      <c r="FY12" s="148"/>
      <c r="FZ12" s="148"/>
      <c r="GA12" s="148"/>
      <c r="GB12" s="148"/>
      <c r="GC12" s="148"/>
      <c r="GD12" s="148"/>
      <c r="GE12" s="147"/>
      <c r="GF12" s="147"/>
      <c r="GG12" s="149"/>
      <c r="GH12" s="147"/>
      <c r="GJ12" s="147"/>
      <c r="GK12" s="148"/>
      <c r="GL12" s="148"/>
      <c r="GM12" s="148"/>
      <c r="GN12" s="148"/>
      <c r="GO12" s="148"/>
      <c r="GP12" s="148"/>
      <c r="GQ12" s="148"/>
      <c r="GR12" s="148"/>
      <c r="GS12" s="148"/>
      <c r="GT12" s="148"/>
      <c r="GU12" s="148"/>
      <c r="GV12" s="148"/>
      <c r="GW12" s="148"/>
      <c r="GX12" s="148"/>
      <c r="GY12" s="148"/>
      <c r="GZ12" s="148"/>
      <c r="HA12" s="148"/>
      <c r="HB12" s="148"/>
      <c r="HC12" s="147"/>
      <c r="HD12" s="147"/>
      <c r="HE12" s="149"/>
      <c r="HF12" s="147"/>
      <c r="HH12" s="147"/>
      <c r="HI12" s="148"/>
      <c r="HJ12" s="148"/>
      <c r="HK12" s="148"/>
      <c r="HL12" s="148"/>
      <c r="HM12" s="148"/>
      <c r="HN12" s="148"/>
      <c r="HO12" s="148"/>
      <c r="HP12" s="148"/>
      <c r="HQ12" s="148"/>
      <c r="HR12" s="148"/>
      <c r="HS12" s="148"/>
      <c r="HT12" s="148"/>
      <c r="HU12" s="148"/>
      <c r="HV12" s="148"/>
      <c r="HW12" s="148"/>
      <c r="HX12" s="148"/>
      <c r="HY12" s="148"/>
      <c r="HZ12" s="148"/>
      <c r="IA12" s="147"/>
      <c r="IB12" s="147"/>
      <c r="IC12" s="149"/>
      <c r="ID12" s="147"/>
      <c r="IF12" s="147"/>
      <c r="IG12" s="148"/>
      <c r="IH12" s="148"/>
      <c r="II12" s="148"/>
      <c r="IJ12" s="148"/>
      <c r="IK12" s="148"/>
      <c r="IL12" s="148"/>
      <c r="IM12" s="148"/>
      <c r="IN12" s="148"/>
      <c r="IO12" s="148"/>
      <c r="IP12" s="148"/>
      <c r="IQ12" s="148"/>
      <c r="IR12" s="148"/>
      <c r="IS12" s="148"/>
      <c r="IT12" s="148"/>
      <c r="IU12" s="148"/>
      <c r="IV12" s="148"/>
      <c r="IW12" s="147"/>
      <c r="IX12" s="147"/>
      <c r="IY12" s="149"/>
      <c r="IZ12" s="147"/>
      <c r="JB12" s="147"/>
      <c r="JC12" s="148"/>
      <c r="JD12" s="148"/>
      <c r="JE12" s="148"/>
      <c r="JF12" s="148"/>
      <c r="JG12" s="148"/>
      <c r="JH12" s="148"/>
      <c r="JI12" s="148"/>
      <c r="JJ12" s="148"/>
      <c r="JK12" s="148"/>
      <c r="JL12" s="148"/>
      <c r="JM12" s="148"/>
      <c r="JN12" s="148"/>
      <c r="JO12" s="148"/>
      <c r="JP12" s="148"/>
      <c r="JQ12" s="148"/>
      <c r="JR12" s="148"/>
      <c r="JS12" s="147"/>
      <c r="JT12" s="147"/>
      <c r="JU12" s="149"/>
      <c r="JV12" s="147"/>
      <c r="JX12" s="147"/>
      <c r="JY12" s="148"/>
      <c r="JZ12" s="148"/>
      <c r="KA12" s="148"/>
      <c r="KB12" s="148"/>
      <c r="KC12" s="148"/>
      <c r="KD12" s="148"/>
      <c r="KE12" s="148"/>
      <c r="KF12" s="148"/>
      <c r="KG12" s="148"/>
      <c r="KH12" s="148"/>
      <c r="KI12" s="148"/>
      <c r="KJ12" s="147"/>
      <c r="KK12" s="147"/>
      <c r="KL12" s="149"/>
      <c r="KM12" s="147"/>
      <c r="KO12" s="147"/>
      <c r="KP12" s="148"/>
      <c r="KQ12" s="148"/>
      <c r="KR12" s="148"/>
      <c r="KS12" s="148"/>
      <c r="KT12" s="148"/>
      <c r="KU12" s="148"/>
      <c r="KV12" s="148"/>
      <c r="KW12" s="148"/>
      <c r="KX12" s="149"/>
      <c r="KY12" s="147"/>
    </row>
    <row r="13" spans="1:311" ht="20.100000000000001" customHeight="1" x14ac:dyDescent="0.45">
      <c r="A13" s="8"/>
      <c r="B13" s="8"/>
      <c r="C13" s="19">
        <v>4</v>
      </c>
      <c r="D13" s="133" t="s">
        <v>357</v>
      </c>
      <c r="E13" s="132" t="s">
        <v>304</v>
      </c>
      <c r="F13" s="105" t="s">
        <v>38</v>
      </c>
      <c r="G13" s="105">
        <v>40</v>
      </c>
      <c r="H13" s="105" t="s">
        <v>48</v>
      </c>
      <c r="I13" s="42"/>
      <c r="J13" s="42"/>
      <c r="K13" s="42"/>
      <c r="L13" s="42"/>
      <c r="M13" s="42"/>
      <c r="N13" s="42"/>
      <c r="O13" s="105"/>
      <c r="P13" s="105"/>
      <c r="Q13" s="105"/>
      <c r="R13" s="105"/>
      <c r="S13" s="42"/>
      <c r="T13" s="42"/>
      <c r="U13" s="42"/>
      <c r="V13" s="42"/>
      <c r="W13" s="42"/>
      <c r="X13" s="42" t="s">
        <v>267</v>
      </c>
      <c r="Y13" s="42"/>
      <c r="Z13" s="100"/>
      <c r="AA13" s="100"/>
      <c r="AB13" s="118"/>
      <c r="AC13" s="120" t="str">
        <f t="shared" si="0"/>
        <v>TM製品_カナ名称</v>
      </c>
      <c r="AE13" s="19">
        <v>4</v>
      </c>
      <c r="AF13" s="133" t="s">
        <v>357</v>
      </c>
      <c r="AG13" s="100" t="s">
        <v>338</v>
      </c>
      <c r="AH13" s="105"/>
      <c r="AI13" s="105"/>
      <c r="AJ13" s="42"/>
      <c r="AK13" s="42"/>
      <c r="AL13" s="42"/>
      <c r="AM13" s="42"/>
      <c r="AN13" s="42"/>
      <c r="AO13" s="42"/>
      <c r="AP13" s="105"/>
      <c r="AQ13" s="105"/>
      <c r="AR13" s="42" t="s">
        <v>416</v>
      </c>
      <c r="AS13" s="105"/>
      <c r="AT13" s="105"/>
      <c r="AU13" s="105"/>
      <c r="AV13" s="105"/>
      <c r="AW13" s="105">
        <v>0</v>
      </c>
      <c r="AX13" s="105">
        <v>9999</v>
      </c>
      <c r="AY13" s="105"/>
      <c r="AZ13" s="42"/>
      <c r="BA13" s="42" t="s">
        <v>267</v>
      </c>
      <c r="BB13" s="42"/>
      <c r="BC13" s="100"/>
      <c r="BD13" s="100"/>
      <c r="BE13" s="118"/>
      <c r="BF13" s="120" t="s">
        <v>349</v>
      </c>
      <c r="BH13" s="19">
        <v>4</v>
      </c>
      <c r="BI13" s="133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133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/>
      <c r="CU13" s="42"/>
      <c r="CV13" s="42"/>
      <c r="CW13" s="100"/>
      <c r="CX13" s="100"/>
      <c r="CY13" s="118"/>
      <c r="CZ13" s="120"/>
      <c r="DB13" s="19">
        <v>4</v>
      </c>
      <c r="DC13" s="133"/>
      <c r="DD13" s="100"/>
      <c r="DE13" s="105"/>
      <c r="DF13" s="105"/>
      <c r="DG13" s="42"/>
      <c r="DH13" s="42"/>
      <c r="DI13" s="42"/>
      <c r="DJ13" s="42"/>
      <c r="DK13" s="42"/>
      <c r="DL13" s="105"/>
      <c r="DM13" s="42"/>
      <c r="DN13" s="42"/>
      <c r="DO13" s="42"/>
      <c r="DP13" s="100"/>
      <c r="DQ13" s="100"/>
      <c r="DR13" s="118"/>
      <c r="DS13" s="120"/>
      <c r="DU13" s="19">
        <v>4</v>
      </c>
      <c r="DV13" s="133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 s="147"/>
      <c r="EQ13" s="148"/>
      <c r="ER13" s="148"/>
      <c r="ES13" s="148"/>
      <c r="ET13" s="148"/>
      <c r="EU13" s="148"/>
      <c r="EV13" s="148"/>
      <c r="EW13" s="147"/>
      <c r="EX13" s="147"/>
      <c r="EY13" s="149"/>
      <c r="EZ13" s="147"/>
      <c r="FB13" s="147"/>
      <c r="FC13" s="148"/>
      <c r="FD13" s="148"/>
      <c r="FE13" s="148"/>
      <c r="FF13" s="148"/>
      <c r="FG13" s="148"/>
      <c r="FH13" s="147"/>
      <c r="FI13" s="147"/>
      <c r="FJ13" s="149"/>
      <c r="FK13" s="147"/>
      <c r="FM13" s="147"/>
      <c r="FN13" s="148"/>
      <c r="FO13" s="148"/>
      <c r="FP13" s="148"/>
      <c r="FQ13" s="148"/>
      <c r="FR13" s="148"/>
      <c r="FS13" s="148"/>
      <c r="FT13" s="148"/>
      <c r="FU13" s="148"/>
      <c r="FV13" s="148"/>
      <c r="FW13" s="148"/>
      <c r="FX13" s="148"/>
      <c r="FY13" s="148"/>
      <c r="FZ13" s="148"/>
      <c r="GA13" s="148"/>
      <c r="GB13" s="148"/>
      <c r="GC13" s="148"/>
      <c r="GD13" s="148"/>
      <c r="GE13" s="147"/>
      <c r="GF13" s="147"/>
      <c r="GG13" s="149"/>
      <c r="GH13" s="147"/>
      <c r="GJ13" s="147"/>
      <c r="GK13" s="148"/>
      <c r="GL13" s="148"/>
      <c r="GM13" s="148"/>
      <c r="GN13" s="148"/>
      <c r="GO13" s="148"/>
      <c r="GP13" s="148"/>
      <c r="GQ13" s="148"/>
      <c r="GR13" s="148"/>
      <c r="GS13" s="148"/>
      <c r="GT13" s="148"/>
      <c r="GU13" s="148"/>
      <c r="GV13" s="148"/>
      <c r="GW13" s="148"/>
      <c r="GX13" s="148"/>
      <c r="GY13" s="148"/>
      <c r="GZ13" s="148"/>
      <c r="HA13" s="148"/>
      <c r="HB13" s="148"/>
      <c r="HC13" s="147"/>
      <c r="HD13" s="147"/>
      <c r="HE13" s="149"/>
      <c r="HF13" s="147"/>
      <c r="HH13" s="147"/>
      <c r="HI13" s="148"/>
      <c r="HJ13" s="148"/>
      <c r="HK13" s="148"/>
      <c r="HL13" s="148"/>
      <c r="HM13" s="148"/>
      <c r="HN13" s="148"/>
      <c r="HO13" s="148"/>
      <c r="HP13" s="148"/>
      <c r="HQ13" s="148"/>
      <c r="HR13" s="148"/>
      <c r="HS13" s="148"/>
      <c r="HT13" s="148"/>
      <c r="HU13" s="148"/>
      <c r="HV13" s="148"/>
      <c r="HW13" s="148"/>
      <c r="HX13" s="148"/>
      <c r="HY13" s="148"/>
      <c r="HZ13" s="148"/>
      <c r="IA13" s="147"/>
      <c r="IB13" s="147"/>
      <c r="IC13" s="149"/>
      <c r="ID13" s="147"/>
      <c r="IF13" s="147"/>
      <c r="IG13" s="148"/>
      <c r="IH13" s="148"/>
      <c r="II13" s="148"/>
      <c r="IJ13" s="148"/>
      <c r="IK13" s="148"/>
      <c r="IL13" s="148"/>
      <c r="IM13" s="148"/>
      <c r="IN13" s="148"/>
      <c r="IO13" s="148"/>
      <c r="IP13" s="148"/>
      <c r="IQ13" s="148"/>
      <c r="IR13" s="148"/>
      <c r="IS13" s="148"/>
      <c r="IT13" s="148"/>
      <c r="IU13" s="148"/>
      <c r="IV13" s="148"/>
      <c r="IW13" s="147"/>
      <c r="IX13" s="147"/>
      <c r="IY13" s="149"/>
      <c r="IZ13" s="147"/>
      <c r="JB13" s="147"/>
      <c r="JC13" s="148"/>
      <c r="JD13" s="148"/>
      <c r="JE13" s="148"/>
      <c r="JF13" s="148"/>
      <c r="JG13" s="148"/>
      <c r="JH13" s="148"/>
      <c r="JI13" s="148"/>
      <c r="JJ13" s="148"/>
      <c r="JK13" s="148"/>
      <c r="JL13" s="148"/>
      <c r="JM13" s="148"/>
      <c r="JN13" s="148"/>
      <c r="JO13" s="148"/>
      <c r="JP13" s="148"/>
      <c r="JQ13" s="148"/>
      <c r="JR13" s="148"/>
      <c r="JS13" s="147"/>
      <c r="JT13" s="147"/>
      <c r="JU13" s="149"/>
      <c r="JV13" s="147"/>
      <c r="JX13" s="147"/>
      <c r="JY13" s="148"/>
      <c r="JZ13" s="148"/>
      <c r="KA13" s="148"/>
      <c r="KB13" s="148"/>
      <c r="KC13" s="148"/>
      <c r="KD13" s="148"/>
      <c r="KE13" s="148"/>
      <c r="KF13" s="148"/>
      <c r="KG13" s="148"/>
      <c r="KH13" s="148"/>
      <c r="KI13" s="148"/>
      <c r="KJ13" s="147"/>
      <c r="KK13" s="147"/>
      <c r="KL13" s="149"/>
      <c r="KM13" s="147"/>
      <c r="KO13" s="147"/>
      <c r="KP13" s="148"/>
      <c r="KQ13" s="148"/>
      <c r="KR13" s="148"/>
      <c r="KS13" s="148"/>
      <c r="KT13" s="148"/>
      <c r="KU13" s="148"/>
      <c r="KV13" s="148"/>
      <c r="KW13" s="148"/>
      <c r="KX13" s="149"/>
      <c r="KY13" s="147"/>
    </row>
    <row r="14" spans="1:311" ht="20.100000000000001" customHeight="1" x14ac:dyDescent="0.45">
      <c r="A14" s="8"/>
      <c r="B14" s="8"/>
      <c r="C14" s="19">
        <v>5</v>
      </c>
      <c r="D14" s="133" t="s">
        <v>358</v>
      </c>
      <c r="E14" s="132" t="s">
        <v>305</v>
      </c>
      <c r="F14" s="105" t="s">
        <v>38</v>
      </c>
      <c r="G14" s="105">
        <v>7</v>
      </c>
      <c r="H14" s="105"/>
      <c r="I14" s="42"/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 t="s">
        <v>267</v>
      </c>
      <c r="Y14" s="42"/>
      <c r="Z14" s="100"/>
      <c r="AA14" s="100"/>
      <c r="AB14" s="118"/>
      <c r="AC14" s="120" t="str">
        <f t="shared" si="0"/>
        <v>TM製品_ベース色</v>
      </c>
      <c r="AE14" s="19">
        <v>5</v>
      </c>
      <c r="AF14" s="133" t="s">
        <v>358</v>
      </c>
      <c r="AG14" s="100" t="s">
        <v>313</v>
      </c>
      <c r="AH14" s="105"/>
      <c r="AI14" s="105"/>
      <c r="AJ14" s="42"/>
      <c r="AK14" s="42"/>
      <c r="AL14" s="42"/>
      <c r="AM14" s="42"/>
      <c r="AN14" s="42"/>
      <c r="AO14" s="42"/>
      <c r="AP14" s="105"/>
      <c r="AQ14" s="105"/>
      <c r="AR14" s="42" t="s">
        <v>416</v>
      </c>
      <c r="AS14" s="105"/>
      <c r="AT14" s="105"/>
      <c r="AU14" s="105"/>
      <c r="AV14" s="105"/>
      <c r="AW14" s="105">
        <v>0</v>
      </c>
      <c r="AX14" s="105">
        <v>9999</v>
      </c>
      <c r="AY14" s="105"/>
      <c r="AZ14" s="42"/>
      <c r="BA14" s="42"/>
      <c r="BB14" s="42"/>
      <c r="BC14" s="100"/>
      <c r="BD14" s="100"/>
      <c r="BE14" s="118"/>
      <c r="BF14" s="120" t="s">
        <v>350</v>
      </c>
      <c r="BH14" s="19">
        <v>5</v>
      </c>
      <c r="BI14" s="133"/>
      <c r="BJ14" s="100"/>
      <c r="BK14" s="105"/>
      <c r="BL14" s="105"/>
      <c r="BM14" s="42"/>
      <c r="BN14" s="42"/>
      <c r="BO14" s="42"/>
      <c r="BP14" s="42"/>
      <c r="BQ14" s="42"/>
      <c r="BR14" s="105"/>
      <c r="BS14" s="105"/>
      <c r="BT14" s="105"/>
      <c r="BU14" s="42"/>
      <c r="BV14" s="42"/>
      <c r="BW14" s="42"/>
      <c r="BX14" s="100"/>
      <c r="BY14" s="100"/>
      <c r="BZ14" s="118"/>
      <c r="CA14" s="120"/>
      <c r="CC14" s="19">
        <v>5</v>
      </c>
      <c r="CD14" s="133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/>
      <c r="CU14" s="42"/>
      <c r="CV14" s="42"/>
      <c r="CW14" s="100"/>
      <c r="CX14" s="100"/>
      <c r="CY14" s="118"/>
      <c r="CZ14" s="120"/>
      <c r="DB14" s="19">
        <v>5</v>
      </c>
      <c r="DC14" s="133"/>
      <c r="DD14" s="100"/>
      <c r="DE14" s="105"/>
      <c r="DF14" s="105"/>
      <c r="DG14" s="42"/>
      <c r="DH14" s="42"/>
      <c r="DI14" s="42"/>
      <c r="DJ14" s="42"/>
      <c r="DK14" s="42"/>
      <c r="DL14" s="105"/>
      <c r="DM14" s="42"/>
      <c r="DN14" s="42"/>
      <c r="DO14" s="42"/>
      <c r="DP14" s="100"/>
      <c r="DQ14" s="100"/>
      <c r="DR14" s="118"/>
      <c r="DS14" s="120"/>
      <c r="DU14" s="19">
        <v>5</v>
      </c>
      <c r="DV14" s="133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 s="147"/>
      <c r="EQ14" s="148"/>
      <c r="ER14" s="148"/>
      <c r="ES14" s="148"/>
      <c r="ET14" s="148"/>
      <c r="EU14" s="148"/>
      <c r="EV14" s="148"/>
      <c r="EW14" s="147"/>
      <c r="EX14" s="147"/>
      <c r="EY14" s="149"/>
      <c r="EZ14" s="147"/>
      <c r="FB14" s="147"/>
      <c r="FC14" s="148"/>
      <c r="FD14" s="148"/>
      <c r="FE14" s="148"/>
      <c r="FF14" s="148"/>
      <c r="FG14" s="148"/>
      <c r="FH14" s="147"/>
      <c r="FI14" s="147"/>
      <c r="FJ14" s="149"/>
      <c r="FK14" s="147"/>
      <c r="FM14" s="147"/>
      <c r="FN14" s="148"/>
      <c r="FO14" s="148"/>
      <c r="FP14" s="148"/>
      <c r="FQ14" s="148"/>
      <c r="FR14" s="148"/>
      <c r="FS14" s="148"/>
      <c r="FT14" s="148"/>
      <c r="FU14" s="148"/>
      <c r="FV14" s="148"/>
      <c r="FW14" s="148"/>
      <c r="FX14" s="148"/>
      <c r="FY14" s="148"/>
      <c r="FZ14" s="148"/>
      <c r="GA14" s="148"/>
      <c r="GB14" s="148"/>
      <c r="GC14" s="148"/>
      <c r="GD14" s="148"/>
      <c r="GE14" s="147"/>
      <c r="GF14" s="147"/>
      <c r="GG14" s="149"/>
      <c r="GH14" s="147"/>
      <c r="GJ14" s="147"/>
      <c r="GK14" s="148"/>
      <c r="GL14" s="148"/>
      <c r="GM14" s="148"/>
      <c r="GN14" s="148"/>
      <c r="GO14" s="148"/>
      <c r="GP14" s="148"/>
      <c r="GQ14" s="148"/>
      <c r="GR14" s="148"/>
      <c r="GS14" s="148"/>
      <c r="GT14" s="148"/>
      <c r="GU14" s="148"/>
      <c r="GV14" s="148"/>
      <c r="GW14" s="148"/>
      <c r="GX14" s="148"/>
      <c r="GY14" s="148"/>
      <c r="GZ14" s="148"/>
      <c r="HA14" s="148"/>
      <c r="HB14" s="148"/>
      <c r="HC14" s="147"/>
      <c r="HD14" s="147"/>
      <c r="HE14" s="149"/>
      <c r="HF14" s="147"/>
      <c r="HH14" s="147"/>
      <c r="HI14" s="148"/>
      <c r="HJ14" s="148"/>
      <c r="HK14" s="148"/>
      <c r="HL14" s="148"/>
      <c r="HM14" s="148"/>
      <c r="HN14" s="148"/>
      <c r="HO14" s="148"/>
      <c r="HP14" s="148"/>
      <c r="HQ14" s="148"/>
      <c r="HR14" s="148"/>
      <c r="HS14" s="148"/>
      <c r="HT14" s="148"/>
      <c r="HU14" s="148"/>
      <c r="HV14" s="148"/>
      <c r="HW14" s="148"/>
      <c r="HX14" s="148"/>
      <c r="HY14" s="148"/>
      <c r="HZ14" s="148"/>
      <c r="IA14" s="147"/>
      <c r="IB14" s="147"/>
      <c r="IC14" s="149"/>
      <c r="ID14" s="147"/>
      <c r="IF14" s="147"/>
      <c r="IG14" s="148"/>
      <c r="IH14" s="148"/>
      <c r="II14" s="148"/>
      <c r="IJ14" s="148"/>
      <c r="IK14" s="148"/>
      <c r="IL14" s="148"/>
      <c r="IM14" s="148"/>
      <c r="IN14" s="148"/>
      <c r="IO14" s="148"/>
      <c r="IP14" s="148"/>
      <c r="IQ14" s="148"/>
      <c r="IR14" s="148"/>
      <c r="IS14" s="148"/>
      <c r="IT14" s="148"/>
      <c r="IU14" s="148"/>
      <c r="IV14" s="148"/>
      <c r="IW14" s="147"/>
      <c r="IX14" s="147"/>
      <c r="IY14" s="149"/>
      <c r="IZ14" s="147"/>
      <c r="JB14" s="147"/>
      <c r="JC14" s="148"/>
      <c r="JD14" s="148"/>
      <c r="JE14" s="148"/>
      <c r="JF14" s="148"/>
      <c r="JG14" s="148"/>
      <c r="JH14" s="148"/>
      <c r="JI14" s="148"/>
      <c r="JJ14" s="148"/>
      <c r="JK14" s="148"/>
      <c r="JL14" s="148"/>
      <c r="JM14" s="148"/>
      <c r="JN14" s="148"/>
      <c r="JO14" s="148"/>
      <c r="JP14" s="148"/>
      <c r="JQ14" s="148"/>
      <c r="JR14" s="148"/>
      <c r="JS14" s="147"/>
      <c r="JT14" s="147"/>
      <c r="JU14" s="149"/>
      <c r="JV14" s="147"/>
      <c r="JX14" s="147"/>
      <c r="JY14" s="148"/>
      <c r="JZ14" s="148"/>
      <c r="KA14" s="148"/>
      <c r="KB14" s="148"/>
      <c r="KC14" s="148"/>
      <c r="KD14" s="148"/>
      <c r="KE14" s="148"/>
      <c r="KF14" s="148"/>
      <c r="KG14" s="148"/>
      <c r="KH14" s="148"/>
      <c r="KI14" s="148"/>
      <c r="KJ14" s="147"/>
      <c r="KK14" s="147"/>
      <c r="KL14" s="149"/>
      <c r="KM14" s="147"/>
      <c r="KO14" s="147"/>
      <c r="KP14" s="148"/>
      <c r="KQ14" s="148"/>
      <c r="KR14" s="148"/>
      <c r="KS14" s="148"/>
      <c r="KT14" s="148"/>
      <c r="KU14" s="148"/>
      <c r="KV14" s="148"/>
      <c r="KW14" s="148"/>
      <c r="KX14" s="149"/>
      <c r="KY14" s="147"/>
    </row>
    <row r="15" spans="1:311" ht="20.100000000000001" customHeight="1" x14ac:dyDescent="0.45">
      <c r="A15" s="8"/>
      <c r="B15" s="8"/>
      <c r="C15" s="19">
        <v>6</v>
      </c>
      <c r="D15" s="133" t="s">
        <v>359</v>
      </c>
      <c r="E15" s="132" t="s">
        <v>339</v>
      </c>
      <c r="F15" s="105" t="s">
        <v>38</v>
      </c>
      <c r="G15" s="105"/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 t="str">
        <f>"(使用しない)TM製品_" &amp; E15</f>
        <v>(使用しない)TM製品_JANCODE</v>
      </c>
      <c r="AE15" s="19">
        <v>6</v>
      </c>
      <c r="AF15" s="133" t="s">
        <v>359</v>
      </c>
      <c r="AG15" s="100" t="s">
        <v>315</v>
      </c>
      <c r="AH15" s="105"/>
      <c r="AI15" s="105"/>
      <c r="AJ15" s="42"/>
      <c r="AK15" s="42"/>
      <c r="AL15" s="42"/>
      <c r="AM15" s="42"/>
      <c r="AN15" s="42"/>
      <c r="AO15" s="42"/>
      <c r="AP15" s="105"/>
      <c r="AQ15" s="105"/>
      <c r="AR15" s="42" t="s">
        <v>416</v>
      </c>
      <c r="AS15" s="105"/>
      <c r="AT15" s="105"/>
      <c r="AU15" s="105"/>
      <c r="AV15" s="105"/>
      <c r="AW15" s="105">
        <v>0</v>
      </c>
      <c r="AX15" s="105">
        <v>9999</v>
      </c>
      <c r="AY15" s="105"/>
      <c r="AZ15" s="42"/>
      <c r="BA15" s="42"/>
      <c r="BB15" s="42"/>
      <c r="BC15" s="100"/>
      <c r="BD15" s="100"/>
      <c r="BE15" s="118"/>
      <c r="BF15" s="120" t="s">
        <v>351</v>
      </c>
      <c r="BH15" s="19">
        <v>6</v>
      </c>
      <c r="BI15" s="133"/>
      <c r="BJ15" s="100"/>
      <c r="BK15" s="105"/>
      <c r="BL15" s="105"/>
      <c r="BM15" s="42"/>
      <c r="BN15" s="42"/>
      <c r="BO15" s="42"/>
      <c r="BP15" s="42"/>
      <c r="BQ15" s="42"/>
      <c r="BR15" s="105"/>
      <c r="BS15" s="105"/>
      <c r="BT15" s="105"/>
      <c r="BU15" s="42"/>
      <c r="BV15" s="42"/>
      <c r="BW15" s="42"/>
      <c r="BX15" s="100"/>
      <c r="BY15" s="100"/>
      <c r="BZ15" s="118"/>
      <c r="CA15" s="120"/>
      <c r="CC15" s="19">
        <v>6</v>
      </c>
      <c r="CD15" s="133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/>
      <c r="CU15" s="42"/>
      <c r="CV15" s="42"/>
      <c r="CW15" s="100"/>
      <c r="CX15" s="100"/>
      <c r="CY15" s="118"/>
      <c r="CZ15" s="120"/>
      <c r="DB15" s="19">
        <v>6</v>
      </c>
      <c r="DC15" s="133"/>
      <c r="DD15" s="100"/>
      <c r="DE15" s="105"/>
      <c r="DF15" s="105"/>
      <c r="DG15" s="42"/>
      <c r="DH15" s="42"/>
      <c r="DI15" s="42"/>
      <c r="DJ15" s="42"/>
      <c r="DK15" s="42"/>
      <c r="DL15" s="105"/>
      <c r="DM15" s="42"/>
      <c r="DN15" s="42"/>
      <c r="DO15" s="42"/>
      <c r="DP15" s="100"/>
      <c r="DQ15" s="100"/>
      <c r="DR15" s="118"/>
      <c r="DS15" s="120"/>
      <c r="DU15" s="19">
        <v>6</v>
      </c>
      <c r="DV15" s="133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 s="147"/>
      <c r="EQ15" s="148"/>
      <c r="ER15" s="148"/>
      <c r="ES15" s="148"/>
      <c r="ET15" s="148"/>
      <c r="EU15" s="148"/>
      <c r="EV15" s="148"/>
      <c r="EW15" s="147"/>
      <c r="EX15" s="147"/>
      <c r="EY15" s="149"/>
      <c r="EZ15" s="147"/>
      <c r="FB15" s="147"/>
      <c r="FC15" s="148"/>
      <c r="FD15" s="148"/>
      <c r="FE15" s="148"/>
      <c r="FF15" s="148"/>
      <c r="FG15" s="148"/>
      <c r="FH15" s="147"/>
      <c r="FI15" s="147"/>
      <c r="FJ15" s="149"/>
      <c r="FK15" s="147"/>
      <c r="FM15" s="147"/>
      <c r="FN15" s="148"/>
      <c r="FO15" s="148"/>
      <c r="FP15" s="148"/>
      <c r="FQ15" s="148"/>
      <c r="FR15" s="148"/>
      <c r="FS15" s="148"/>
      <c r="FT15" s="148"/>
      <c r="FU15" s="148"/>
      <c r="FV15" s="148"/>
      <c r="FW15" s="148"/>
      <c r="FX15" s="148"/>
      <c r="FY15" s="148"/>
      <c r="FZ15" s="148"/>
      <c r="GA15" s="148"/>
      <c r="GB15" s="148"/>
      <c r="GC15" s="148"/>
      <c r="GD15" s="148"/>
      <c r="GE15" s="147"/>
      <c r="GF15" s="147"/>
      <c r="GG15" s="149"/>
      <c r="GH15" s="147"/>
      <c r="GJ15" s="147"/>
      <c r="GK15" s="148"/>
      <c r="GL15" s="148"/>
      <c r="GM15" s="148"/>
      <c r="GN15" s="148"/>
      <c r="GO15" s="148"/>
      <c r="GP15" s="148"/>
      <c r="GQ15" s="148"/>
      <c r="GR15" s="148"/>
      <c r="GS15" s="148"/>
      <c r="GT15" s="148"/>
      <c r="GU15" s="148"/>
      <c r="GV15" s="148"/>
      <c r="GW15" s="148"/>
      <c r="GX15" s="148"/>
      <c r="GY15" s="148"/>
      <c r="GZ15" s="148"/>
      <c r="HA15" s="148"/>
      <c r="HB15" s="148"/>
      <c r="HC15" s="147"/>
      <c r="HD15" s="147"/>
      <c r="HE15" s="149"/>
      <c r="HF15" s="147"/>
      <c r="HH15" s="147"/>
      <c r="HI15" s="148"/>
      <c r="HJ15" s="148"/>
      <c r="HK15" s="148"/>
      <c r="HL15" s="148"/>
      <c r="HM15" s="148"/>
      <c r="HN15" s="148"/>
      <c r="HO15" s="148"/>
      <c r="HP15" s="148"/>
      <c r="HQ15" s="148"/>
      <c r="HR15" s="148"/>
      <c r="HS15" s="148"/>
      <c r="HT15" s="148"/>
      <c r="HU15" s="148"/>
      <c r="HV15" s="148"/>
      <c r="HW15" s="148"/>
      <c r="HX15" s="148"/>
      <c r="HY15" s="148"/>
      <c r="HZ15" s="148"/>
      <c r="IA15" s="147"/>
      <c r="IB15" s="147"/>
      <c r="IC15" s="149"/>
      <c r="ID15" s="147"/>
      <c r="IF15" s="147"/>
      <c r="IG15" s="148"/>
      <c r="IH15" s="148"/>
      <c r="II15" s="148"/>
      <c r="IJ15" s="148"/>
      <c r="IK15" s="148"/>
      <c r="IL15" s="148"/>
      <c r="IM15" s="148"/>
      <c r="IN15" s="148"/>
      <c r="IO15" s="148"/>
      <c r="IP15" s="148"/>
      <c r="IQ15" s="148"/>
      <c r="IR15" s="148"/>
      <c r="IS15" s="148"/>
      <c r="IT15" s="148"/>
      <c r="IU15" s="148"/>
      <c r="IV15" s="148"/>
      <c r="IW15" s="147"/>
      <c r="IX15" s="147"/>
      <c r="IY15" s="149"/>
      <c r="IZ15" s="147"/>
      <c r="JB15" s="147"/>
      <c r="JC15" s="148"/>
      <c r="JD15" s="148"/>
      <c r="JE15" s="148"/>
      <c r="JF15" s="148"/>
      <c r="JG15" s="148"/>
      <c r="JH15" s="148"/>
      <c r="JI15" s="148"/>
      <c r="JJ15" s="148"/>
      <c r="JK15" s="148"/>
      <c r="JL15" s="148"/>
      <c r="JM15" s="148"/>
      <c r="JN15" s="148"/>
      <c r="JO15" s="148"/>
      <c r="JP15" s="148"/>
      <c r="JQ15" s="148"/>
      <c r="JR15" s="148"/>
      <c r="JS15" s="147"/>
      <c r="JT15" s="147"/>
      <c r="JU15" s="149"/>
      <c r="JV15" s="147"/>
      <c r="JX15" s="147"/>
      <c r="JY15" s="148"/>
      <c r="JZ15" s="148"/>
      <c r="KA15" s="148"/>
      <c r="KB15" s="148"/>
      <c r="KC15" s="148"/>
      <c r="KD15" s="148"/>
      <c r="KE15" s="148"/>
      <c r="KF15" s="148"/>
      <c r="KG15" s="148"/>
      <c r="KH15" s="148"/>
      <c r="KI15" s="148"/>
      <c r="KJ15" s="147"/>
      <c r="KK15" s="147"/>
      <c r="KL15" s="149"/>
      <c r="KM15" s="147"/>
      <c r="KO15" s="147"/>
      <c r="KP15" s="148"/>
      <c r="KQ15" s="148"/>
      <c r="KR15" s="148"/>
      <c r="KS15" s="148"/>
      <c r="KT15" s="148"/>
      <c r="KU15" s="148"/>
      <c r="KV15" s="148"/>
      <c r="KW15" s="148"/>
      <c r="KX15" s="149"/>
      <c r="KY15" s="147"/>
    </row>
    <row r="16" spans="1:311" ht="20.100000000000001" customHeight="1" x14ac:dyDescent="0.45">
      <c r="A16" s="8"/>
      <c r="B16" s="8"/>
      <c r="C16" s="19">
        <v>7</v>
      </c>
      <c r="D16" s="133" t="s">
        <v>360</v>
      </c>
      <c r="E16" s="132" t="s">
        <v>306</v>
      </c>
      <c r="F16" s="105" t="s">
        <v>38</v>
      </c>
      <c r="G16" s="105"/>
      <c r="H16" s="105"/>
      <c r="I16" s="42"/>
      <c r="J16" s="42"/>
      <c r="K16" s="42"/>
      <c r="L16" s="42"/>
      <c r="M16" s="42" t="s">
        <v>267</v>
      </c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 t="str">
        <f t="shared" si="0"/>
        <v>TM製品_入出庫用コード</v>
      </c>
      <c r="AE16" s="19">
        <v>7</v>
      </c>
      <c r="AF16" s="133" t="s">
        <v>360</v>
      </c>
      <c r="AG16" s="100" t="s">
        <v>317</v>
      </c>
      <c r="AH16" s="105"/>
      <c r="AI16" s="105"/>
      <c r="AJ16" s="42"/>
      <c r="AK16" s="42"/>
      <c r="AL16" s="42"/>
      <c r="AM16" s="42"/>
      <c r="AN16" s="42"/>
      <c r="AO16" s="42"/>
      <c r="AP16" s="105"/>
      <c r="AQ16" s="105"/>
      <c r="AR16" s="42" t="s">
        <v>416</v>
      </c>
      <c r="AS16" s="105"/>
      <c r="AT16" s="105"/>
      <c r="AU16" s="105"/>
      <c r="AV16" s="105"/>
      <c r="AW16" s="105">
        <v>0</v>
      </c>
      <c r="AX16" s="105">
        <v>9999</v>
      </c>
      <c r="AY16" s="105"/>
      <c r="AZ16" s="42"/>
      <c r="BA16" s="42" t="s">
        <v>267</v>
      </c>
      <c r="BB16" s="42"/>
      <c r="BC16" s="100"/>
      <c r="BD16" s="100"/>
      <c r="BE16" s="118"/>
      <c r="BF16" s="120" t="s">
        <v>352</v>
      </c>
      <c r="BH16" s="19">
        <v>7</v>
      </c>
      <c r="BI16" s="133"/>
      <c r="BJ16" s="100"/>
      <c r="BK16" s="105"/>
      <c r="BL16" s="105"/>
      <c r="BM16" s="42"/>
      <c r="BN16" s="42"/>
      <c r="BO16" s="42"/>
      <c r="BP16" s="42"/>
      <c r="BQ16" s="42"/>
      <c r="BR16" s="105"/>
      <c r="BS16" s="105"/>
      <c r="BT16" s="105"/>
      <c r="BU16" s="42"/>
      <c r="BV16" s="42"/>
      <c r="BW16" s="42"/>
      <c r="BX16" s="100"/>
      <c r="BY16" s="100"/>
      <c r="BZ16" s="118"/>
      <c r="CA16" s="120"/>
      <c r="CC16" s="19">
        <v>7</v>
      </c>
      <c r="CD16" s="133"/>
      <c r="CE16" s="100"/>
      <c r="CF16" s="105"/>
      <c r="CG16" s="105"/>
      <c r="CH16" s="105"/>
      <c r="CI16" s="105"/>
      <c r="CJ16" s="42"/>
      <c r="CK16" s="42"/>
      <c r="CL16" s="42"/>
      <c r="CM16" s="42"/>
      <c r="CN16" s="42"/>
      <c r="CO16" s="42"/>
      <c r="CP16" s="42"/>
      <c r="CQ16" s="105"/>
      <c r="CR16" s="105"/>
      <c r="CS16" s="105"/>
      <c r="CT16" s="42"/>
      <c r="CU16" s="42"/>
      <c r="CV16" s="42"/>
      <c r="CW16" s="100"/>
      <c r="CX16" s="100"/>
      <c r="CY16" s="118"/>
      <c r="CZ16" s="120"/>
      <c r="DB16" s="19">
        <v>7</v>
      </c>
      <c r="DC16" s="133"/>
      <c r="DD16" s="100"/>
      <c r="DE16" s="105"/>
      <c r="DF16" s="105"/>
      <c r="DG16" s="42"/>
      <c r="DH16" s="42"/>
      <c r="DI16" s="42"/>
      <c r="DJ16" s="42"/>
      <c r="DK16" s="42"/>
      <c r="DL16" s="105"/>
      <c r="DM16" s="42"/>
      <c r="DN16" s="42"/>
      <c r="DO16" s="42"/>
      <c r="DP16" s="100"/>
      <c r="DQ16" s="100"/>
      <c r="DR16" s="118"/>
      <c r="DS16" s="120"/>
      <c r="DU16" s="19">
        <v>7</v>
      </c>
      <c r="DV16" s="133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 s="147"/>
      <c r="EQ16" s="148"/>
      <c r="ER16" s="148"/>
      <c r="ES16" s="148"/>
      <c r="ET16" s="148"/>
      <c r="EU16" s="148"/>
      <c r="EV16" s="148"/>
      <c r="EW16" s="147"/>
      <c r="EX16" s="147"/>
      <c r="EY16" s="149"/>
      <c r="EZ16" s="147"/>
      <c r="FB16" s="147"/>
      <c r="FC16" s="148"/>
      <c r="FD16" s="148"/>
      <c r="FE16" s="148"/>
      <c r="FF16" s="148"/>
      <c r="FG16" s="148"/>
      <c r="FH16" s="147"/>
      <c r="FI16" s="147"/>
      <c r="FJ16" s="149"/>
      <c r="FK16" s="147"/>
      <c r="FM16" s="147"/>
      <c r="FN16" s="148"/>
      <c r="FO16" s="148"/>
      <c r="FP16" s="148"/>
      <c r="FQ16" s="148"/>
      <c r="FR16" s="148"/>
      <c r="FS16" s="148"/>
      <c r="FT16" s="148"/>
      <c r="FU16" s="148"/>
      <c r="FV16" s="148"/>
      <c r="FW16" s="148"/>
      <c r="FX16" s="148"/>
      <c r="FY16" s="148"/>
      <c r="FZ16" s="148"/>
      <c r="GA16" s="148"/>
      <c r="GB16" s="148"/>
      <c r="GC16" s="148"/>
      <c r="GD16" s="148"/>
      <c r="GE16" s="147"/>
      <c r="GF16" s="147"/>
      <c r="GG16" s="149"/>
      <c r="GH16" s="147"/>
      <c r="GJ16" s="147"/>
      <c r="GK16" s="148"/>
      <c r="GL16" s="148"/>
      <c r="GM16" s="148"/>
      <c r="GN16" s="148"/>
      <c r="GO16" s="148"/>
      <c r="GP16" s="148"/>
      <c r="GQ16" s="148"/>
      <c r="GR16" s="148"/>
      <c r="GS16" s="148"/>
      <c r="GT16" s="148"/>
      <c r="GU16" s="148"/>
      <c r="GV16" s="148"/>
      <c r="GW16" s="148"/>
      <c r="GX16" s="148"/>
      <c r="GY16" s="148"/>
      <c r="GZ16" s="148"/>
      <c r="HA16" s="148"/>
      <c r="HB16" s="148"/>
      <c r="HC16" s="147"/>
      <c r="HD16" s="147"/>
      <c r="HE16" s="149"/>
      <c r="HF16" s="147"/>
      <c r="HH16" s="147"/>
      <c r="HI16" s="148"/>
      <c r="HJ16" s="148"/>
      <c r="HK16" s="148"/>
      <c r="HL16" s="148"/>
      <c r="HM16" s="148"/>
      <c r="HN16" s="148"/>
      <c r="HO16" s="148"/>
      <c r="HP16" s="148"/>
      <c r="HQ16" s="148"/>
      <c r="HR16" s="148"/>
      <c r="HS16" s="148"/>
      <c r="HT16" s="148"/>
      <c r="HU16" s="148"/>
      <c r="HV16" s="148"/>
      <c r="HW16" s="148"/>
      <c r="HX16" s="148"/>
      <c r="HY16" s="148"/>
      <c r="HZ16" s="148"/>
      <c r="IA16" s="147"/>
      <c r="IB16" s="147"/>
      <c r="IC16" s="149"/>
      <c r="ID16" s="147"/>
      <c r="IF16" s="147"/>
      <c r="IG16" s="148"/>
      <c r="IH16" s="148"/>
      <c r="II16" s="148"/>
      <c r="IJ16" s="148"/>
      <c r="IK16" s="148"/>
      <c r="IL16" s="148"/>
      <c r="IM16" s="148"/>
      <c r="IN16" s="148"/>
      <c r="IO16" s="148"/>
      <c r="IP16" s="148"/>
      <c r="IQ16" s="148"/>
      <c r="IR16" s="148"/>
      <c r="IS16" s="148"/>
      <c r="IT16" s="148"/>
      <c r="IU16" s="148"/>
      <c r="IV16" s="148"/>
      <c r="IW16" s="147"/>
      <c r="IX16" s="147"/>
      <c r="IY16" s="149"/>
      <c r="IZ16" s="147"/>
      <c r="JB16" s="147"/>
      <c r="JC16" s="148"/>
      <c r="JD16" s="148"/>
      <c r="JE16" s="148"/>
      <c r="JF16" s="148"/>
      <c r="JG16" s="148"/>
      <c r="JH16" s="148"/>
      <c r="JI16" s="148"/>
      <c r="JJ16" s="148"/>
      <c r="JK16" s="148"/>
      <c r="JL16" s="148"/>
      <c r="JM16" s="148"/>
      <c r="JN16" s="148"/>
      <c r="JO16" s="148"/>
      <c r="JP16" s="148"/>
      <c r="JQ16" s="148"/>
      <c r="JR16" s="148"/>
      <c r="JS16" s="147"/>
      <c r="JT16" s="147"/>
      <c r="JU16" s="149"/>
      <c r="JV16" s="147"/>
      <c r="JX16" s="147"/>
      <c r="JY16" s="148"/>
      <c r="JZ16" s="148"/>
      <c r="KA16" s="148"/>
      <c r="KB16" s="148"/>
      <c r="KC16" s="148"/>
      <c r="KD16" s="148"/>
      <c r="KE16" s="148"/>
      <c r="KF16" s="148"/>
      <c r="KG16" s="148"/>
      <c r="KH16" s="148"/>
      <c r="KI16" s="148"/>
      <c r="KJ16" s="147"/>
      <c r="KK16" s="147"/>
      <c r="KL16" s="149"/>
      <c r="KM16" s="147"/>
      <c r="KO16" s="147"/>
      <c r="KP16" s="148"/>
      <c r="KQ16" s="148"/>
      <c r="KR16" s="148"/>
      <c r="KS16" s="148"/>
      <c r="KT16" s="148"/>
      <c r="KU16" s="148"/>
      <c r="KV16" s="148"/>
      <c r="KW16" s="148"/>
      <c r="KX16" s="149"/>
      <c r="KY16" s="147"/>
    </row>
    <row r="17" spans="1:311" ht="20.100000000000001" customHeight="1" x14ac:dyDescent="0.45">
      <c r="A17" s="8"/>
      <c r="B17" s="8"/>
      <c r="C17" s="19">
        <v>8</v>
      </c>
      <c r="D17" s="133" t="s">
        <v>317</v>
      </c>
      <c r="E17" s="132" t="s">
        <v>337</v>
      </c>
      <c r="F17" s="105" t="s">
        <v>38</v>
      </c>
      <c r="G17" s="105">
        <v>6</v>
      </c>
      <c r="H17" s="105"/>
      <c r="I17" s="42"/>
      <c r="J17" s="42"/>
      <c r="K17" s="42"/>
      <c r="L17" s="42"/>
      <c r="M17" s="42"/>
      <c r="N17" s="42"/>
      <c r="O17" s="105"/>
      <c r="P17" s="105"/>
      <c r="Q17" s="105"/>
      <c r="R17" s="105"/>
      <c r="S17" s="42"/>
      <c r="T17" s="42"/>
      <c r="U17" s="42"/>
      <c r="V17" s="42"/>
      <c r="W17" s="42"/>
      <c r="X17" s="42" t="s">
        <v>267</v>
      </c>
      <c r="Y17" s="42"/>
      <c r="Z17" s="100"/>
      <c r="AA17" s="100"/>
      <c r="AB17" s="118"/>
      <c r="AC17" s="120" t="str">
        <f t="shared" si="0"/>
        <v>TM製品_単位名</v>
      </c>
      <c r="AE17" s="19">
        <v>8</v>
      </c>
      <c r="AF17" s="133" t="s">
        <v>317</v>
      </c>
      <c r="AG17" s="100" t="s">
        <v>323</v>
      </c>
      <c r="AH17" s="105"/>
      <c r="AI17" s="105"/>
      <c r="AJ17" s="42"/>
      <c r="AK17" s="42"/>
      <c r="AL17" s="42"/>
      <c r="AM17" s="42"/>
      <c r="AN17" s="42"/>
      <c r="AO17" s="42"/>
      <c r="AP17" s="105"/>
      <c r="AQ17" s="105"/>
      <c r="AR17" s="42" t="s">
        <v>49</v>
      </c>
      <c r="AS17" s="105"/>
      <c r="AT17" s="105"/>
      <c r="AU17" s="105"/>
      <c r="AV17" s="105"/>
      <c r="AW17" s="105">
        <v>0</v>
      </c>
      <c r="AX17" s="105">
        <v>99999999</v>
      </c>
      <c r="AY17" s="105"/>
      <c r="AZ17" s="42"/>
      <c r="BA17" s="42" t="s">
        <v>267</v>
      </c>
      <c r="BB17" s="42"/>
      <c r="BC17" s="100"/>
      <c r="BD17" s="100"/>
      <c r="BE17" s="118"/>
      <c r="BF17" s="120" t="s">
        <v>353</v>
      </c>
      <c r="BH17" s="19">
        <v>8</v>
      </c>
      <c r="BI17" s="133"/>
      <c r="BJ17" s="100"/>
      <c r="BK17" s="105"/>
      <c r="BL17" s="105"/>
      <c r="BM17" s="42"/>
      <c r="BN17" s="42"/>
      <c r="BO17" s="42"/>
      <c r="BP17" s="42"/>
      <c r="BQ17" s="42"/>
      <c r="BR17" s="105"/>
      <c r="BS17" s="105"/>
      <c r="BT17" s="105"/>
      <c r="BU17" s="42"/>
      <c r="BV17" s="42"/>
      <c r="BW17" s="42"/>
      <c r="BX17" s="100"/>
      <c r="BY17" s="100"/>
      <c r="BZ17" s="118"/>
      <c r="CA17" s="120"/>
      <c r="CC17" s="19">
        <v>8</v>
      </c>
      <c r="CD17" s="133"/>
      <c r="CE17" s="100"/>
      <c r="CF17" s="105"/>
      <c r="CG17" s="105"/>
      <c r="CH17" s="105"/>
      <c r="CI17" s="105"/>
      <c r="CJ17" s="42"/>
      <c r="CK17" s="42"/>
      <c r="CL17" s="42"/>
      <c r="CM17" s="42"/>
      <c r="CN17" s="42"/>
      <c r="CO17" s="42"/>
      <c r="CP17" s="42"/>
      <c r="CQ17" s="105"/>
      <c r="CR17" s="105"/>
      <c r="CS17" s="105"/>
      <c r="CT17" s="42"/>
      <c r="CU17" s="42"/>
      <c r="CV17" s="42"/>
      <c r="CW17" s="100"/>
      <c r="CX17" s="100"/>
      <c r="CY17" s="118"/>
      <c r="CZ17" s="120"/>
      <c r="DB17" s="19">
        <v>8</v>
      </c>
      <c r="DC17" s="133"/>
      <c r="DD17" s="100"/>
      <c r="DE17" s="105"/>
      <c r="DF17" s="105"/>
      <c r="DG17" s="42"/>
      <c r="DH17" s="42"/>
      <c r="DI17" s="42"/>
      <c r="DJ17" s="42"/>
      <c r="DK17" s="42"/>
      <c r="DL17" s="105"/>
      <c r="DM17" s="42"/>
      <c r="DN17" s="42"/>
      <c r="DO17" s="42"/>
      <c r="DP17" s="100"/>
      <c r="DQ17" s="100"/>
      <c r="DR17" s="118"/>
      <c r="DS17" s="120"/>
      <c r="DU17" s="19">
        <v>8</v>
      </c>
      <c r="DV17" s="133"/>
      <c r="DW17" s="100"/>
      <c r="DX17" s="105"/>
      <c r="DY17" s="42"/>
      <c r="DZ17" s="42"/>
      <c r="EA17" s="42"/>
      <c r="EB17" s="42"/>
      <c r="EC17" s="42"/>
      <c r="ED17" s="105"/>
      <c r="EE17" s="105"/>
      <c r="EF17" s="105"/>
      <c r="EG17" s="105"/>
      <c r="EH17" s="42"/>
      <c r="EI17" s="42"/>
      <c r="EJ17" s="42"/>
      <c r="EK17" s="100"/>
      <c r="EL17" s="100"/>
      <c r="EM17" s="118"/>
      <c r="EN17" s="120"/>
      <c r="EP17" s="147"/>
      <c r="EQ17" s="148"/>
      <c r="ER17" s="148"/>
      <c r="ES17" s="148"/>
      <c r="ET17" s="148"/>
      <c r="EU17" s="148"/>
      <c r="EV17" s="148"/>
      <c r="EW17" s="147"/>
      <c r="EX17" s="147"/>
      <c r="EY17" s="149"/>
      <c r="EZ17" s="147"/>
      <c r="FB17" s="147"/>
      <c r="FC17" s="148"/>
      <c r="FD17" s="148"/>
      <c r="FE17" s="148"/>
      <c r="FF17" s="148"/>
      <c r="FG17" s="148"/>
      <c r="FH17" s="147"/>
      <c r="FI17" s="147"/>
      <c r="FJ17" s="149"/>
      <c r="FK17" s="147"/>
      <c r="FM17" s="147"/>
      <c r="FN17" s="148"/>
      <c r="FO17" s="148"/>
      <c r="FP17" s="148"/>
      <c r="FQ17" s="148"/>
      <c r="FR17" s="148"/>
      <c r="FS17" s="148"/>
      <c r="FT17" s="148"/>
      <c r="FU17" s="148"/>
      <c r="FV17" s="148"/>
      <c r="FW17" s="148"/>
      <c r="FX17" s="148"/>
      <c r="FY17" s="148"/>
      <c r="FZ17" s="148"/>
      <c r="GA17" s="148"/>
      <c r="GB17" s="148"/>
      <c r="GC17" s="148"/>
      <c r="GD17" s="148"/>
      <c r="GE17" s="147"/>
      <c r="GF17" s="147"/>
      <c r="GG17" s="149"/>
      <c r="GH17" s="147"/>
      <c r="GJ17" s="147"/>
      <c r="GK17" s="148"/>
      <c r="GL17" s="148"/>
      <c r="GM17" s="148"/>
      <c r="GN17" s="148"/>
      <c r="GO17" s="148"/>
      <c r="GP17" s="148"/>
      <c r="GQ17" s="148"/>
      <c r="GR17" s="148"/>
      <c r="GS17" s="148"/>
      <c r="GT17" s="148"/>
      <c r="GU17" s="148"/>
      <c r="GV17" s="148"/>
      <c r="GW17" s="148"/>
      <c r="GX17" s="148"/>
      <c r="GY17" s="148"/>
      <c r="GZ17" s="148"/>
      <c r="HA17" s="148"/>
      <c r="HB17" s="148"/>
      <c r="HC17" s="147"/>
      <c r="HD17" s="147"/>
      <c r="HE17" s="149"/>
      <c r="HF17" s="147"/>
      <c r="HH17" s="147"/>
      <c r="HI17" s="148"/>
      <c r="HJ17" s="148"/>
      <c r="HK17" s="148"/>
      <c r="HL17" s="148"/>
      <c r="HM17" s="148"/>
      <c r="HN17" s="148"/>
      <c r="HO17" s="148"/>
      <c r="HP17" s="148"/>
      <c r="HQ17" s="148"/>
      <c r="HR17" s="148"/>
      <c r="HS17" s="148"/>
      <c r="HT17" s="148"/>
      <c r="HU17" s="148"/>
      <c r="HV17" s="148"/>
      <c r="HW17" s="148"/>
      <c r="HX17" s="148"/>
      <c r="HY17" s="148"/>
      <c r="HZ17" s="148"/>
      <c r="IA17" s="147"/>
      <c r="IB17" s="147"/>
      <c r="IC17" s="149"/>
      <c r="ID17" s="147"/>
      <c r="IF17" s="147"/>
      <c r="IG17" s="148"/>
      <c r="IH17" s="148"/>
      <c r="II17" s="148"/>
      <c r="IJ17" s="148"/>
      <c r="IK17" s="148"/>
      <c r="IL17" s="148"/>
      <c r="IM17" s="148"/>
      <c r="IN17" s="148"/>
      <c r="IO17" s="148"/>
      <c r="IP17" s="148"/>
      <c r="IQ17" s="148"/>
      <c r="IR17" s="148"/>
      <c r="IS17" s="148"/>
      <c r="IT17" s="148"/>
      <c r="IU17" s="148"/>
      <c r="IV17" s="148"/>
      <c r="IW17" s="147"/>
      <c r="IX17" s="147"/>
      <c r="IY17" s="149"/>
      <c r="IZ17" s="147"/>
      <c r="JB17" s="147"/>
      <c r="JC17" s="148"/>
      <c r="JD17" s="148"/>
      <c r="JE17" s="148"/>
      <c r="JF17" s="148"/>
      <c r="JG17" s="148"/>
      <c r="JH17" s="148"/>
      <c r="JI17" s="148"/>
      <c r="JJ17" s="148"/>
      <c r="JK17" s="148"/>
      <c r="JL17" s="148"/>
      <c r="JM17" s="148"/>
      <c r="JN17" s="148"/>
      <c r="JO17" s="148"/>
      <c r="JP17" s="148"/>
      <c r="JQ17" s="148"/>
      <c r="JR17" s="148"/>
      <c r="JS17" s="147"/>
      <c r="JT17" s="147"/>
      <c r="JU17" s="149"/>
      <c r="JV17" s="147"/>
      <c r="JX17" s="147"/>
      <c r="JY17" s="148"/>
      <c r="JZ17" s="148"/>
      <c r="KA17" s="148"/>
      <c r="KB17" s="148"/>
      <c r="KC17" s="148"/>
      <c r="KD17" s="148"/>
      <c r="KE17" s="148"/>
      <c r="KF17" s="148"/>
      <c r="KG17" s="148"/>
      <c r="KH17" s="148"/>
      <c r="KI17" s="148"/>
      <c r="KJ17" s="147"/>
      <c r="KK17" s="147"/>
      <c r="KL17" s="149"/>
      <c r="KM17" s="147"/>
      <c r="KO17" s="147"/>
      <c r="KP17" s="148"/>
      <c r="KQ17" s="148"/>
      <c r="KR17" s="148"/>
      <c r="KS17" s="148"/>
      <c r="KT17" s="148"/>
      <c r="KU17" s="148"/>
      <c r="KV17" s="148"/>
      <c r="KW17" s="148"/>
      <c r="KX17" s="149"/>
      <c r="KY17" s="147"/>
    </row>
    <row r="18" spans="1:311" ht="20.100000000000001" customHeight="1" x14ac:dyDescent="0.45">
      <c r="A18" s="8"/>
      <c r="B18" s="8"/>
      <c r="C18" s="19">
        <v>9</v>
      </c>
      <c r="D18" s="133" t="s">
        <v>361</v>
      </c>
      <c r="E18" s="132" t="s">
        <v>320</v>
      </c>
      <c r="F18" s="105" t="s">
        <v>38</v>
      </c>
      <c r="G18" s="105"/>
      <c r="H18" s="105"/>
      <c r="I18" s="42" t="s">
        <v>267</v>
      </c>
      <c r="J18" s="42"/>
      <c r="K18" s="42"/>
      <c r="L18" s="42"/>
      <c r="M18" s="42"/>
      <c r="N18" s="42"/>
      <c r="O18" s="105">
        <v>0</v>
      </c>
      <c r="P18" s="105"/>
      <c r="Q18" s="118" t="s">
        <v>49</v>
      </c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 t="str">
        <f t="shared" si="0"/>
        <v>TM製品_費用区分</v>
      </c>
      <c r="AE18" s="19">
        <v>9</v>
      </c>
      <c r="AF18" s="133" t="s">
        <v>361</v>
      </c>
      <c r="AG18" s="100" t="s">
        <v>326</v>
      </c>
      <c r="AH18" s="105"/>
      <c r="AI18" s="105"/>
      <c r="AJ18" s="42"/>
      <c r="AK18" s="42"/>
      <c r="AL18" s="42"/>
      <c r="AM18" s="42"/>
      <c r="AN18" s="42"/>
      <c r="AO18" s="42"/>
      <c r="AP18" s="105"/>
      <c r="AQ18" s="105"/>
      <c r="AR18" s="42"/>
      <c r="AS18" s="105"/>
      <c r="AT18" s="105"/>
      <c r="AU18" s="105"/>
      <c r="AV18" s="105"/>
      <c r="AW18" s="105"/>
      <c r="AX18" s="105"/>
      <c r="AY18" s="105"/>
      <c r="AZ18" s="42"/>
      <c r="BA18" s="42"/>
      <c r="BB18" s="42"/>
      <c r="BC18" s="100"/>
      <c r="BD18" s="100"/>
      <c r="BE18" s="118"/>
      <c r="BF18" s="120" t="s">
        <v>399</v>
      </c>
      <c r="BH18" s="19">
        <v>9</v>
      </c>
      <c r="BI18" s="133"/>
      <c r="BJ18" s="100"/>
      <c r="BK18" s="105"/>
      <c r="BL18" s="105"/>
      <c r="BM18" s="42"/>
      <c r="BN18" s="42"/>
      <c r="BO18" s="42"/>
      <c r="BP18" s="42"/>
      <c r="BQ18" s="42"/>
      <c r="BR18" s="105"/>
      <c r="BS18" s="105"/>
      <c r="BT18" s="105"/>
      <c r="BU18" s="42"/>
      <c r="BV18" s="42"/>
      <c r="BW18" s="42"/>
      <c r="BX18" s="100"/>
      <c r="BY18" s="100"/>
      <c r="BZ18" s="118"/>
      <c r="CA18" s="120"/>
      <c r="CC18" s="19">
        <v>9</v>
      </c>
      <c r="CD18" s="133"/>
      <c r="CE18" s="100"/>
      <c r="CF18" s="105"/>
      <c r="CG18" s="105"/>
      <c r="CH18" s="105"/>
      <c r="CI18" s="105"/>
      <c r="CJ18" s="42"/>
      <c r="CK18" s="42"/>
      <c r="CL18" s="42"/>
      <c r="CM18" s="42"/>
      <c r="CN18" s="42"/>
      <c r="CO18" s="42"/>
      <c r="CP18" s="42"/>
      <c r="CQ18" s="105"/>
      <c r="CR18" s="105"/>
      <c r="CS18" s="105"/>
      <c r="CT18" s="42"/>
      <c r="CU18" s="42"/>
      <c r="CV18" s="42"/>
      <c r="CW18" s="100"/>
      <c r="CX18" s="100"/>
      <c r="CY18" s="118"/>
      <c r="CZ18" s="120"/>
      <c r="DB18" s="19">
        <v>9</v>
      </c>
      <c r="DC18" s="133"/>
      <c r="DD18" s="100"/>
      <c r="DE18" s="105"/>
      <c r="DF18" s="105"/>
      <c r="DG18" s="42"/>
      <c r="DH18" s="42"/>
      <c r="DI18" s="42"/>
      <c r="DJ18" s="42"/>
      <c r="DK18" s="42"/>
      <c r="DL18" s="105"/>
      <c r="DM18" s="42"/>
      <c r="DN18" s="42"/>
      <c r="DO18" s="42"/>
      <c r="DP18" s="100"/>
      <c r="DQ18" s="100"/>
      <c r="DR18" s="118"/>
      <c r="DS18" s="120"/>
      <c r="DU18" s="19">
        <v>9</v>
      </c>
      <c r="DV18" s="133"/>
      <c r="DW18" s="100"/>
      <c r="DX18" s="105"/>
      <c r="DY18" s="42"/>
      <c r="DZ18" s="42"/>
      <c r="EA18" s="42"/>
      <c r="EB18" s="42"/>
      <c r="EC18" s="42"/>
      <c r="ED18" s="105"/>
      <c r="EE18" s="105"/>
      <c r="EF18" s="105"/>
      <c r="EG18" s="105"/>
      <c r="EH18" s="42"/>
      <c r="EI18" s="42"/>
      <c r="EJ18" s="42"/>
      <c r="EK18" s="100"/>
      <c r="EL18" s="100"/>
      <c r="EM18" s="118"/>
      <c r="EN18" s="120"/>
      <c r="EP18" s="147"/>
      <c r="EQ18" s="148"/>
      <c r="ER18" s="148"/>
      <c r="ES18" s="148"/>
      <c r="ET18" s="148"/>
      <c r="EU18" s="148"/>
      <c r="EV18" s="148"/>
      <c r="EW18" s="147"/>
      <c r="EX18" s="147"/>
      <c r="EY18" s="149"/>
      <c r="EZ18" s="147"/>
      <c r="FB18" s="147"/>
      <c r="FC18" s="148"/>
      <c r="FD18" s="148"/>
      <c r="FE18" s="148"/>
      <c r="FF18" s="148"/>
      <c r="FG18" s="148"/>
      <c r="FH18" s="147"/>
      <c r="FI18" s="147"/>
      <c r="FJ18" s="149"/>
      <c r="FK18" s="147"/>
      <c r="FM18" s="147"/>
      <c r="FN18" s="148"/>
      <c r="FO18" s="148"/>
      <c r="FP18" s="148"/>
      <c r="FQ18" s="148"/>
      <c r="FR18" s="148"/>
      <c r="FS18" s="148"/>
      <c r="FT18" s="148"/>
      <c r="FU18" s="148"/>
      <c r="FV18" s="148"/>
      <c r="FW18" s="148"/>
      <c r="FX18" s="148"/>
      <c r="FY18" s="148"/>
      <c r="FZ18" s="148"/>
      <c r="GA18" s="148"/>
      <c r="GB18" s="148"/>
      <c r="GC18" s="148"/>
      <c r="GD18" s="148"/>
      <c r="GE18" s="147"/>
      <c r="GF18" s="147"/>
      <c r="GG18" s="149"/>
      <c r="GH18" s="147"/>
      <c r="GJ18" s="147"/>
      <c r="GK18" s="148"/>
      <c r="GL18" s="148"/>
      <c r="GM18" s="148"/>
      <c r="GN18" s="148"/>
      <c r="GO18" s="148"/>
      <c r="GP18" s="148"/>
      <c r="GQ18" s="148"/>
      <c r="GR18" s="148"/>
      <c r="GS18" s="148"/>
      <c r="GT18" s="148"/>
      <c r="GU18" s="148"/>
      <c r="GV18" s="148"/>
      <c r="GW18" s="148"/>
      <c r="GX18" s="148"/>
      <c r="GY18" s="148"/>
      <c r="GZ18" s="148"/>
      <c r="HA18" s="148"/>
      <c r="HB18" s="148"/>
      <c r="HC18" s="147"/>
      <c r="HD18" s="147"/>
      <c r="HE18" s="149"/>
      <c r="HF18" s="147"/>
      <c r="HH18" s="147"/>
      <c r="HI18" s="148"/>
      <c r="HJ18" s="148"/>
      <c r="HK18" s="148"/>
      <c r="HL18" s="148"/>
      <c r="HM18" s="148"/>
      <c r="HN18" s="148"/>
      <c r="HO18" s="148"/>
      <c r="HP18" s="148"/>
      <c r="HQ18" s="148"/>
      <c r="HR18" s="148"/>
      <c r="HS18" s="148"/>
      <c r="HT18" s="148"/>
      <c r="HU18" s="148"/>
      <c r="HV18" s="148"/>
      <c r="HW18" s="148"/>
      <c r="HX18" s="148"/>
      <c r="HY18" s="148"/>
      <c r="HZ18" s="148"/>
      <c r="IA18" s="147"/>
      <c r="IB18" s="147"/>
      <c r="IC18" s="149"/>
      <c r="ID18" s="147"/>
      <c r="IF18" s="147"/>
      <c r="IG18" s="148"/>
      <c r="IH18" s="148"/>
      <c r="II18" s="148"/>
      <c r="IJ18" s="148"/>
      <c r="IK18" s="148"/>
      <c r="IL18" s="148"/>
      <c r="IM18" s="148"/>
      <c r="IN18" s="148"/>
      <c r="IO18" s="148"/>
      <c r="IP18" s="148"/>
      <c r="IQ18" s="148"/>
      <c r="IR18" s="148"/>
      <c r="IS18" s="148"/>
      <c r="IT18" s="148"/>
      <c r="IU18" s="148"/>
      <c r="IV18" s="148"/>
      <c r="IW18" s="147"/>
      <c r="IX18" s="147"/>
      <c r="IY18" s="149"/>
      <c r="IZ18" s="147"/>
      <c r="JB18" s="147"/>
      <c r="JC18" s="148"/>
      <c r="JD18" s="148"/>
      <c r="JE18" s="148"/>
      <c r="JF18" s="148"/>
      <c r="JG18" s="148"/>
      <c r="JH18" s="148"/>
      <c r="JI18" s="148"/>
      <c r="JJ18" s="148"/>
      <c r="JK18" s="148"/>
      <c r="JL18" s="148"/>
      <c r="JM18" s="148"/>
      <c r="JN18" s="148"/>
      <c r="JO18" s="148"/>
      <c r="JP18" s="148"/>
      <c r="JQ18" s="148"/>
      <c r="JR18" s="148"/>
      <c r="JS18" s="147"/>
      <c r="JT18" s="147"/>
      <c r="JU18" s="149"/>
      <c r="JV18" s="147"/>
      <c r="JX18" s="147"/>
      <c r="JY18" s="148"/>
      <c r="JZ18" s="148"/>
      <c r="KA18" s="148"/>
      <c r="KB18" s="148"/>
      <c r="KC18" s="148"/>
      <c r="KD18" s="148"/>
      <c r="KE18" s="148"/>
      <c r="KF18" s="148"/>
      <c r="KG18" s="148"/>
      <c r="KH18" s="148"/>
      <c r="KI18" s="148"/>
      <c r="KJ18" s="147"/>
      <c r="KK18" s="147"/>
      <c r="KL18" s="149"/>
      <c r="KM18" s="147"/>
      <c r="KO18" s="147"/>
      <c r="KP18" s="148"/>
      <c r="KQ18" s="148"/>
      <c r="KR18" s="148"/>
      <c r="KS18" s="148"/>
      <c r="KT18" s="148"/>
      <c r="KU18" s="148"/>
      <c r="KV18" s="148"/>
      <c r="KW18" s="148"/>
      <c r="KX18" s="149"/>
      <c r="KY18" s="147"/>
    </row>
    <row r="19" spans="1:311" ht="20.100000000000001" customHeight="1" x14ac:dyDescent="0.45">
      <c r="A19" s="8"/>
      <c r="B19" s="8"/>
      <c r="C19" s="19">
        <v>10</v>
      </c>
      <c r="D19" s="154" t="s">
        <v>404</v>
      </c>
      <c r="E19" s="132" t="s">
        <v>405</v>
      </c>
      <c r="F19" s="105" t="s">
        <v>38</v>
      </c>
      <c r="G19" s="105"/>
      <c r="H19" s="105"/>
      <c r="I19" s="42"/>
      <c r="J19" s="42"/>
      <c r="K19" s="42"/>
      <c r="L19" s="42"/>
      <c r="M19" s="42" t="s">
        <v>406</v>
      </c>
      <c r="N19" s="42"/>
      <c r="O19" s="105" t="s">
        <v>407</v>
      </c>
      <c r="P19" s="105"/>
      <c r="Q19" s="105"/>
      <c r="R19" s="105"/>
      <c r="S19" s="42"/>
      <c r="T19" s="42"/>
      <c r="U19" s="42"/>
      <c r="V19" s="42"/>
      <c r="W19" s="42"/>
      <c r="X19" s="42"/>
      <c r="Y19" s="42"/>
      <c r="Z19" s="100"/>
      <c r="AA19" s="100"/>
      <c r="AB19" s="118"/>
      <c r="AC19" s="120"/>
      <c r="AE19" s="19">
        <v>10</v>
      </c>
      <c r="AF19" s="133" t="s">
        <v>362</v>
      </c>
      <c r="AG19" s="100" t="s">
        <v>329</v>
      </c>
      <c r="AH19" s="105"/>
      <c r="AI19" s="105"/>
      <c r="AJ19" s="42"/>
      <c r="AK19" s="42"/>
      <c r="AL19" s="42"/>
      <c r="AM19" s="42"/>
      <c r="AN19" s="42"/>
      <c r="AO19" s="42"/>
      <c r="AP19" s="105"/>
      <c r="AQ19" s="105"/>
      <c r="AR19" s="42"/>
      <c r="AS19" s="105"/>
      <c r="AT19" s="105"/>
      <c r="AU19" s="105"/>
      <c r="AV19" s="105"/>
      <c r="AW19" s="105"/>
      <c r="AX19" s="105"/>
      <c r="AY19" s="105"/>
      <c r="AZ19" s="42"/>
      <c r="BA19" s="42"/>
      <c r="BB19" s="42"/>
      <c r="BC19" s="100"/>
      <c r="BD19" s="100"/>
      <c r="BE19" s="118"/>
      <c r="BF19" s="120" t="s">
        <v>400</v>
      </c>
      <c r="BH19" s="19">
        <v>10</v>
      </c>
      <c r="BI19" s="133"/>
      <c r="BJ19" s="100"/>
      <c r="BK19" s="105"/>
      <c r="BL19" s="105"/>
      <c r="BM19" s="42"/>
      <c r="BN19" s="42"/>
      <c r="BO19" s="42"/>
      <c r="BP19" s="42"/>
      <c r="BQ19" s="42"/>
      <c r="BR19" s="105"/>
      <c r="BS19" s="105"/>
      <c r="BT19" s="105"/>
      <c r="BU19" s="42"/>
      <c r="BV19" s="42"/>
      <c r="BW19" s="42"/>
      <c r="BX19" s="100"/>
      <c r="BY19" s="100"/>
      <c r="BZ19" s="118"/>
      <c r="CA19" s="120"/>
      <c r="CC19" s="19">
        <v>10</v>
      </c>
      <c r="CD19" s="133"/>
      <c r="CE19" s="100"/>
      <c r="CF19" s="105"/>
      <c r="CG19" s="105"/>
      <c r="CH19" s="105"/>
      <c r="CI19" s="105"/>
      <c r="CJ19" s="42"/>
      <c r="CK19" s="42"/>
      <c r="CL19" s="42"/>
      <c r="CM19" s="42"/>
      <c r="CN19" s="42"/>
      <c r="CO19" s="42"/>
      <c r="CP19" s="42"/>
      <c r="CQ19" s="105"/>
      <c r="CR19" s="105"/>
      <c r="CS19" s="105"/>
      <c r="CT19" s="42"/>
      <c r="CU19" s="42"/>
      <c r="CV19" s="42"/>
      <c r="CW19" s="100"/>
      <c r="CX19" s="100"/>
      <c r="CY19" s="118"/>
      <c r="CZ19" s="120"/>
      <c r="DB19" s="19">
        <v>10</v>
      </c>
      <c r="DC19" s="133"/>
      <c r="DD19" s="100"/>
      <c r="DE19" s="105"/>
      <c r="DF19" s="105"/>
      <c r="DG19" s="42"/>
      <c r="DH19" s="42"/>
      <c r="DI19" s="42"/>
      <c r="DJ19" s="42"/>
      <c r="DK19" s="42"/>
      <c r="DL19" s="105"/>
      <c r="DM19" s="42"/>
      <c r="DN19" s="42"/>
      <c r="DO19" s="42"/>
      <c r="DP19" s="100"/>
      <c r="DQ19" s="100"/>
      <c r="DR19" s="118"/>
      <c r="DS19" s="120"/>
      <c r="DU19" s="19">
        <v>10</v>
      </c>
      <c r="DV19" s="133"/>
      <c r="DW19" s="100"/>
      <c r="DX19" s="105"/>
      <c r="DY19" s="42"/>
      <c r="DZ19" s="42"/>
      <c r="EA19" s="42"/>
      <c r="EB19" s="42"/>
      <c r="EC19" s="42"/>
      <c r="ED19" s="105"/>
      <c r="EE19" s="105"/>
      <c r="EF19" s="105"/>
      <c r="EG19" s="105"/>
      <c r="EH19" s="42"/>
      <c r="EI19" s="42"/>
      <c r="EJ19" s="42"/>
      <c r="EK19" s="100"/>
      <c r="EL19" s="100"/>
      <c r="EM19" s="118"/>
      <c r="EN19" s="120"/>
      <c r="EP19" s="147"/>
      <c r="EQ19" s="148"/>
      <c r="ER19" s="148"/>
      <c r="ES19" s="148"/>
      <c r="ET19" s="148"/>
      <c r="EU19" s="148"/>
      <c r="EV19" s="148"/>
      <c r="EW19" s="147"/>
      <c r="EX19" s="147"/>
      <c r="EY19" s="149"/>
      <c r="EZ19" s="147"/>
      <c r="FB19" s="147"/>
      <c r="FC19" s="148"/>
      <c r="FD19" s="148"/>
      <c r="FE19" s="148"/>
      <c r="FF19" s="148"/>
      <c r="FG19" s="148"/>
      <c r="FH19" s="147"/>
      <c r="FI19" s="147"/>
      <c r="FJ19" s="149"/>
      <c r="FK19" s="147"/>
      <c r="FM19" s="147"/>
      <c r="FN19" s="148"/>
      <c r="FO19" s="148"/>
      <c r="FP19" s="148"/>
      <c r="FQ19" s="148"/>
      <c r="FR19" s="148"/>
      <c r="FS19" s="148"/>
      <c r="FT19" s="148"/>
      <c r="FU19" s="148"/>
      <c r="FV19" s="148"/>
      <c r="FW19" s="148"/>
      <c r="FX19" s="148"/>
      <c r="FY19" s="148"/>
      <c r="FZ19" s="148"/>
      <c r="GA19" s="148"/>
      <c r="GB19" s="148"/>
      <c r="GC19" s="148"/>
      <c r="GD19" s="148"/>
      <c r="GE19" s="147"/>
      <c r="GF19" s="147"/>
      <c r="GG19" s="149"/>
      <c r="GH19" s="147"/>
      <c r="GJ19" s="147"/>
      <c r="GK19" s="148"/>
      <c r="GL19" s="148"/>
      <c r="GM19" s="148"/>
      <c r="GN19" s="148"/>
      <c r="GO19" s="148"/>
      <c r="GP19" s="148"/>
      <c r="GQ19" s="148"/>
      <c r="GR19" s="148"/>
      <c r="GS19" s="148"/>
      <c r="GT19" s="148"/>
      <c r="GU19" s="148"/>
      <c r="GV19" s="148"/>
      <c r="GW19" s="148"/>
      <c r="GX19" s="148"/>
      <c r="GY19" s="148"/>
      <c r="GZ19" s="148"/>
      <c r="HA19" s="148"/>
      <c r="HB19" s="148"/>
      <c r="HC19" s="147"/>
      <c r="HD19" s="147"/>
      <c r="HE19" s="149"/>
      <c r="HF19" s="147"/>
      <c r="HH19" s="147"/>
      <c r="HI19" s="148"/>
      <c r="HJ19" s="148"/>
      <c r="HK19" s="148"/>
      <c r="HL19" s="148"/>
      <c r="HM19" s="148"/>
      <c r="HN19" s="148"/>
      <c r="HO19" s="148"/>
      <c r="HP19" s="148"/>
      <c r="HQ19" s="148"/>
      <c r="HR19" s="148"/>
      <c r="HS19" s="148"/>
      <c r="HT19" s="148"/>
      <c r="HU19" s="148"/>
      <c r="HV19" s="148"/>
      <c r="HW19" s="148"/>
      <c r="HX19" s="148"/>
      <c r="HY19" s="148"/>
      <c r="HZ19" s="148"/>
      <c r="IA19" s="147"/>
      <c r="IB19" s="147"/>
      <c r="IC19" s="149"/>
      <c r="ID19" s="147"/>
      <c r="IF19" s="147"/>
      <c r="IG19" s="148"/>
      <c r="IH19" s="148"/>
      <c r="II19" s="148"/>
      <c r="IJ19" s="148"/>
      <c r="IK19" s="148"/>
      <c r="IL19" s="148"/>
      <c r="IM19" s="148"/>
      <c r="IN19" s="148"/>
      <c r="IO19" s="148"/>
      <c r="IP19" s="148"/>
      <c r="IQ19" s="148"/>
      <c r="IR19" s="148"/>
      <c r="IS19" s="148"/>
      <c r="IT19" s="148"/>
      <c r="IU19" s="148"/>
      <c r="IV19" s="148"/>
      <c r="IW19" s="147"/>
      <c r="IX19" s="147"/>
      <c r="IY19" s="149"/>
      <c r="IZ19" s="147"/>
      <c r="JB19" s="147"/>
      <c r="JC19" s="148"/>
      <c r="JD19" s="148"/>
      <c r="JE19" s="148"/>
      <c r="JF19" s="148"/>
      <c r="JG19" s="148"/>
      <c r="JH19" s="148"/>
      <c r="JI19" s="148"/>
      <c r="JJ19" s="148"/>
      <c r="JK19" s="148"/>
      <c r="JL19" s="148"/>
      <c r="JM19" s="148"/>
      <c r="JN19" s="148"/>
      <c r="JO19" s="148"/>
      <c r="JP19" s="148"/>
      <c r="JQ19" s="148"/>
      <c r="JR19" s="148"/>
      <c r="JS19" s="147"/>
      <c r="JT19" s="147"/>
      <c r="JU19" s="149"/>
      <c r="JV19" s="147"/>
      <c r="JX19" s="147"/>
      <c r="JY19" s="148"/>
      <c r="JZ19" s="148"/>
      <c r="KA19" s="148"/>
      <c r="KB19" s="148"/>
      <c r="KC19" s="148"/>
      <c r="KD19" s="148"/>
      <c r="KE19" s="148"/>
      <c r="KF19" s="148"/>
      <c r="KG19" s="148"/>
      <c r="KH19" s="148"/>
      <c r="KI19" s="148"/>
      <c r="KJ19" s="147"/>
      <c r="KK19" s="147"/>
      <c r="KL19" s="149"/>
      <c r="KM19" s="147"/>
      <c r="KO19" s="147"/>
      <c r="KP19" s="148"/>
      <c r="KQ19" s="148"/>
      <c r="KR19" s="148"/>
      <c r="KS19" s="148"/>
      <c r="KT19" s="148"/>
      <c r="KU19" s="148"/>
      <c r="KV19" s="148"/>
      <c r="KW19" s="148"/>
      <c r="KX19" s="149"/>
      <c r="KY19" s="147"/>
    </row>
    <row r="20" spans="1:311" ht="20.100000000000001" customHeight="1" x14ac:dyDescent="0.45">
      <c r="A20" s="8"/>
      <c r="B20" s="8"/>
      <c r="C20" s="19">
        <v>11</v>
      </c>
      <c r="D20" s="133" t="s">
        <v>362</v>
      </c>
      <c r="E20" s="132" t="s">
        <v>371</v>
      </c>
      <c r="F20" s="105" t="s">
        <v>38</v>
      </c>
      <c r="G20" s="105"/>
      <c r="H20" s="105"/>
      <c r="I20" s="42"/>
      <c r="J20" s="42"/>
      <c r="K20" s="42"/>
      <c r="L20" s="42"/>
      <c r="M20" s="42"/>
      <c r="N20" s="42"/>
      <c r="O20" s="105"/>
      <c r="P20" s="105"/>
      <c r="Q20" s="105"/>
      <c r="R20" s="105"/>
      <c r="S20" s="42"/>
      <c r="T20" s="42"/>
      <c r="U20" s="42"/>
      <c r="V20" s="42"/>
      <c r="W20" s="42"/>
      <c r="X20" s="42"/>
      <c r="Y20" s="42"/>
      <c r="Z20" s="100"/>
      <c r="AA20" s="100"/>
      <c r="AB20" s="118"/>
      <c r="AC20" s="120" t="str">
        <f>"(使用しない)TM製品_" &amp; E20</f>
        <v>(使用しない)TM製品_グループCD</v>
      </c>
      <c r="AE20" s="19">
        <v>11</v>
      </c>
      <c r="AF20" s="96"/>
      <c r="AG20" s="100"/>
      <c r="AH20" s="105"/>
      <c r="AI20" s="105"/>
      <c r="AJ20" s="42"/>
      <c r="AK20" s="42"/>
      <c r="AL20" s="42"/>
      <c r="AM20" s="42"/>
      <c r="AN20" s="42"/>
      <c r="AO20" s="42"/>
      <c r="AP20" s="105"/>
      <c r="AQ20" s="105"/>
      <c r="AR20" s="42"/>
      <c r="AS20" s="105"/>
      <c r="AT20" s="105"/>
      <c r="AU20" s="105"/>
      <c r="AV20" s="105"/>
      <c r="AW20" s="105"/>
      <c r="AX20" s="105"/>
      <c r="AY20" s="105"/>
      <c r="AZ20" s="42"/>
      <c r="BA20" s="42"/>
      <c r="BB20" s="42"/>
      <c r="BC20" s="100"/>
      <c r="BD20" s="100"/>
      <c r="BE20" s="118"/>
      <c r="BF20" s="120"/>
      <c r="BH20" s="19">
        <v>11</v>
      </c>
      <c r="BI20" s="96"/>
      <c r="BJ20" s="100"/>
      <c r="BK20" s="105"/>
      <c r="BL20" s="105"/>
      <c r="BM20" s="42"/>
      <c r="BN20" s="42"/>
      <c r="BO20" s="42"/>
      <c r="BP20" s="42"/>
      <c r="BQ20" s="42"/>
      <c r="BR20" s="105"/>
      <c r="BS20" s="105"/>
      <c r="BT20" s="105"/>
      <c r="BU20" s="42"/>
      <c r="BV20" s="42"/>
      <c r="BW20" s="42"/>
      <c r="BX20" s="100"/>
      <c r="BY20" s="100"/>
      <c r="BZ20" s="118"/>
      <c r="CA20" s="120"/>
      <c r="CC20" s="19">
        <v>11</v>
      </c>
      <c r="CD20" s="96"/>
      <c r="CE20" s="100"/>
      <c r="CF20" s="105"/>
      <c r="CG20" s="105"/>
      <c r="CH20" s="105"/>
      <c r="CI20" s="105"/>
      <c r="CJ20" s="42"/>
      <c r="CK20" s="42"/>
      <c r="CL20" s="42"/>
      <c r="CM20" s="42"/>
      <c r="CN20" s="42"/>
      <c r="CO20" s="42"/>
      <c r="CP20" s="42"/>
      <c r="CQ20" s="105"/>
      <c r="CR20" s="105"/>
      <c r="CS20" s="105"/>
      <c r="CT20" s="42" t="s">
        <v>20</v>
      </c>
      <c r="CU20" s="42" t="s">
        <v>20</v>
      </c>
      <c r="CV20" s="42" t="s">
        <v>20</v>
      </c>
      <c r="CW20" s="100"/>
      <c r="CX20" s="100"/>
      <c r="CY20" s="118"/>
      <c r="CZ20" s="120"/>
      <c r="DB20" s="19">
        <v>11</v>
      </c>
      <c r="DC20" s="96"/>
      <c r="DD20" s="100"/>
      <c r="DE20" s="105"/>
      <c r="DF20" s="105"/>
      <c r="DG20" s="42"/>
      <c r="DH20" s="42"/>
      <c r="DI20" s="42"/>
      <c r="DJ20" s="42"/>
      <c r="DK20" s="42"/>
      <c r="DL20" s="105"/>
      <c r="DM20" s="42" t="s">
        <v>20</v>
      </c>
      <c r="DN20" s="42" t="s">
        <v>20</v>
      </c>
      <c r="DO20" s="42" t="s">
        <v>20</v>
      </c>
      <c r="DP20" s="100"/>
      <c r="DQ20" s="100"/>
      <c r="DR20" s="118"/>
      <c r="DS20" s="120"/>
      <c r="DU20" s="19">
        <v>11</v>
      </c>
      <c r="DV20" s="96"/>
      <c r="DW20" s="100"/>
      <c r="DX20" s="105"/>
      <c r="DY20" s="42"/>
      <c r="DZ20" s="42"/>
      <c r="EA20" s="42"/>
      <c r="EB20" s="42"/>
      <c r="EC20" s="42"/>
      <c r="ED20" s="105"/>
      <c r="EE20" s="105"/>
      <c r="EF20" s="105"/>
      <c r="EG20" s="105"/>
      <c r="EH20" s="42"/>
      <c r="EI20" s="42"/>
      <c r="EJ20" s="42"/>
      <c r="EK20" s="100"/>
      <c r="EL20" s="100"/>
      <c r="EM20" s="118"/>
      <c r="EN20" s="1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</row>
    <row r="21" spans="1:311" ht="20.100000000000001" customHeight="1" x14ac:dyDescent="0.45">
      <c r="A21" s="8"/>
      <c r="B21" s="8"/>
      <c r="C21" s="19">
        <v>12</v>
      </c>
      <c r="D21" s="96" t="s">
        <v>363</v>
      </c>
      <c r="E21" s="132" t="s">
        <v>322</v>
      </c>
      <c r="F21" s="105" t="s">
        <v>38</v>
      </c>
      <c r="G21" s="105"/>
      <c r="H21" s="105"/>
      <c r="I21" s="42"/>
      <c r="J21" s="42"/>
      <c r="K21" s="42"/>
      <c r="L21" s="42"/>
      <c r="M21" s="42"/>
      <c r="N21" s="42"/>
      <c r="O21" s="105"/>
      <c r="P21" s="105"/>
      <c r="Q21" s="105"/>
      <c r="R21" s="105"/>
      <c r="S21" s="42"/>
      <c r="T21" s="42"/>
      <c r="U21" s="42"/>
      <c r="V21" s="42"/>
      <c r="W21" s="42"/>
      <c r="X21" s="42"/>
      <c r="Y21" s="42"/>
      <c r="Z21" s="100"/>
      <c r="AA21" s="100"/>
      <c r="AB21" s="118"/>
      <c r="AC21" s="120" t="str">
        <f>"(使用しない)TM製品_" &amp; E21</f>
        <v>(使用しない)TM製品_グループ</v>
      </c>
      <c r="AE21" s="19">
        <v>12</v>
      </c>
      <c r="AF21" s="133"/>
      <c r="AG21" s="100"/>
      <c r="AH21" s="105"/>
      <c r="AI21" s="105"/>
      <c r="AJ21" s="42"/>
      <c r="AK21" s="42"/>
      <c r="AL21" s="42"/>
      <c r="AM21" s="42"/>
      <c r="AN21" s="42"/>
      <c r="AO21" s="42"/>
      <c r="AP21" s="105"/>
      <c r="AQ21" s="105"/>
      <c r="AR21" s="42"/>
      <c r="AS21" s="105"/>
      <c r="AT21" s="105"/>
      <c r="AU21" s="105"/>
      <c r="AV21" s="105"/>
      <c r="AW21" s="105"/>
      <c r="AX21" s="105"/>
      <c r="AY21" s="105"/>
      <c r="AZ21" s="42"/>
      <c r="BA21" s="42"/>
      <c r="BB21" s="42"/>
      <c r="BC21" s="100"/>
      <c r="BD21" s="100"/>
      <c r="BE21" s="118"/>
      <c r="BF21" s="120"/>
      <c r="BH21" s="19">
        <v>12</v>
      </c>
      <c r="BI21" s="133"/>
      <c r="BJ21" s="100"/>
      <c r="BK21" s="105"/>
      <c r="BL21" s="105"/>
      <c r="BM21" s="42"/>
      <c r="BN21" s="42"/>
      <c r="BO21" s="42"/>
      <c r="BP21" s="42"/>
      <c r="BQ21" s="42"/>
      <c r="BR21" s="105"/>
      <c r="BS21" s="105"/>
      <c r="BT21" s="105"/>
      <c r="BU21" s="42"/>
      <c r="BV21" s="42"/>
      <c r="BW21" s="42"/>
      <c r="BX21" s="100"/>
      <c r="BY21" s="100"/>
      <c r="BZ21" s="118"/>
      <c r="CA21" s="120"/>
      <c r="CC21" s="19"/>
      <c r="CD21" s="133"/>
      <c r="CE21" s="100"/>
      <c r="CF21" s="105"/>
      <c r="CG21" s="105"/>
      <c r="CH21" s="105"/>
      <c r="CI21" s="105"/>
      <c r="CJ21" s="42"/>
      <c r="CK21" s="42"/>
      <c r="CL21" s="42"/>
      <c r="CM21" s="42"/>
      <c r="CN21" s="42"/>
      <c r="CO21" s="42"/>
      <c r="CP21" s="42"/>
      <c r="CQ21" s="105"/>
      <c r="CR21" s="105"/>
      <c r="CS21" s="105"/>
      <c r="CT21" s="42"/>
      <c r="CU21" s="42"/>
      <c r="CV21" s="42"/>
      <c r="CW21" s="100"/>
      <c r="CX21" s="100"/>
      <c r="CY21" s="118"/>
      <c r="CZ21" s="120"/>
      <c r="DB21" s="19"/>
      <c r="DC21" s="133"/>
      <c r="DD21" s="100"/>
      <c r="DE21" s="105"/>
      <c r="DF21" s="105"/>
      <c r="DG21" s="42"/>
      <c r="DH21" s="42"/>
      <c r="DI21" s="42"/>
      <c r="DJ21" s="42"/>
      <c r="DK21" s="42"/>
      <c r="DL21" s="105"/>
      <c r="DM21" s="42"/>
      <c r="DN21" s="42"/>
      <c r="DO21" s="42"/>
      <c r="DP21" s="100"/>
      <c r="DQ21" s="100"/>
      <c r="DR21" s="118"/>
      <c r="DS21" s="120"/>
      <c r="DU21" s="19"/>
      <c r="DV21" s="133"/>
      <c r="DW21" s="100"/>
      <c r="DX21" s="105"/>
      <c r="DY21" s="42"/>
      <c r="DZ21" s="42"/>
      <c r="EA21" s="42"/>
      <c r="EB21" s="42"/>
      <c r="EC21" s="42"/>
      <c r="ED21" s="105"/>
      <c r="EE21" s="105"/>
      <c r="EF21" s="105"/>
      <c r="EG21" s="105"/>
      <c r="EH21" s="42"/>
      <c r="EI21" s="42"/>
      <c r="EJ21" s="42"/>
      <c r="EK21" s="100"/>
      <c r="EL21" s="100"/>
      <c r="EM21" s="118"/>
      <c r="EN21" s="120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</row>
    <row r="22" spans="1:311" ht="18" x14ac:dyDescent="0.45">
      <c r="A22" s="5"/>
      <c r="B22" s="5"/>
      <c r="C22" s="19">
        <v>13</v>
      </c>
      <c r="D22" s="133" t="s">
        <v>364</v>
      </c>
      <c r="E22" s="132" t="s">
        <v>341</v>
      </c>
      <c r="F22" s="105" t="s">
        <v>38</v>
      </c>
      <c r="G22" s="105"/>
      <c r="H22" s="105"/>
      <c r="I22" s="42"/>
      <c r="J22" s="42"/>
      <c r="K22" s="42"/>
      <c r="L22" s="42"/>
      <c r="M22" s="42"/>
      <c r="N22" s="42"/>
      <c r="O22" s="105"/>
      <c r="P22" s="105"/>
      <c r="Q22" s="118" t="s">
        <v>408</v>
      </c>
      <c r="R22" s="105"/>
      <c r="S22" s="42" t="s">
        <v>49</v>
      </c>
      <c r="T22" s="42"/>
      <c r="U22" s="42"/>
      <c r="V22" s="42"/>
      <c r="W22" s="42" t="s">
        <v>408</v>
      </c>
      <c r="X22" s="42" t="s">
        <v>267</v>
      </c>
      <c r="Y22" s="42"/>
      <c r="Z22" s="100"/>
      <c r="AA22" s="100"/>
      <c r="AB22" s="118"/>
      <c r="AC22" s="120" t="str">
        <f t="shared" si="0"/>
        <v>TM製品_主仕入先CD</v>
      </c>
      <c r="AE22" s="19">
        <v>13</v>
      </c>
      <c r="AF22" s="96"/>
      <c r="AG22" s="100"/>
      <c r="AH22" s="105"/>
      <c r="AI22" s="105"/>
      <c r="AJ22" s="42"/>
      <c r="AK22" s="42"/>
      <c r="AL22" s="42"/>
      <c r="AM22" s="42"/>
      <c r="AN22" s="42"/>
      <c r="AO22" s="42"/>
      <c r="AP22" s="105"/>
      <c r="AQ22" s="105"/>
      <c r="AR22" s="42"/>
      <c r="AS22" s="105"/>
      <c r="AT22" s="105"/>
      <c r="AU22" s="105"/>
      <c r="AV22" s="105"/>
      <c r="AW22" s="105"/>
      <c r="AX22" s="105"/>
      <c r="AY22" s="105"/>
      <c r="AZ22" s="42"/>
      <c r="BA22" s="42"/>
      <c r="BB22" s="42"/>
      <c r="BC22" s="100"/>
      <c r="BD22" s="100"/>
      <c r="BE22" s="118"/>
      <c r="BF22" s="120"/>
      <c r="BH22" s="19">
        <v>13</v>
      </c>
      <c r="BI22" s="96"/>
      <c r="BJ22" s="100"/>
      <c r="BK22" s="105"/>
      <c r="BL22" s="105"/>
      <c r="BM22" s="42"/>
      <c r="BN22" s="42"/>
      <c r="BO22" s="42"/>
      <c r="BP22" s="42"/>
      <c r="BQ22" s="42"/>
      <c r="BR22" s="105"/>
      <c r="BS22" s="105"/>
      <c r="BT22" s="105"/>
      <c r="BU22" s="42"/>
      <c r="BV22" s="42"/>
      <c r="BW22" s="42"/>
      <c r="BX22" s="100"/>
      <c r="BY22" s="100"/>
      <c r="BZ22" s="118"/>
      <c r="CA22" s="120"/>
      <c r="CC22" s="19">
        <v>12</v>
      </c>
      <c r="CD22" s="96"/>
      <c r="CE22" s="100"/>
      <c r="CF22" s="105"/>
      <c r="CG22" s="105"/>
      <c r="CH22" s="105"/>
      <c r="CI22" s="105"/>
      <c r="CJ22" s="42"/>
      <c r="CK22" s="42"/>
      <c r="CL22" s="42"/>
      <c r="CM22" s="42"/>
      <c r="CN22" s="42"/>
      <c r="CO22" s="42"/>
      <c r="CP22" s="42"/>
      <c r="CQ22" s="105"/>
      <c r="CR22" s="105"/>
      <c r="CS22" s="105"/>
      <c r="CT22" s="42" t="s">
        <v>20</v>
      </c>
      <c r="CU22" s="42" t="s">
        <v>20</v>
      </c>
      <c r="CV22" s="42" t="s">
        <v>20</v>
      </c>
      <c r="CW22" s="100"/>
      <c r="CX22" s="100"/>
      <c r="CY22" s="118"/>
      <c r="CZ22" s="120"/>
      <c r="DB22" s="19">
        <v>12</v>
      </c>
      <c r="DC22" s="96"/>
      <c r="DD22" s="100"/>
      <c r="DE22" s="105"/>
      <c r="DF22" s="105"/>
      <c r="DG22" s="42"/>
      <c r="DH22" s="42"/>
      <c r="DI22" s="42"/>
      <c r="DJ22" s="42"/>
      <c r="DK22" s="42"/>
      <c r="DL22" s="105"/>
      <c r="DM22" s="42" t="s">
        <v>20</v>
      </c>
      <c r="DN22" s="42" t="s">
        <v>20</v>
      </c>
      <c r="DO22" s="42" t="s">
        <v>20</v>
      </c>
      <c r="DP22" s="100"/>
      <c r="DQ22" s="100"/>
      <c r="DR22" s="118"/>
      <c r="DS22" s="120"/>
      <c r="DU22" s="19">
        <v>12</v>
      </c>
      <c r="DV22" s="96"/>
      <c r="DW22" s="100"/>
      <c r="DX22" s="105"/>
      <c r="DY22" s="42"/>
      <c r="DZ22" s="42"/>
      <c r="EA22" s="42"/>
      <c r="EB22" s="42"/>
      <c r="EC22" s="42"/>
      <c r="ED22" s="105"/>
      <c r="EE22" s="105"/>
      <c r="EF22" s="105"/>
      <c r="EG22" s="105"/>
      <c r="EH22" s="42"/>
      <c r="EI22" s="42"/>
      <c r="EJ22" s="42"/>
      <c r="EK22" s="100"/>
      <c r="EL22" s="100"/>
      <c r="EM22" s="118"/>
      <c r="EN22" s="120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</row>
    <row r="23" spans="1:311" s="6" customFormat="1" ht="18" x14ac:dyDescent="0.45">
      <c r="A23" s="5"/>
      <c r="B23" s="5"/>
      <c r="C23" s="19">
        <v>14</v>
      </c>
      <c r="D23" s="96" t="s">
        <v>365</v>
      </c>
      <c r="E23" s="132" t="s">
        <v>342</v>
      </c>
      <c r="F23" s="105" t="s">
        <v>38</v>
      </c>
      <c r="G23" s="105"/>
      <c r="H23" s="105"/>
      <c r="I23" s="42"/>
      <c r="J23" s="42"/>
      <c r="K23" s="42"/>
      <c r="L23" s="42"/>
      <c r="M23" s="42" t="s">
        <v>267</v>
      </c>
      <c r="N23" s="42"/>
      <c r="O23" s="105"/>
      <c r="P23" s="105"/>
      <c r="Q23" s="118"/>
      <c r="R23" s="105"/>
      <c r="S23" s="42"/>
      <c r="T23" s="42"/>
      <c r="U23" s="42"/>
      <c r="V23" s="42"/>
      <c r="W23" s="42"/>
      <c r="X23" s="42"/>
      <c r="Y23" s="42"/>
      <c r="Z23" s="100"/>
      <c r="AA23" s="100"/>
      <c r="AB23" s="118"/>
      <c r="AC23" s="120" t="str">
        <f t="shared" si="0"/>
        <v>TM製品_主仕入先名</v>
      </c>
      <c r="AE23" s="19">
        <v>14</v>
      </c>
      <c r="AF23" s="96"/>
      <c r="AG23" s="100"/>
      <c r="AH23" s="105"/>
      <c r="AI23" s="105"/>
      <c r="AJ23" s="42" t="s">
        <v>20</v>
      </c>
      <c r="AK23" s="42" t="s">
        <v>20</v>
      </c>
      <c r="AL23" s="42" t="s">
        <v>20</v>
      </c>
      <c r="AM23" s="42" t="s">
        <v>20</v>
      </c>
      <c r="AN23" s="42" t="s">
        <v>20</v>
      </c>
      <c r="AO23" s="42" t="s">
        <v>20</v>
      </c>
      <c r="AP23" s="105"/>
      <c r="AQ23" s="105"/>
      <c r="AR23" s="42" t="s">
        <v>20</v>
      </c>
      <c r="AS23" s="105"/>
      <c r="AT23" s="105"/>
      <c r="AU23" s="105"/>
      <c r="AV23" s="105"/>
      <c r="AW23" s="105"/>
      <c r="AX23" s="105"/>
      <c r="AY23" s="105"/>
      <c r="AZ23" s="42" t="s">
        <v>20</v>
      </c>
      <c r="BA23" s="42" t="s">
        <v>20</v>
      </c>
      <c r="BB23" s="42" t="s">
        <v>20</v>
      </c>
      <c r="BC23" s="100"/>
      <c r="BD23" s="100"/>
      <c r="BE23" s="118"/>
      <c r="BF23" s="120"/>
      <c r="BH23" s="19">
        <v>14</v>
      </c>
      <c r="BI23" s="96"/>
      <c r="BJ23" s="100"/>
      <c r="BK23" s="105"/>
      <c r="BL23" s="105"/>
      <c r="BM23" s="42"/>
      <c r="BN23" s="42"/>
      <c r="BO23" s="42"/>
      <c r="BP23" s="42"/>
      <c r="BQ23" s="42"/>
      <c r="BR23" s="105"/>
      <c r="BS23" s="105"/>
      <c r="BT23" s="105"/>
      <c r="BU23" s="42"/>
      <c r="BV23" s="42"/>
      <c r="BW23" s="42"/>
      <c r="BX23" s="100"/>
      <c r="BY23" s="100"/>
      <c r="BZ23" s="118"/>
      <c r="CA23" s="120"/>
      <c r="CC23" s="19">
        <v>13</v>
      </c>
      <c r="CD23" s="96"/>
      <c r="CE23" s="100"/>
      <c r="CF23" s="105"/>
      <c r="CG23" s="105"/>
      <c r="CH23" s="105"/>
      <c r="CI23" s="105"/>
      <c r="CJ23" s="42"/>
      <c r="CK23" s="42"/>
      <c r="CL23" s="42"/>
      <c r="CM23" s="42"/>
      <c r="CN23" s="42"/>
      <c r="CO23" s="42"/>
      <c r="CP23" s="42"/>
      <c r="CQ23" s="105"/>
      <c r="CR23" s="105"/>
      <c r="CS23" s="105"/>
      <c r="CT23" s="42" t="s">
        <v>20</v>
      </c>
      <c r="CU23" s="42" t="s">
        <v>20</v>
      </c>
      <c r="CV23" s="42" t="s">
        <v>20</v>
      </c>
      <c r="CW23" s="100"/>
      <c r="CX23" s="100"/>
      <c r="CY23" s="118"/>
      <c r="CZ23" s="120"/>
      <c r="DB23" s="19">
        <v>13</v>
      </c>
      <c r="DC23" s="96"/>
      <c r="DD23" s="100"/>
      <c r="DE23" s="105"/>
      <c r="DF23" s="105"/>
      <c r="DG23" s="42"/>
      <c r="DH23" s="42"/>
      <c r="DI23" s="42"/>
      <c r="DJ23" s="42"/>
      <c r="DK23" s="42"/>
      <c r="DL23" s="105"/>
      <c r="DM23" s="42" t="s">
        <v>20</v>
      </c>
      <c r="DN23" s="42" t="s">
        <v>20</v>
      </c>
      <c r="DO23" s="42" t="s">
        <v>20</v>
      </c>
      <c r="DP23" s="100"/>
      <c r="DQ23" s="100"/>
      <c r="DR23" s="118"/>
      <c r="DS23" s="120"/>
      <c r="DU23" s="19">
        <v>13</v>
      </c>
      <c r="DV23" s="96"/>
      <c r="DW23" s="100"/>
      <c r="DX23" s="105"/>
      <c r="DY23" s="42"/>
      <c r="DZ23" s="42"/>
      <c r="EA23" s="42"/>
      <c r="EB23" s="42"/>
      <c r="EC23" s="42"/>
      <c r="ED23" s="105"/>
      <c r="EE23" s="105"/>
      <c r="EF23" s="105"/>
      <c r="EG23" s="105"/>
      <c r="EH23" s="42"/>
      <c r="EI23" s="42"/>
      <c r="EJ23" s="42"/>
      <c r="EK23" s="100"/>
      <c r="EL23" s="100"/>
      <c r="EM23" s="118"/>
      <c r="EN23" s="120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</row>
    <row r="24" spans="1:311" s="6" customFormat="1" ht="18" x14ac:dyDescent="0.45">
      <c r="A24" s="5"/>
      <c r="B24" s="5"/>
      <c r="C24" s="19">
        <v>15</v>
      </c>
      <c r="D24" s="96" t="s">
        <v>366</v>
      </c>
      <c r="E24" s="132" t="s">
        <v>372</v>
      </c>
      <c r="F24" s="105" t="s">
        <v>38</v>
      </c>
      <c r="G24" s="105"/>
      <c r="H24" s="105"/>
      <c r="I24" s="42" t="s">
        <v>267</v>
      </c>
      <c r="J24" s="42"/>
      <c r="K24" s="42"/>
      <c r="L24" s="42"/>
      <c r="M24" s="42"/>
      <c r="N24" s="42"/>
      <c r="O24" s="105">
        <v>0</v>
      </c>
      <c r="P24" s="105"/>
      <c r="Q24" s="118" t="s">
        <v>408</v>
      </c>
      <c r="R24" s="105"/>
      <c r="S24" s="42"/>
      <c r="T24" s="42"/>
      <c r="U24" s="42"/>
      <c r="V24" s="42"/>
      <c r="W24" s="42"/>
      <c r="X24" s="42" t="s">
        <v>408</v>
      </c>
      <c r="Y24" s="42"/>
      <c r="Z24" s="100"/>
      <c r="AA24" s="100"/>
      <c r="AB24" s="118"/>
      <c r="AC24" s="120" t="str">
        <f t="shared" si="0"/>
        <v>TM製品_売上税区分CD</v>
      </c>
      <c r="AE24" s="19">
        <v>15</v>
      </c>
      <c r="AF24" s="98"/>
      <c r="AG24" s="100"/>
      <c r="AH24" s="105"/>
      <c r="AI24" s="105"/>
      <c r="AJ24" s="42" t="s">
        <v>20</v>
      </c>
      <c r="AK24" s="42" t="s">
        <v>20</v>
      </c>
      <c r="AL24" s="42" t="s">
        <v>20</v>
      </c>
      <c r="AM24" s="42" t="s">
        <v>20</v>
      </c>
      <c r="AN24" s="42" t="s">
        <v>20</v>
      </c>
      <c r="AO24" s="42" t="s">
        <v>20</v>
      </c>
      <c r="AP24" s="105"/>
      <c r="AQ24" s="105"/>
      <c r="AR24" s="42" t="s">
        <v>20</v>
      </c>
      <c r="AS24" s="105"/>
      <c r="AT24" s="105"/>
      <c r="AU24" s="105"/>
      <c r="AV24" s="105"/>
      <c r="AW24" s="105"/>
      <c r="AX24" s="105"/>
      <c r="AY24" s="105"/>
      <c r="AZ24" s="42" t="s">
        <v>20</v>
      </c>
      <c r="BA24" s="42" t="s">
        <v>20</v>
      </c>
      <c r="BB24" s="42" t="s">
        <v>20</v>
      </c>
      <c r="BC24" s="100"/>
      <c r="BD24" s="100"/>
      <c r="BE24" s="118"/>
      <c r="BF24" s="120"/>
      <c r="BH24" s="19">
        <v>15</v>
      </c>
      <c r="BI24" s="98"/>
      <c r="BJ24" s="100"/>
      <c r="BK24" s="105"/>
      <c r="BL24" s="105"/>
      <c r="BM24" s="42" t="s">
        <v>20</v>
      </c>
      <c r="BN24" s="42" t="s">
        <v>20</v>
      </c>
      <c r="BO24" s="42" t="s">
        <v>20</v>
      </c>
      <c r="BP24" s="42" t="s">
        <v>20</v>
      </c>
      <c r="BQ24" s="42" t="s">
        <v>20</v>
      </c>
      <c r="BR24" s="105"/>
      <c r="BS24" s="105"/>
      <c r="BT24" s="105"/>
      <c r="BU24" s="42" t="s">
        <v>20</v>
      </c>
      <c r="BV24" s="42" t="s">
        <v>20</v>
      </c>
      <c r="BW24" s="42" t="s">
        <v>20</v>
      </c>
      <c r="BX24" s="100"/>
      <c r="BY24" s="100"/>
      <c r="BZ24" s="118"/>
      <c r="CA24" s="120"/>
      <c r="CC24" s="19">
        <v>14</v>
      </c>
      <c r="CD24" s="98"/>
      <c r="CE24" s="100"/>
      <c r="CF24" s="105"/>
      <c r="CG24" s="105"/>
      <c r="CH24" s="105"/>
      <c r="CI24" s="105"/>
      <c r="CJ24" s="42"/>
      <c r="CK24" s="42"/>
      <c r="CL24" s="42"/>
      <c r="CM24" s="42"/>
      <c r="CN24" s="42"/>
      <c r="CO24" s="42"/>
      <c r="CP24" s="42"/>
      <c r="CQ24" s="105"/>
      <c r="CR24" s="105"/>
      <c r="CS24" s="105"/>
      <c r="CT24" s="42" t="s">
        <v>20</v>
      </c>
      <c r="CU24" s="42" t="s">
        <v>20</v>
      </c>
      <c r="CV24" s="42" t="s">
        <v>20</v>
      </c>
      <c r="CW24" s="100"/>
      <c r="CX24" s="100"/>
      <c r="CY24" s="118"/>
      <c r="CZ24" s="120"/>
      <c r="DB24" s="19">
        <v>14</v>
      </c>
      <c r="DC24" s="98"/>
      <c r="DD24" s="100"/>
      <c r="DE24" s="105"/>
      <c r="DF24" s="105"/>
      <c r="DG24" s="42"/>
      <c r="DH24" s="42"/>
      <c r="DI24" s="42"/>
      <c r="DJ24" s="42"/>
      <c r="DK24" s="42"/>
      <c r="DL24" s="105"/>
      <c r="DM24" s="42" t="s">
        <v>20</v>
      </c>
      <c r="DN24" s="42" t="s">
        <v>20</v>
      </c>
      <c r="DO24" s="42" t="s">
        <v>20</v>
      </c>
      <c r="DP24" s="100"/>
      <c r="DQ24" s="100"/>
      <c r="DR24" s="118"/>
      <c r="DS24" s="120"/>
      <c r="DU24" s="19">
        <v>14</v>
      </c>
      <c r="DV24" s="98"/>
      <c r="DW24" s="100"/>
      <c r="DX24" s="105"/>
      <c r="DY24" s="42"/>
      <c r="DZ24" s="42"/>
      <c r="EA24" s="42"/>
      <c r="EB24" s="42"/>
      <c r="EC24" s="42"/>
      <c r="ED24" s="105"/>
      <c r="EE24" s="105"/>
      <c r="EF24" s="105"/>
      <c r="EG24" s="105"/>
      <c r="EH24" s="42"/>
      <c r="EI24" s="42"/>
      <c r="EJ24" s="42"/>
      <c r="EK24" s="100"/>
      <c r="EL24" s="100"/>
      <c r="EM24" s="118"/>
      <c r="EN24" s="120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</row>
    <row r="25" spans="1:311" s="6" customFormat="1" ht="20.100000000000001" customHeight="1" x14ac:dyDescent="0.45">
      <c r="A25" s="5"/>
      <c r="B25" s="5"/>
      <c r="C25" s="19">
        <v>16</v>
      </c>
      <c r="D25" s="98" t="s">
        <v>367</v>
      </c>
      <c r="E25" s="132" t="s">
        <v>373</v>
      </c>
      <c r="F25" s="105" t="s">
        <v>38</v>
      </c>
      <c r="G25" s="105"/>
      <c r="H25" s="105"/>
      <c r="I25" s="42"/>
      <c r="J25" s="42"/>
      <c r="K25" s="42"/>
      <c r="L25" s="42"/>
      <c r="M25" s="42" t="s">
        <v>267</v>
      </c>
      <c r="N25" s="42"/>
      <c r="O25" s="105" t="s">
        <v>409</v>
      </c>
      <c r="P25" s="105"/>
      <c r="Q25" s="118"/>
      <c r="R25" s="105"/>
      <c r="S25" s="42"/>
      <c r="T25" s="42"/>
      <c r="U25" s="42"/>
      <c r="V25" s="42"/>
      <c r="W25" s="42"/>
      <c r="X25" s="42"/>
      <c r="Y25" s="42"/>
      <c r="Z25" s="100"/>
      <c r="AA25" s="100"/>
      <c r="AB25" s="118"/>
      <c r="AC25" s="120" t="str">
        <f t="shared" si="0"/>
        <v>TM製品_売上税区分</v>
      </c>
      <c r="AE25" s="19">
        <v>16</v>
      </c>
      <c r="AF25" s="96"/>
      <c r="AG25" s="100"/>
      <c r="AH25" s="105"/>
      <c r="AI25" s="105"/>
      <c r="AJ25" s="42" t="s">
        <v>20</v>
      </c>
      <c r="AK25" s="42" t="s">
        <v>20</v>
      </c>
      <c r="AL25" s="42" t="s">
        <v>20</v>
      </c>
      <c r="AM25" s="42" t="s">
        <v>20</v>
      </c>
      <c r="AN25" s="42" t="s">
        <v>20</v>
      </c>
      <c r="AO25" s="42" t="s">
        <v>20</v>
      </c>
      <c r="AP25" s="105"/>
      <c r="AQ25" s="105"/>
      <c r="AR25" s="42" t="s">
        <v>20</v>
      </c>
      <c r="AS25" s="105"/>
      <c r="AT25" s="105"/>
      <c r="AU25" s="105"/>
      <c r="AV25" s="105"/>
      <c r="AW25" s="105"/>
      <c r="AX25" s="105"/>
      <c r="AY25" s="105"/>
      <c r="AZ25" s="42" t="s">
        <v>20</v>
      </c>
      <c r="BA25" s="42" t="s">
        <v>20</v>
      </c>
      <c r="BB25" s="42" t="s">
        <v>20</v>
      </c>
      <c r="BC25" s="100"/>
      <c r="BD25" s="100"/>
      <c r="BE25" s="118"/>
      <c r="BF25" s="120"/>
      <c r="BH25" s="19">
        <v>16</v>
      </c>
      <c r="BI25" s="96"/>
      <c r="BJ25" s="100"/>
      <c r="BK25" s="105"/>
      <c r="BL25" s="105"/>
      <c r="BM25" s="42" t="s">
        <v>20</v>
      </c>
      <c r="BN25" s="42" t="s">
        <v>20</v>
      </c>
      <c r="BO25" s="42" t="s">
        <v>20</v>
      </c>
      <c r="BP25" s="42" t="s">
        <v>20</v>
      </c>
      <c r="BQ25" s="42" t="s">
        <v>20</v>
      </c>
      <c r="BR25" s="105"/>
      <c r="BS25" s="105"/>
      <c r="BT25" s="105"/>
      <c r="BU25" s="42" t="s">
        <v>20</v>
      </c>
      <c r="BV25" s="42" t="s">
        <v>20</v>
      </c>
      <c r="BW25" s="42" t="s">
        <v>20</v>
      </c>
      <c r="BX25" s="100"/>
      <c r="BY25" s="100"/>
      <c r="BZ25" s="118"/>
      <c r="CA25" s="120"/>
      <c r="CC25" s="19">
        <v>15</v>
      </c>
      <c r="CD25" s="96"/>
      <c r="CE25" s="100"/>
      <c r="CF25" s="105"/>
      <c r="CG25" s="105"/>
      <c r="CH25" s="105"/>
      <c r="CI25" s="105"/>
      <c r="CJ25" s="42"/>
      <c r="CK25" s="42"/>
      <c r="CL25" s="42"/>
      <c r="CM25" s="42"/>
      <c r="CN25" s="42"/>
      <c r="CO25" s="42"/>
      <c r="CP25" s="42"/>
      <c r="CQ25" s="105"/>
      <c r="CR25" s="105"/>
      <c r="CS25" s="105"/>
      <c r="CT25" s="42" t="s">
        <v>20</v>
      </c>
      <c r="CU25" s="42" t="s">
        <v>20</v>
      </c>
      <c r="CV25" s="42" t="s">
        <v>20</v>
      </c>
      <c r="CW25" s="100"/>
      <c r="CX25" s="100"/>
      <c r="CY25" s="118"/>
      <c r="CZ25" s="120"/>
      <c r="DB25" s="19">
        <v>15</v>
      </c>
      <c r="DC25" s="96"/>
      <c r="DD25" s="100"/>
      <c r="DE25" s="105"/>
      <c r="DF25" s="105"/>
      <c r="DG25" s="42"/>
      <c r="DH25" s="42"/>
      <c r="DI25" s="42"/>
      <c r="DJ25" s="42"/>
      <c r="DK25" s="42"/>
      <c r="DL25" s="105"/>
      <c r="DM25" s="42" t="s">
        <v>20</v>
      </c>
      <c r="DN25" s="42" t="s">
        <v>20</v>
      </c>
      <c r="DO25" s="42" t="s">
        <v>20</v>
      </c>
      <c r="DP25" s="100"/>
      <c r="DQ25" s="100"/>
      <c r="DR25" s="118"/>
      <c r="DS25" s="120"/>
      <c r="DU25" s="19">
        <v>15</v>
      </c>
      <c r="DV25" s="96"/>
      <c r="DW25" s="100"/>
      <c r="DX25" s="105"/>
      <c r="DY25" s="42"/>
      <c r="DZ25" s="42"/>
      <c r="EA25" s="42"/>
      <c r="EB25" s="42"/>
      <c r="EC25" s="42"/>
      <c r="ED25" s="105"/>
      <c r="EE25" s="105"/>
      <c r="EF25" s="105"/>
      <c r="EG25" s="105"/>
      <c r="EH25" s="42"/>
      <c r="EI25" s="42"/>
      <c r="EJ25" s="42"/>
      <c r="EK25" s="100"/>
      <c r="EL25" s="100"/>
      <c r="EM25" s="118"/>
      <c r="EN25" s="120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</row>
    <row r="26" spans="1:311" s="6" customFormat="1" ht="20.100000000000001" customHeight="1" x14ac:dyDescent="0.45">
      <c r="A26" s="5"/>
      <c r="B26" s="5"/>
      <c r="C26" s="19">
        <v>17</v>
      </c>
      <c r="D26" s="96" t="s">
        <v>368</v>
      </c>
      <c r="E26" s="132" t="s">
        <v>374</v>
      </c>
      <c r="F26" s="105" t="s">
        <v>38</v>
      </c>
      <c r="G26" s="105"/>
      <c r="H26" s="105"/>
      <c r="I26" s="42" t="s">
        <v>267</v>
      </c>
      <c r="J26" s="42"/>
      <c r="K26" s="42"/>
      <c r="L26" s="42"/>
      <c r="M26" s="42"/>
      <c r="N26" s="42"/>
      <c r="O26" s="105">
        <v>0</v>
      </c>
      <c r="P26" s="105"/>
      <c r="Q26" s="118" t="s">
        <v>408</v>
      </c>
      <c r="R26" s="105"/>
      <c r="S26" s="42"/>
      <c r="T26" s="42"/>
      <c r="U26" s="42"/>
      <c r="V26" s="42"/>
      <c r="W26" s="42"/>
      <c r="X26" s="42" t="s">
        <v>267</v>
      </c>
      <c r="Y26" s="42"/>
      <c r="Z26" s="100"/>
      <c r="AA26" s="100"/>
      <c r="AB26" s="118"/>
      <c r="AC26" s="120" t="str">
        <f t="shared" si="0"/>
        <v>TM製品_仕入税区分CD</v>
      </c>
      <c r="AE26" s="19">
        <v>17</v>
      </c>
      <c r="AF26" s="96"/>
      <c r="AG26" s="100"/>
      <c r="AH26" s="105"/>
      <c r="AI26" s="105"/>
      <c r="AJ26" s="42" t="s">
        <v>20</v>
      </c>
      <c r="AK26" s="42" t="s">
        <v>20</v>
      </c>
      <c r="AL26" s="42" t="s">
        <v>20</v>
      </c>
      <c r="AM26" s="42" t="s">
        <v>20</v>
      </c>
      <c r="AN26" s="42" t="s">
        <v>20</v>
      </c>
      <c r="AO26" s="42" t="s">
        <v>20</v>
      </c>
      <c r="AP26" s="105"/>
      <c r="AQ26" s="105"/>
      <c r="AR26" s="42" t="s">
        <v>20</v>
      </c>
      <c r="AS26" s="105"/>
      <c r="AT26" s="105"/>
      <c r="AU26" s="105"/>
      <c r="AV26" s="105"/>
      <c r="AW26" s="105"/>
      <c r="AX26" s="105"/>
      <c r="AY26" s="105"/>
      <c r="AZ26" s="42" t="s">
        <v>20</v>
      </c>
      <c r="BA26" s="42" t="s">
        <v>20</v>
      </c>
      <c r="BB26" s="42" t="s">
        <v>20</v>
      </c>
      <c r="BC26" s="100"/>
      <c r="BD26" s="100"/>
      <c r="BE26" s="118"/>
      <c r="BF26" s="120"/>
      <c r="BH26" s="19">
        <v>17</v>
      </c>
      <c r="BI26" s="96"/>
      <c r="BJ26" s="100"/>
      <c r="BK26" s="105"/>
      <c r="BL26" s="105"/>
      <c r="BM26" s="42" t="s">
        <v>20</v>
      </c>
      <c r="BN26" s="42" t="s">
        <v>20</v>
      </c>
      <c r="BO26" s="42" t="s">
        <v>20</v>
      </c>
      <c r="BP26" s="42" t="s">
        <v>20</v>
      </c>
      <c r="BQ26" s="42" t="s">
        <v>20</v>
      </c>
      <c r="BR26" s="105"/>
      <c r="BS26" s="105"/>
      <c r="BT26" s="105"/>
      <c r="BU26" s="42" t="s">
        <v>20</v>
      </c>
      <c r="BV26" s="42" t="s">
        <v>20</v>
      </c>
      <c r="BW26" s="42" t="s">
        <v>20</v>
      </c>
      <c r="BX26" s="100"/>
      <c r="BY26" s="100"/>
      <c r="BZ26" s="118"/>
      <c r="CA26" s="120"/>
      <c r="CC26" s="19">
        <v>16</v>
      </c>
      <c r="CD26" s="96"/>
      <c r="CE26" s="100"/>
      <c r="CF26" s="105"/>
      <c r="CG26" s="105"/>
      <c r="CH26" s="105"/>
      <c r="CI26" s="105"/>
      <c r="CJ26" s="42" t="s">
        <v>20</v>
      </c>
      <c r="CK26" s="42" t="s">
        <v>20</v>
      </c>
      <c r="CL26" s="42" t="s">
        <v>20</v>
      </c>
      <c r="CM26" s="42" t="s">
        <v>20</v>
      </c>
      <c r="CN26" s="42" t="s">
        <v>20</v>
      </c>
      <c r="CO26" s="42" t="s">
        <v>20</v>
      </c>
      <c r="CP26" s="42" t="s">
        <v>20</v>
      </c>
      <c r="CQ26" s="105"/>
      <c r="CR26" s="105"/>
      <c r="CS26" s="105"/>
      <c r="CT26" s="42" t="s">
        <v>20</v>
      </c>
      <c r="CU26" s="42" t="s">
        <v>20</v>
      </c>
      <c r="CV26" s="42" t="s">
        <v>20</v>
      </c>
      <c r="CW26" s="100"/>
      <c r="CX26" s="100"/>
      <c r="CY26" s="118"/>
      <c r="CZ26" s="120"/>
      <c r="DB26" s="19">
        <v>16</v>
      </c>
      <c r="DC26" s="96"/>
      <c r="DD26" s="100"/>
      <c r="DE26" s="105"/>
      <c r="DF26" s="105"/>
      <c r="DG26" s="42"/>
      <c r="DH26" s="42"/>
      <c r="DI26" s="42"/>
      <c r="DJ26" s="42"/>
      <c r="DK26" s="42"/>
      <c r="DL26" s="105"/>
      <c r="DM26" s="42" t="s">
        <v>20</v>
      </c>
      <c r="DN26" s="42" t="s">
        <v>20</v>
      </c>
      <c r="DO26" s="42" t="s">
        <v>20</v>
      </c>
      <c r="DP26" s="100"/>
      <c r="DQ26" s="100"/>
      <c r="DR26" s="118"/>
      <c r="DS26" s="120"/>
      <c r="DU26" s="19">
        <v>16</v>
      </c>
      <c r="DV26" s="96"/>
      <c r="DW26" s="100"/>
      <c r="DX26" s="105"/>
      <c r="DY26" s="42"/>
      <c r="DZ26" s="42"/>
      <c r="EA26" s="42"/>
      <c r="EB26" s="42"/>
      <c r="EC26" s="42"/>
      <c r="ED26" s="105"/>
      <c r="EE26" s="105"/>
      <c r="EF26" s="105"/>
      <c r="EG26" s="105"/>
      <c r="EH26" s="42"/>
      <c r="EI26" s="42"/>
      <c r="EJ26" s="42"/>
      <c r="EK26" s="100"/>
      <c r="EL26" s="100"/>
      <c r="EM26" s="118"/>
      <c r="EN26" s="120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</row>
    <row r="27" spans="1:311" s="6" customFormat="1" ht="20.100000000000001" customHeight="1" x14ac:dyDescent="0.45">
      <c r="A27" s="5"/>
      <c r="B27" s="5"/>
      <c r="C27" s="19">
        <v>18</v>
      </c>
      <c r="D27" s="96" t="s">
        <v>369</v>
      </c>
      <c r="E27" s="132" t="s">
        <v>327</v>
      </c>
      <c r="F27" s="105" t="s">
        <v>38</v>
      </c>
      <c r="G27" s="105"/>
      <c r="H27" s="105"/>
      <c r="I27" s="42"/>
      <c r="J27" s="42"/>
      <c r="K27" s="42"/>
      <c r="L27" s="42"/>
      <c r="M27" s="42" t="s">
        <v>267</v>
      </c>
      <c r="N27" s="42"/>
      <c r="O27" s="105" t="s">
        <v>409</v>
      </c>
      <c r="P27" s="105"/>
      <c r="Q27" s="105"/>
      <c r="R27" s="105"/>
      <c r="S27" s="42"/>
      <c r="T27" s="42"/>
      <c r="U27" s="42"/>
      <c r="V27" s="42"/>
      <c r="W27" s="42"/>
      <c r="X27" s="42"/>
      <c r="Y27" s="42"/>
      <c r="Z27" s="100"/>
      <c r="AA27" s="100"/>
      <c r="AB27" s="118"/>
      <c r="AC27" s="120" t="str">
        <f t="shared" si="0"/>
        <v>TM製品_仕入税区分</v>
      </c>
      <c r="AE27" s="19">
        <v>18</v>
      </c>
      <c r="AF27" s="96"/>
      <c r="AG27" s="100"/>
      <c r="AH27" s="105"/>
      <c r="AI27" s="105"/>
      <c r="AJ27" s="42" t="s">
        <v>20</v>
      </c>
      <c r="AK27" s="42" t="s">
        <v>20</v>
      </c>
      <c r="AL27" s="42" t="s">
        <v>20</v>
      </c>
      <c r="AM27" s="42" t="s">
        <v>20</v>
      </c>
      <c r="AN27" s="42" t="s">
        <v>20</v>
      </c>
      <c r="AO27" s="42" t="s">
        <v>20</v>
      </c>
      <c r="AP27" s="105"/>
      <c r="AQ27" s="105"/>
      <c r="AR27" s="42" t="s">
        <v>20</v>
      </c>
      <c r="AS27" s="105"/>
      <c r="AT27" s="105"/>
      <c r="AU27" s="105"/>
      <c r="AV27" s="105"/>
      <c r="AW27" s="105"/>
      <c r="AX27" s="105"/>
      <c r="AY27" s="105"/>
      <c r="AZ27" s="42" t="s">
        <v>20</v>
      </c>
      <c r="BA27" s="42" t="s">
        <v>20</v>
      </c>
      <c r="BB27" s="42" t="s">
        <v>20</v>
      </c>
      <c r="BC27" s="100"/>
      <c r="BD27" s="100"/>
      <c r="BE27" s="118"/>
      <c r="BF27" s="120"/>
      <c r="BH27" s="19">
        <v>18</v>
      </c>
      <c r="BI27" s="96"/>
      <c r="BJ27" s="100"/>
      <c r="BK27" s="105"/>
      <c r="BL27" s="105"/>
      <c r="BM27" s="42" t="s">
        <v>20</v>
      </c>
      <c r="BN27" s="42" t="s">
        <v>20</v>
      </c>
      <c r="BO27" s="42" t="s">
        <v>20</v>
      </c>
      <c r="BP27" s="42" t="s">
        <v>20</v>
      </c>
      <c r="BQ27" s="42" t="s">
        <v>20</v>
      </c>
      <c r="BR27" s="105"/>
      <c r="BS27" s="105"/>
      <c r="BT27" s="105"/>
      <c r="BU27" s="42" t="s">
        <v>20</v>
      </c>
      <c r="BV27" s="42" t="s">
        <v>20</v>
      </c>
      <c r="BW27" s="42" t="s">
        <v>20</v>
      </c>
      <c r="BX27" s="100"/>
      <c r="BY27" s="100"/>
      <c r="BZ27" s="118"/>
      <c r="CA27" s="120"/>
      <c r="CC27" s="19">
        <v>17</v>
      </c>
      <c r="CD27" s="96"/>
      <c r="CE27" s="100"/>
      <c r="CF27" s="105"/>
      <c r="CG27" s="105"/>
      <c r="CH27" s="105"/>
      <c r="CI27" s="105"/>
      <c r="CJ27" s="42" t="s">
        <v>20</v>
      </c>
      <c r="CK27" s="42" t="s">
        <v>20</v>
      </c>
      <c r="CL27" s="42" t="s">
        <v>20</v>
      </c>
      <c r="CM27" s="42" t="s">
        <v>20</v>
      </c>
      <c r="CN27" s="42" t="s">
        <v>20</v>
      </c>
      <c r="CO27" s="42" t="s">
        <v>20</v>
      </c>
      <c r="CP27" s="42" t="s">
        <v>20</v>
      </c>
      <c r="CQ27" s="105"/>
      <c r="CR27" s="105"/>
      <c r="CS27" s="105"/>
      <c r="CT27" s="42" t="s">
        <v>20</v>
      </c>
      <c r="CU27" s="42" t="s">
        <v>20</v>
      </c>
      <c r="CV27" s="42" t="s">
        <v>20</v>
      </c>
      <c r="CW27" s="100"/>
      <c r="CX27" s="100"/>
      <c r="CY27" s="118"/>
      <c r="CZ27" s="120"/>
      <c r="DB27" s="19">
        <v>17</v>
      </c>
      <c r="DC27" s="96"/>
      <c r="DD27" s="100"/>
      <c r="DE27" s="105"/>
      <c r="DF27" s="105"/>
      <c r="DG27" s="42" t="s">
        <v>20</v>
      </c>
      <c r="DH27" s="42" t="s">
        <v>20</v>
      </c>
      <c r="DI27" s="42" t="s">
        <v>20</v>
      </c>
      <c r="DJ27" s="42" t="s">
        <v>20</v>
      </c>
      <c r="DK27" s="42" t="s">
        <v>20</v>
      </c>
      <c r="DL27" s="105"/>
      <c r="DM27" s="42" t="s">
        <v>20</v>
      </c>
      <c r="DN27" s="42" t="s">
        <v>20</v>
      </c>
      <c r="DO27" s="42" t="s">
        <v>20</v>
      </c>
      <c r="DP27" s="100"/>
      <c r="DQ27" s="100"/>
      <c r="DR27" s="118"/>
      <c r="DS27" s="120"/>
      <c r="DU27" s="19">
        <v>17</v>
      </c>
      <c r="DV27" s="96"/>
      <c r="DW27" s="100"/>
      <c r="DX27" s="105"/>
      <c r="DY27" s="42" t="s">
        <v>20</v>
      </c>
      <c r="DZ27" s="42" t="s">
        <v>20</v>
      </c>
      <c r="EA27" s="42" t="s">
        <v>20</v>
      </c>
      <c r="EB27" s="42"/>
      <c r="EC27" s="42" t="s">
        <v>20</v>
      </c>
      <c r="ED27" s="105"/>
      <c r="EE27" s="105"/>
      <c r="EF27" s="105"/>
      <c r="EG27" s="105"/>
      <c r="EH27" s="42" t="s">
        <v>20</v>
      </c>
      <c r="EI27" s="42" t="s">
        <v>20</v>
      </c>
      <c r="EJ27" s="42" t="s">
        <v>20</v>
      </c>
      <c r="EK27" s="100"/>
      <c r="EL27" s="100"/>
      <c r="EM27" s="118"/>
      <c r="EN27" s="120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</row>
    <row r="28" spans="1:311" s="6" customFormat="1" ht="20.100000000000001" customHeight="1" x14ac:dyDescent="0.45">
      <c r="A28" s="5"/>
      <c r="B28" s="5"/>
      <c r="C28" s="19">
        <v>19</v>
      </c>
      <c r="D28" s="96" t="s">
        <v>370</v>
      </c>
      <c r="E28" s="132" t="s">
        <v>375</v>
      </c>
      <c r="F28" s="105" t="s">
        <v>38</v>
      </c>
      <c r="G28" s="105"/>
      <c r="H28" s="105"/>
      <c r="I28" s="42" t="s">
        <v>267</v>
      </c>
      <c r="J28" s="42"/>
      <c r="K28" s="42"/>
      <c r="L28" s="42"/>
      <c r="M28" s="42"/>
      <c r="N28" s="42"/>
      <c r="O28" s="105">
        <v>0</v>
      </c>
      <c r="P28" s="105"/>
      <c r="Q28" s="118" t="s">
        <v>408</v>
      </c>
      <c r="R28" s="105"/>
      <c r="S28" s="42"/>
      <c r="T28" s="42"/>
      <c r="U28" s="42"/>
      <c r="V28" s="42"/>
      <c r="W28" s="42"/>
      <c r="X28" s="42" t="s">
        <v>408</v>
      </c>
      <c r="Y28" s="42"/>
      <c r="Z28" s="100"/>
      <c r="AA28" s="100"/>
      <c r="AB28" s="118"/>
      <c r="AC28" s="120" t="str">
        <f t="shared" si="0"/>
        <v>TM製品_在庫区分CD</v>
      </c>
      <c r="AE28" s="19">
        <v>19</v>
      </c>
      <c r="AF28" s="133"/>
      <c r="AG28" s="100"/>
      <c r="AH28" s="105"/>
      <c r="AI28" s="105"/>
      <c r="AJ28" s="42"/>
      <c r="AK28" s="42"/>
      <c r="AL28" s="42"/>
      <c r="AM28" s="42"/>
      <c r="AN28" s="42"/>
      <c r="AO28" s="42"/>
      <c r="AP28" s="105"/>
      <c r="AQ28" s="105"/>
      <c r="AR28" s="42"/>
      <c r="AS28" s="105"/>
      <c r="AT28" s="105"/>
      <c r="AU28" s="105"/>
      <c r="AV28" s="105"/>
      <c r="AW28" s="105"/>
      <c r="AX28" s="105"/>
      <c r="AY28" s="105"/>
      <c r="AZ28" s="42"/>
      <c r="BA28" s="42"/>
      <c r="BB28" s="42"/>
      <c r="BC28" s="100"/>
      <c r="BD28" s="100"/>
      <c r="BE28" s="118"/>
      <c r="BF28" s="120"/>
      <c r="BH28" s="19">
        <v>19</v>
      </c>
      <c r="BI28" s="133"/>
      <c r="BJ28" s="100"/>
      <c r="BK28" s="105"/>
      <c r="BL28" s="105"/>
      <c r="BM28" s="42"/>
      <c r="BN28" s="42"/>
      <c r="BO28" s="42"/>
      <c r="BP28" s="42"/>
      <c r="BQ28" s="42"/>
      <c r="BR28" s="105"/>
      <c r="BS28" s="105"/>
      <c r="BT28" s="105"/>
      <c r="BU28" s="42"/>
      <c r="BV28" s="42"/>
      <c r="BW28" s="42"/>
      <c r="BX28" s="100"/>
      <c r="BY28" s="100"/>
      <c r="BZ28" s="118"/>
      <c r="CA28" s="120"/>
      <c r="CC28" s="19">
        <v>18</v>
      </c>
      <c r="CD28" s="133"/>
      <c r="CE28" s="100"/>
      <c r="CF28" s="105"/>
      <c r="CG28" s="105"/>
      <c r="CH28" s="105"/>
      <c r="CI28" s="105"/>
      <c r="CJ28" s="42"/>
      <c r="CK28" s="42"/>
      <c r="CL28" s="42"/>
      <c r="CM28" s="42"/>
      <c r="CN28" s="42"/>
      <c r="CO28" s="42"/>
      <c r="CP28" s="42"/>
      <c r="CQ28" s="105"/>
      <c r="CR28" s="105"/>
      <c r="CS28" s="105"/>
      <c r="CT28" s="42"/>
      <c r="CU28" s="42"/>
      <c r="CV28" s="42"/>
      <c r="CW28" s="100"/>
      <c r="CX28" s="100"/>
      <c r="CY28" s="118"/>
      <c r="CZ28" s="120"/>
      <c r="DB28" s="19">
        <v>18</v>
      </c>
      <c r="DC28" s="133"/>
      <c r="DD28" s="100"/>
      <c r="DE28" s="105"/>
      <c r="DF28" s="105"/>
      <c r="DG28" s="42"/>
      <c r="DH28" s="42"/>
      <c r="DI28" s="42"/>
      <c r="DJ28" s="42"/>
      <c r="DK28" s="42"/>
      <c r="DL28" s="105"/>
      <c r="DM28" s="42"/>
      <c r="DN28" s="42"/>
      <c r="DO28" s="42"/>
      <c r="DP28" s="100"/>
      <c r="DQ28" s="100"/>
      <c r="DR28" s="118"/>
      <c r="DS28" s="120"/>
      <c r="DU28" s="19">
        <v>18</v>
      </c>
      <c r="DV28" s="133"/>
      <c r="DW28" s="100"/>
      <c r="DX28" s="105"/>
      <c r="DY28" s="42"/>
      <c r="DZ28" s="42"/>
      <c r="EA28" s="42"/>
      <c r="EB28" s="42"/>
      <c r="EC28" s="42"/>
      <c r="ED28" s="105"/>
      <c r="EE28" s="105"/>
      <c r="EF28" s="105"/>
      <c r="EG28" s="105"/>
      <c r="EH28" s="42"/>
      <c r="EI28" s="42"/>
      <c r="EJ28" s="42"/>
      <c r="EK28" s="100"/>
      <c r="EL28" s="100"/>
      <c r="EM28" s="118"/>
      <c r="EN28" s="120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</row>
    <row r="29" spans="1:311" s="6" customFormat="1" ht="20.100000000000001" customHeight="1" x14ac:dyDescent="0.45">
      <c r="A29" s="5"/>
      <c r="B29" s="5"/>
      <c r="C29" s="19">
        <v>20</v>
      </c>
      <c r="D29" s="133" t="s">
        <v>385</v>
      </c>
      <c r="E29" s="132" t="s">
        <v>330</v>
      </c>
      <c r="F29" s="105" t="s">
        <v>38</v>
      </c>
      <c r="G29" s="105"/>
      <c r="H29" s="105"/>
      <c r="I29" s="42"/>
      <c r="J29" s="42"/>
      <c r="K29" s="42"/>
      <c r="L29" s="42"/>
      <c r="M29" s="42" t="s">
        <v>267</v>
      </c>
      <c r="N29" s="42"/>
      <c r="O29" s="105" t="s">
        <v>410</v>
      </c>
      <c r="P29" s="105"/>
      <c r="Q29" s="118"/>
      <c r="R29" s="105"/>
      <c r="S29" s="42"/>
      <c r="T29" s="42"/>
      <c r="U29" s="42"/>
      <c r="V29" s="42"/>
      <c r="W29" s="42"/>
      <c r="X29" s="42" t="s">
        <v>267</v>
      </c>
      <c r="Y29" s="42"/>
      <c r="Z29" s="100"/>
      <c r="AA29" s="100"/>
      <c r="AB29" s="118"/>
      <c r="AC29" s="120" t="str">
        <f t="shared" si="0"/>
        <v>TM製品_在庫区分</v>
      </c>
      <c r="AE29" s="19">
        <v>20</v>
      </c>
      <c r="AF29" s="150"/>
      <c r="AG29" s="100"/>
      <c r="AH29" s="105"/>
      <c r="AI29" s="105"/>
      <c r="AJ29" s="42"/>
      <c r="AK29" s="42"/>
      <c r="AL29" s="42"/>
      <c r="AM29" s="42"/>
      <c r="AN29" s="42"/>
      <c r="AO29" s="42"/>
      <c r="AP29" s="105"/>
      <c r="AQ29" s="105"/>
      <c r="AR29" s="42"/>
      <c r="AS29" s="105"/>
      <c r="AT29" s="105"/>
      <c r="AU29" s="105"/>
      <c r="AV29" s="105"/>
      <c r="AW29" s="105"/>
      <c r="AX29" s="105"/>
      <c r="AY29" s="105"/>
      <c r="AZ29" s="42"/>
      <c r="BA29" s="42"/>
      <c r="BB29" s="42"/>
      <c r="BC29" s="100"/>
      <c r="BD29" s="100"/>
      <c r="BE29" s="118"/>
      <c r="BF29" s="120"/>
      <c r="BH29" s="19">
        <v>20</v>
      </c>
      <c r="BI29" s="150"/>
      <c r="BJ29" s="100"/>
      <c r="BK29" s="105"/>
      <c r="BL29" s="105"/>
      <c r="BM29" s="42"/>
      <c r="BN29" s="42"/>
      <c r="BO29" s="42"/>
      <c r="BP29" s="42"/>
      <c r="BQ29" s="42"/>
      <c r="BR29" s="105"/>
      <c r="BS29" s="105"/>
      <c r="BT29" s="105"/>
      <c r="BU29" s="42"/>
      <c r="BV29" s="42"/>
      <c r="BW29" s="42"/>
      <c r="BX29" s="100"/>
      <c r="BY29" s="100"/>
      <c r="BZ29" s="118"/>
      <c r="CA29" s="120"/>
      <c r="CC29" s="19"/>
      <c r="CD29" s="150"/>
      <c r="CE29" s="100"/>
      <c r="CF29" s="105"/>
      <c r="CG29" s="105"/>
      <c r="CH29" s="105"/>
      <c r="CI29" s="105"/>
      <c r="CJ29" s="42"/>
      <c r="CK29" s="42"/>
      <c r="CL29" s="42"/>
      <c r="CM29" s="42"/>
      <c r="CN29" s="42"/>
      <c r="CO29" s="42"/>
      <c r="CP29" s="42"/>
      <c r="CQ29" s="105"/>
      <c r="CR29" s="105"/>
      <c r="CS29" s="105"/>
      <c r="CT29" s="42"/>
      <c r="CU29" s="42"/>
      <c r="CV29" s="42"/>
      <c r="CW29" s="100"/>
      <c r="CX29" s="100"/>
      <c r="CY29" s="118"/>
      <c r="CZ29" s="120"/>
      <c r="DB29" s="19"/>
      <c r="DC29" s="150"/>
      <c r="DD29" s="100"/>
      <c r="DE29" s="105"/>
      <c r="DF29" s="105"/>
      <c r="DG29" s="42"/>
      <c r="DH29" s="42"/>
      <c r="DI29" s="42"/>
      <c r="DJ29" s="42"/>
      <c r="DK29" s="42"/>
      <c r="DL29" s="105"/>
      <c r="DM29" s="42"/>
      <c r="DN29" s="42"/>
      <c r="DO29" s="42"/>
      <c r="DP29" s="100"/>
      <c r="DQ29" s="100"/>
      <c r="DR29" s="118"/>
      <c r="DS29" s="120"/>
      <c r="DU29" s="19"/>
      <c r="DV29" s="150"/>
      <c r="DW29" s="100"/>
      <c r="DX29" s="105"/>
      <c r="DY29" s="42"/>
      <c r="DZ29" s="42"/>
      <c r="EA29" s="42"/>
      <c r="EB29" s="42"/>
      <c r="EC29" s="42"/>
      <c r="ED29" s="105"/>
      <c r="EE29" s="105"/>
      <c r="EF29" s="105"/>
      <c r="EG29" s="105"/>
      <c r="EH29" s="42"/>
      <c r="EI29" s="42"/>
      <c r="EJ29" s="42"/>
      <c r="EK29" s="100"/>
      <c r="EL29" s="100"/>
      <c r="EM29" s="118"/>
      <c r="EN29" s="120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</row>
    <row r="30" spans="1:311" s="6" customFormat="1" ht="20.100000000000001" customHeight="1" x14ac:dyDescent="0.45">
      <c r="A30" s="5"/>
      <c r="B30" s="5"/>
      <c r="C30" s="19">
        <v>21</v>
      </c>
      <c r="D30" s="150" t="s">
        <v>386</v>
      </c>
      <c r="E30" s="132" t="s">
        <v>376</v>
      </c>
      <c r="F30" s="105" t="s">
        <v>38</v>
      </c>
      <c r="G30" s="105"/>
      <c r="H30" s="105"/>
      <c r="I30" s="42" t="s">
        <v>267</v>
      </c>
      <c r="J30" s="42"/>
      <c r="K30" s="42"/>
      <c r="L30" s="42"/>
      <c r="M30" s="42"/>
      <c r="N30" s="42"/>
      <c r="O30" s="105">
        <v>0</v>
      </c>
      <c r="P30" s="105"/>
      <c r="Q30" s="118" t="s">
        <v>408</v>
      </c>
      <c r="R30" s="105"/>
      <c r="S30" s="42"/>
      <c r="T30" s="42"/>
      <c r="U30" s="42"/>
      <c r="V30" s="42"/>
      <c r="W30" s="42"/>
      <c r="X30" s="42"/>
      <c r="Y30" s="42"/>
      <c r="Z30" s="100"/>
      <c r="AA30" s="100"/>
      <c r="AB30" s="118"/>
      <c r="AC30" s="120" t="str">
        <f t="shared" si="0"/>
        <v>TM製品_サイズ変更区分CD</v>
      </c>
      <c r="AE30" s="19">
        <v>21</v>
      </c>
      <c r="AF30" s="150"/>
      <c r="AG30" s="100"/>
      <c r="AH30" s="105"/>
      <c r="AI30" s="105"/>
      <c r="AJ30" s="42"/>
      <c r="AK30" s="42"/>
      <c r="AL30" s="42"/>
      <c r="AM30" s="42"/>
      <c r="AN30" s="42"/>
      <c r="AO30" s="42"/>
      <c r="AP30" s="105"/>
      <c r="AQ30" s="105"/>
      <c r="AR30" s="42"/>
      <c r="AS30" s="105"/>
      <c r="AT30" s="105"/>
      <c r="AU30" s="105"/>
      <c r="AV30" s="105"/>
      <c r="AW30" s="105"/>
      <c r="AX30" s="105"/>
      <c r="AY30" s="105"/>
      <c r="AZ30" s="42"/>
      <c r="BA30" s="42"/>
      <c r="BB30" s="42"/>
      <c r="BC30" s="100"/>
      <c r="BD30" s="100"/>
      <c r="BE30" s="118"/>
      <c r="BF30" s="120"/>
      <c r="BH30" s="19">
        <v>21</v>
      </c>
      <c r="BI30" s="150"/>
      <c r="BJ30" s="100"/>
      <c r="BK30" s="105"/>
      <c r="BL30" s="105"/>
      <c r="BM30" s="42"/>
      <c r="BN30" s="42"/>
      <c r="BO30" s="42"/>
      <c r="BP30" s="42"/>
      <c r="BQ30" s="42"/>
      <c r="BR30" s="105"/>
      <c r="BS30" s="105"/>
      <c r="BT30" s="105"/>
      <c r="BU30" s="42"/>
      <c r="BV30" s="42"/>
      <c r="BW30" s="42"/>
      <c r="BX30" s="100"/>
      <c r="BY30" s="100"/>
      <c r="BZ30" s="118"/>
      <c r="CA30" s="120"/>
      <c r="CC30" s="19"/>
      <c r="CD30" s="150"/>
      <c r="CE30" s="100"/>
      <c r="CF30" s="105"/>
      <c r="CG30" s="105"/>
      <c r="CH30" s="105"/>
      <c r="CI30" s="105"/>
      <c r="CJ30" s="42"/>
      <c r="CK30" s="42"/>
      <c r="CL30" s="42"/>
      <c r="CM30" s="42"/>
      <c r="CN30" s="42"/>
      <c r="CO30" s="42"/>
      <c r="CP30" s="42"/>
      <c r="CQ30" s="105"/>
      <c r="CR30" s="105"/>
      <c r="CS30" s="105"/>
      <c r="CT30" s="42"/>
      <c r="CU30" s="42"/>
      <c r="CV30" s="42"/>
      <c r="CW30" s="100"/>
      <c r="CX30" s="100"/>
      <c r="CY30" s="118"/>
      <c r="CZ30" s="120"/>
      <c r="DB30" s="19"/>
      <c r="DC30" s="150"/>
      <c r="DD30" s="100"/>
      <c r="DE30" s="105"/>
      <c r="DF30" s="105"/>
      <c r="DG30" s="42"/>
      <c r="DH30" s="42"/>
      <c r="DI30" s="42"/>
      <c r="DJ30" s="42"/>
      <c r="DK30" s="42"/>
      <c r="DL30" s="105"/>
      <c r="DM30" s="42"/>
      <c r="DN30" s="42"/>
      <c r="DO30" s="42"/>
      <c r="DP30" s="100"/>
      <c r="DQ30" s="100"/>
      <c r="DR30" s="118"/>
      <c r="DS30" s="120"/>
      <c r="DU30" s="19"/>
      <c r="DV30" s="150"/>
      <c r="DW30" s="100"/>
      <c r="DX30" s="105"/>
      <c r="DY30" s="42"/>
      <c r="DZ30" s="42"/>
      <c r="EA30" s="42"/>
      <c r="EB30" s="42"/>
      <c r="EC30" s="42"/>
      <c r="ED30" s="105"/>
      <c r="EE30" s="105"/>
      <c r="EF30" s="105"/>
      <c r="EG30" s="105"/>
      <c r="EH30" s="42"/>
      <c r="EI30" s="42"/>
      <c r="EJ30" s="42"/>
      <c r="EK30" s="100"/>
      <c r="EL30" s="100"/>
      <c r="EM30" s="118"/>
      <c r="EN30" s="12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</row>
    <row r="31" spans="1:311" s="6" customFormat="1" ht="20.100000000000001" customHeight="1" x14ac:dyDescent="0.45">
      <c r="A31" s="5"/>
      <c r="B31" s="5"/>
      <c r="C31" s="19">
        <v>22</v>
      </c>
      <c r="D31" s="150" t="s">
        <v>387</v>
      </c>
      <c r="E31" s="132" t="s">
        <v>332</v>
      </c>
      <c r="F31" s="105" t="s">
        <v>38</v>
      </c>
      <c r="G31" s="105"/>
      <c r="H31" s="105"/>
      <c r="I31" s="42"/>
      <c r="J31" s="42"/>
      <c r="K31" s="42"/>
      <c r="L31" s="42"/>
      <c r="M31" s="42" t="s">
        <v>267</v>
      </c>
      <c r="N31" s="42"/>
      <c r="O31" s="105" t="s">
        <v>411</v>
      </c>
      <c r="P31" s="105"/>
      <c r="Q31" s="118"/>
      <c r="R31" s="105"/>
      <c r="S31" s="42"/>
      <c r="T31" s="42"/>
      <c r="U31" s="42"/>
      <c r="V31" s="42"/>
      <c r="W31" s="42"/>
      <c r="X31" s="42"/>
      <c r="Y31" s="42"/>
      <c r="Z31" s="100"/>
      <c r="AA31" s="100"/>
      <c r="AB31" s="118"/>
      <c r="AC31" s="120" t="str">
        <f t="shared" si="0"/>
        <v>TM製品_サイズ変更区分</v>
      </c>
      <c r="AE31" s="19">
        <v>22</v>
      </c>
      <c r="AF31" s="150"/>
      <c r="AG31" s="100"/>
      <c r="AH31" s="105"/>
      <c r="AI31" s="105"/>
      <c r="AJ31" s="42"/>
      <c r="AK31" s="42"/>
      <c r="AL31" s="42"/>
      <c r="AM31" s="42"/>
      <c r="AN31" s="42"/>
      <c r="AO31" s="42"/>
      <c r="AP31" s="105"/>
      <c r="AQ31" s="105"/>
      <c r="AR31" s="42"/>
      <c r="AS31" s="105"/>
      <c r="AT31" s="105"/>
      <c r="AU31" s="105"/>
      <c r="AV31" s="105"/>
      <c r="AW31" s="105"/>
      <c r="AX31" s="105"/>
      <c r="AY31" s="105"/>
      <c r="AZ31" s="42"/>
      <c r="BA31" s="42"/>
      <c r="BB31" s="42"/>
      <c r="BC31" s="100"/>
      <c r="BD31" s="100"/>
      <c r="BE31" s="118"/>
      <c r="BF31" s="120"/>
      <c r="BH31" s="19">
        <v>22</v>
      </c>
      <c r="BI31" s="150"/>
      <c r="BJ31" s="100"/>
      <c r="BK31" s="105"/>
      <c r="BL31" s="105"/>
      <c r="BM31" s="42"/>
      <c r="BN31" s="42"/>
      <c r="BO31" s="42"/>
      <c r="BP31" s="42"/>
      <c r="BQ31" s="42"/>
      <c r="BR31" s="105"/>
      <c r="BS31" s="105"/>
      <c r="BT31" s="105"/>
      <c r="BU31" s="42"/>
      <c r="BV31" s="42"/>
      <c r="BW31" s="42"/>
      <c r="BX31" s="100"/>
      <c r="BY31" s="100"/>
      <c r="BZ31" s="118"/>
      <c r="CA31" s="120"/>
      <c r="CC31" s="19"/>
      <c r="CD31" s="150"/>
      <c r="CE31" s="100"/>
      <c r="CF31" s="105"/>
      <c r="CG31" s="105"/>
      <c r="CH31" s="105"/>
      <c r="CI31" s="105"/>
      <c r="CJ31" s="42"/>
      <c r="CK31" s="42"/>
      <c r="CL31" s="42"/>
      <c r="CM31" s="42"/>
      <c r="CN31" s="42"/>
      <c r="CO31" s="42"/>
      <c r="CP31" s="42"/>
      <c r="CQ31" s="105"/>
      <c r="CR31" s="105"/>
      <c r="CS31" s="105"/>
      <c r="CT31" s="42"/>
      <c r="CU31" s="42"/>
      <c r="CV31" s="42"/>
      <c r="CW31" s="100"/>
      <c r="CX31" s="100"/>
      <c r="CY31" s="118"/>
      <c r="CZ31" s="120"/>
      <c r="DB31" s="19"/>
      <c r="DC31" s="150"/>
      <c r="DD31" s="100"/>
      <c r="DE31" s="105"/>
      <c r="DF31" s="105"/>
      <c r="DG31" s="42"/>
      <c r="DH31" s="42"/>
      <c r="DI31" s="42"/>
      <c r="DJ31" s="42"/>
      <c r="DK31" s="42"/>
      <c r="DL31" s="105"/>
      <c r="DM31" s="42"/>
      <c r="DN31" s="42"/>
      <c r="DO31" s="42"/>
      <c r="DP31" s="100"/>
      <c r="DQ31" s="100"/>
      <c r="DR31" s="118"/>
      <c r="DS31" s="120"/>
      <c r="DU31" s="19"/>
      <c r="DV31" s="150"/>
      <c r="DW31" s="100"/>
      <c r="DX31" s="105"/>
      <c r="DY31" s="42"/>
      <c r="DZ31" s="42"/>
      <c r="EA31" s="42"/>
      <c r="EB31" s="42"/>
      <c r="EC31" s="42"/>
      <c r="ED31" s="105"/>
      <c r="EE31" s="105"/>
      <c r="EF31" s="105"/>
      <c r="EG31" s="105"/>
      <c r="EH31" s="42"/>
      <c r="EI31" s="42"/>
      <c r="EJ31" s="42"/>
      <c r="EK31" s="100"/>
      <c r="EL31" s="100"/>
      <c r="EM31" s="118"/>
      <c r="EN31" s="120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</row>
    <row r="32" spans="1:311" s="6" customFormat="1" ht="20.100000000000001" customHeight="1" x14ac:dyDescent="0.45">
      <c r="A32" s="5"/>
      <c r="B32" s="5"/>
      <c r="C32" s="19">
        <v>23</v>
      </c>
      <c r="D32" s="150" t="s">
        <v>388</v>
      </c>
      <c r="E32" s="132" t="s">
        <v>334</v>
      </c>
      <c r="F32" s="105" t="s">
        <v>38</v>
      </c>
      <c r="G32" s="105"/>
      <c r="H32" s="105"/>
      <c r="I32" s="42"/>
      <c r="J32" s="42"/>
      <c r="K32" s="42"/>
      <c r="L32" s="42"/>
      <c r="M32" s="42"/>
      <c r="N32" s="42"/>
      <c r="O32" s="105"/>
      <c r="P32" s="105"/>
      <c r="Q32" s="118"/>
      <c r="R32" s="105"/>
      <c r="S32" s="42"/>
      <c r="T32" s="42"/>
      <c r="U32" s="42"/>
      <c r="V32" s="42"/>
      <c r="W32" s="42"/>
      <c r="X32" s="42"/>
      <c r="Y32" s="42"/>
      <c r="Z32" s="100"/>
      <c r="AA32" s="100"/>
      <c r="AB32" s="118"/>
      <c r="AC32" s="120" t="str">
        <f>"(使用しない棚番マスタ参照)TM製品_" &amp; E32</f>
        <v>(使用しない棚番マスタ参照)TM製品_ロケーション</v>
      </c>
      <c r="AE32" s="19">
        <v>23</v>
      </c>
      <c r="AF32" s="96"/>
      <c r="AG32" s="100"/>
      <c r="AH32" s="105"/>
      <c r="AI32" s="105"/>
      <c r="AJ32" s="42" t="s">
        <v>20</v>
      </c>
      <c r="AK32" s="42" t="s">
        <v>20</v>
      </c>
      <c r="AL32" s="42" t="s">
        <v>20</v>
      </c>
      <c r="AM32" s="42" t="s">
        <v>20</v>
      </c>
      <c r="AN32" s="42" t="s">
        <v>20</v>
      </c>
      <c r="AO32" s="42" t="s">
        <v>20</v>
      </c>
      <c r="AP32" s="105"/>
      <c r="AQ32" s="105"/>
      <c r="AR32" s="42" t="s">
        <v>20</v>
      </c>
      <c r="AS32" s="105"/>
      <c r="AT32" s="105"/>
      <c r="AU32" s="105"/>
      <c r="AV32" s="105"/>
      <c r="AW32" s="105"/>
      <c r="AX32" s="105"/>
      <c r="AY32" s="105"/>
      <c r="AZ32" s="42" t="s">
        <v>20</v>
      </c>
      <c r="BA32" s="42" t="s">
        <v>20</v>
      </c>
      <c r="BB32" s="42" t="s">
        <v>20</v>
      </c>
      <c r="BC32" s="100"/>
      <c r="BD32" s="100"/>
      <c r="BE32" s="118"/>
      <c r="BF32" s="120"/>
      <c r="BH32" s="19">
        <v>23</v>
      </c>
      <c r="BI32" s="96"/>
      <c r="BJ32" s="100"/>
      <c r="BK32" s="105"/>
      <c r="BL32" s="105"/>
      <c r="BM32" s="42" t="s">
        <v>20</v>
      </c>
      <c r="BN32" s="42" t="s">
        <v>20</v>
      </c>
      <c r="BO32" s="42" t="s">
        <v>20</v>
      </c>
      <c r="BP32" s="42" t="s">
        <v>20</v>
      </c>
      <c r="BQ32" s="42" t="s">
        <v>20</v>
      </c>
      <c r="BR32" s="105"/>
      <c r="BS32" s="105"/>
      <c r="BT32" s="105"/>
      <c r="BU32" s="42" t="s">
        <v>20</v>
      </c>
      <c r="BV32" s="42" t="s">
        <v>20</v>
      </c>
      <c r="BW32" s="42" t="s">
        <v>20</v>
      </c>
      <c r="BX32" s="100"/>
      <c r="BY32" s="100"/>
      <c r="BZ32" s="118"/>
      <c r="CA32" s="120"/>
      <c r="CC32" s="19">
        <v>19</v>
      </c>
      <c r="CD32" s="96"/>
      <c r="CE32" s="100"/>
      <c r="CF32" s="105"/>
      <c r="CG32" s="105"/>
      <c r="CH32" s="105"/>
      <c r="CI32" s="105"/>
      <c r="CJ32" s="42" t="s">
        <v>20</v>
      </c>
      <c r="CK32" s="42" t="s">
        <v>20</v>
      </c>
      <c r="CL32" s="42" t="s">
        <v>20</v>
      </c>
      <c r="CM32" s="42" t="s">
        <v>20</v>
      </c>
      <c r="CN32" s="42" t="s">
        <v>20</v>
      </c>
      <c r="CO32" s="42" t="s">
        <v>20</v>
      </c>
      <c r="CP32" s="42" t="s">
        <v>20</v>
      </c>
      <c r="CQ32" s="105"/>
      <c r="CR32" s="105"/>
      <c r="CS32" s="105"/>
      <c r="CT32" s="42" t="s">
        <v>20</v>
      </c>
      <c r="CU32" s="42" t="s">
        <v>20</v>
      </c>
      <c r="CV32" s="42" t="s">
        <v>20</v>
      </c>
      <c r="CW32" s="100"/>
      <c r="CX32" s="100"/>
      <c r="CY32" s="118"/>
      <c r="CZ32" s="120"/>
      <c r="DB32" s="19">
        <v>19</v>
      </c>
      <c r="DC32" s="96"/>
      <c r="DD32" s="100"/>
      <c r="DE32" s="105"/>
      <c r="DF32" s="105"/>
      <c r="DG32" s="42" t="s">
        <v>20</v>
      </c>
      <c r="DH32" s="42" t="s">
        <v>20</v>
      </c>
      <c r="DI32" s="42" t="s">
        <v>20</v>
      </c>
      <c r="DJ32" s="42" t="s">
        <v>20</v>
      </c>
      <c r="DK32" s="42" t="s">
        <v>20</v>
      </c>
      <c r="DL32" s="105"/>
      <c r="DM32" s="42" t="s">
        <v>20</v>
      </c>
      <c r="DN32" s="42" t="s">
        <v>20</v>
      </c>
      <c r="DO32" s="42" t="s">
        <v>20</v>
      </c>
      <c r="DP32" s="100"/>
      <c r="DQ32" s="100"/>
      <c r="DR32" s="118"/>
      <c r="DS32" s="120"/>
      <c r="DU32" s="19">
        <v>19</v>
      </c>
      <c r="DV32" s="96"/>
      <c r="DW32" s="100"/>
      <c r="DX32" s="105"/>
      <c r="DY32" s="42" t="s">
        <v>20</v>
      </c>
      <c r="DZ32" s="42" t="s">
        <v>20</v>
      </c>
      <c r="EA32" s="42" t="s">
        <v>20</v>
      </c>
      <c r="EB32" s="42"/>
      <c r="EC32" s="42" t="s">
        <v>20</v>
      </c>
      <c r="ED32" s="105"/>
      <c r="EE32" s="105"/>
      <c r="EF32" s="105"/>
      <c r="EG32" s="105"/>
      <c r="EH32" s="42" t="s">
        <v>20</v>
      </c>
      <c r="EI32" s="42" t="s">
        <v>20</v>
      </c>
      <c r="EJ32" s="42" t="s">
        <v>20</v>
      </c>
      <c r="EK32" s="100"/>
      <c r="EL32" s="100"/>
      <c r="EM32" s="118"/>
      <c r="EN32" s="120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</row>
    <row r="33" spans="1:167" s="6" customFormat="1" ht="20.100000000000001" customHeight="1" x14ac:dyDescent="0.45">
      <c r="A33" s="5"/>
      <c r="B33" s="5"/>
      <c r="C33" s="19">
        <v>24</v>
      </c>
      <c r="D33" s="96" t="s">
        <v>389</v>
      </c>
      <c r="E33" s="132" t="s">
        <v>377</v>
      </c>
      <c r="F33" s="105" t="s">
        <v>38</v>
      </c>
      <c r="G33" s="105"/>
      <c r="H33" s="105"/>
      <c r="I33" s="42" t="s">
        <v>267</v>
      </c>
      <c r="J33" s="42"/>
      <c r="K33" s="42"/>
      <c r="L33" s="42"/>
      <c r="M33" s="42"/>
      <c r="N33" s="42"/>
      <c r="O33" s="105">
        <v>0</v>
      </c>
      <c r="P33" s="105"/>
      <c r="Q33" s="105" t="s">
        <v>408</v>
      </c>
      <c r="R33" s="105"/>
      <c r="S33" s="42"/>
      <c r="T33" s="42"/>
      <c r="U33" s="42"/>
      <c r="V33" s="42"/>
      <c r="W33" s="42"/>
      <c r="X33" s="42" t="s">
        <v>267</v>
      </c>
      <c r="Y33" s="42"/>
      <c r="Z33" s="100"/>
      <c r="AA33" s="100"/>
      <c r="AB33" s="118"/>
      <c r="AC33" s="120" t="str">
        <f t="shared" si="0"/>
        <v>TM製品_取組区分CD</v>
      </c>
      <c r="AE33" s="19">
        <v>24</v>
      </c>
      <c r="AF33" s="98"/>
      <c r="AG33" s="101"/>
      <c r="AH33" s="106"/>
      <c r="AI33" s="106"/>
      <c r="AJ33" s="151"/>
      <c r="AK33" s="151"/>
      <c r="AL33" s="151"/>
      <c r="AM33" s="151"/>
      <c r="AN33" s="151"/>
      <c r="AO33" s="151"/>
      <c r="AP33" s="106"/>
      <c r="AQ33" s="106"/>
      <c r="AR33" s="151"/>
      <c r="AS33" s="106"/>
      <c r="AT33" s="106"/>
      <c r="AU33" s="106"/>
      <c r="AV33" s="106"/>
      <c r="AW33" s="106"/>
      <c r="AX33" s="106"/>
      <c r="AY33" s="106"/>
      <c r="AZ33" s="151"/>
      <c r="BA33" s="151"/>
      <c r="BB33" s="151"/>
      <c r="BC33" s="101"/>
      <c r="BD33" s="101"/>
      <c r="BE33" s="152"/>
      <c r="BF33" s="153"/>
      <c r="BH33" s="19">
        <v>24</v>
      </c>
      <c r="BI33" s="98"/>
      <c r="BJ33" s="101"/>
      <c r="BK33" s="106"/>
      <c r="BL33" s="106"/>
      <c r="BM33" s="151"/>
      <c r="BN33" s="151"/>
      <c r="BO33" s="151"/>
      <c r="BP33" s="151"/>
      <c r="BQ33" s="151"/>
      <c r="BR33" s="106"/>
      <c r="BS33" s="106"/>
      <c r="BT33" s="106"/>
      <c r="BU33" s="151"/>
      <c r="BV33" s="151"/>
      <c r="BW33" s="151"/>
      <c r="BX33" s="101"/>
      <c r="BY33" s="101"/>
      <c r="BZ33" s="152"/>
      <c r="CA33" s="153"/>
      <c r="CC33" s="20"/>
      <c r="CD33" s="98"/>
      <c r="CE33" s="101"/>
      <c r="CF33" s="106"/>
      <c r="CG33" s="106"/>
      <c r="CH33" s="106"/>
      <c r="CI33" s="106"/>
      <c r="CJ33" s="151"/>
      <c r="CK33" s="151"/>
      <c r="CL33" s="151"/>
      <c r="CM33" s="151"/>
      <c r="CN33" s="151"/>
      <c r="CO33" s="151"/>
      <c r="CP33" s="151"/>
      <c r="CQ33" s="106"/>
      <c r="CR33" s="106"/>
      <c r="CS33" s="106"/>
      <c r="CT33" s="151"/>
      <c r="CU33" s="151"/>
      <c r="CV33" s="151"/>
      <c r="CW33" s="101"/>
      <c r="CX33" s="101"/>
      <c r="CY33" s="152"/>
      <c r="CZ33" s="153"/>
      <c r="DB33" s="20"/>
      <c r="DC33" s="98"/>
      <c r="DD33" s="101"/>
      <c r="DE33" s="106"/>
      <c r="DF33" s="106"/>
      <c r="DG33" s="151"/>
      <c r="DH33" s="151"/>
      <c r="DI33" s="151"/>
      <c r="DJ33" s="151"/>
      <c r="DK33" s="151"/>
      <c r="DL33" s="106"/>
      <c r="DM33" s="151"/>
      <c r="DN33" s="151"/>
      <c r="DO33" s="151"/>
      <c r="DP33" s="101"/>
      <c r="DQ33" s="101"/>
      <c r="DR33" s="152"/>
      <c r="DS33" s="153"/>
      <c r="DU33" s="20"/>
      <c r="DV33" s="98"/>
      <c r="DW33" s="101"/>
      <c r="DX33" s="106"/>
      <c r="DY33" s="151"/>
      <c r="DZ33" s="151"/>
      <c r="EA33" s="151"/>
      <c r="EB33" s="151"/>
      <c r="EC33" s="151"/>
      <c r="ED33" s="106"/>
      <c r="EE33" s="106"/>
      <c r="EF33" s="106"/>
      <c r="EG33" s="106"/>
      <c r="EH33" s="151"/>
      <c r="EI33" s="151"/>
      <c r="EJ33" s="151"/>
      <c r="EK33" s="101"/>
      <c r="EL33" s="101"/>
      <c r="EM33" s="152"/>
      <c r="EN33" s="15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</row>
    <row r="34" spans="1:167" s="6" customFormat="1" ht="20.100000000000001" customHeight="1" thickBot="1" x14ac:dyDescent="0.5">
      <c r="A34" s="5"/>
      <c r="B34" s="5"/>
      <c r="C34" s="19">
        <v>25</v>
      </c>
      <c r="D34" s="98" t="s">
        <v>390</v>
      </c>
      <c r="E34" s="101" t="s">
        <v>384</v>
      </c>
      <c r="F34" s="106" t="s">
        <v>38</v>
      </c>
      <c r="G34" s="106"/>
      <c r="H34" s="106"/>
      <c r="I34" s="151"/>
      <c r="J34" s="151"/>
      <c r="K34" s="151"/>
      <c r="L34" s="151"/>
      <c r="M34" s="151" t="s">
        <v>267</v>
      </c>
      <c r="N34" s="151"/>
      <c r="O34" s="106" t="s">
        <v>412</v>
      </c>
      <c r="P34" s="106"/>
      <c r="Q34" s="106"/>
      <c r="R34" s="106"/>
      <c r="S34" s="151"/>
      <c r="T34" s="151"/>
      <c r="U34" s="151"/>
      <c r="V34" s="151"/>
      <c r="W34" s="151"/>
      <c r="X34" s="151"/>
      <c r="Y34" s="151"/>
      <c r="Z34" s="101"/>
      <c r="AA34" s="101"/>
      <c r="AB34" s="152"/>
      <c r="AC34" s="153" t="str">
        <f t="shared" si="0"/>
        <v>TM製品_取組区分</v>
      </c>
      <c r="AE34" s="27">
        <v>25</v>
      </c>
      <c r="AF34" s="97"/>
      <c r="AG34" s="102"/>
      <c r="AH34" s="107"/>
      <c r="AI34" s="107"/>
      <c r="AJ34" s="50" t="s">
        <v>20</v>
      </c>
      <c r="AK34" s="50" t="s">
        <v>20</v>
      </c>
      <c r="AL34" s="50" t="s">
        <v>20</v>
      </c>
      <c r="AM34" s="50" t="s">
        <v>20</v>
      </c>
      <c r="AN34" s="50" t="s">
        <v>20</v>
      </c>
      <c r="AO34" s="50" t="s">
        <v>20</v>
      </c>
      <c r="AP34" s="107"/>
      <c r="AQ34" s="107"/>
      <c r="AR34" s="50" t="s">
        <v>20</v>
      </c>
      <c r="AS34" s="107"/>
      <c r="AT34" s="107"/>
      <c r="AU34" s="107"/>
      <c r="AV34" s="107"/>
      <c r="AW34" s="107"/>
      <c r="AX34" s="107"/>
      <c r="AY34" s="107"/>
      <c r="AZ34" s="50" t="s">
        <v>20</v>
      </c>
      <c r="BA34" s="50" t="s">
        <v>20</v>
      </c>
      <c r="BB34" s="50" t="s">
        <v>20</v>
      </c>
      <c r="BC34" s="102"/>
      <c r="BD34" s="117"/>
      <c r="BE34" s="119"/>
      <c r="BF34" s="112"/>
      <c r="BH34" s="27">
        <v>25</v>
      </c>
      <c r="BI34" s="97"/>
      <c r="BJ34" s="102"/>
      <c r="BK34" s="107"/>
      <c r="BL34" s="107"/>
      <c r="BM34" s="50" t="s">
        <v>20</v>
      </c>
      <c r="BN34" s="50" t="s">
        <v>20</v>
      </c>
      <c r="BO34" s="50" t="s">
        <v>20</v>
      </c>
      <c r="BP34" s="50" t="s">
        <v>20</v>
      </c>
      <c r="BQ34" s="50" t="s">
        <v>20</v>
      </c>
      <c r="BR34" s="107"/>
      <c r="BS34" s="107"/>
      <c r="BT34" s="107"/>
      <c r="BU34" s="50" t="s">
        <v>20</v>
      </c>
      <c r="BV34" s="50" t="s">
        <v>20</v>
      </c>
      <c r="BW34" s="50" t="s">
        <v>20</v>
      </c>
      <c r="BX34" s="102"/>
      <c r="BY34" s="117"/>
      <c r="BZ34" s="119"/>
      <c r="CA34" s="112"/>
      <c r="CC34" s="27">
        <v>20</v>
      </c>
      <c r="CD34" s="97"/>
      <c r="CE34" s="102"/>
      <c r="CF34" s="107"/>
      <c r="CG34" s="107"/>
      <c r="CH34" s="107"/>
      <c r="CI34" s="107"/>
      <c r="CJ34" s="50" t="s">
        <v>20</v>
      </c>
      <c r="CK34" s="50" t="s">
        <v>20</v>
      </c>
      <c r="CL34" s="50" t="s">
        <v>20</v>
      </c>
      <c r="CM34" s="50" t="s">
        <v>20</v>
      </c>
      <c r="CN34" s="50" t="s">
        <v>20</v>
      </c>
      <c r="CO34" s="50" t="s">
        <v>20</v>
      </c>
      <c r="CP34" s="50" t="s">
        <v>20</v>
      </c>
      <c r="CQ34" s="107"/>
      <c r="CR34" s="107"/>
      <c r="CS34" s="107"/>
      <c r="CT34" s="50" t="s">
        <v>20</v>
      </c>
      <c r="CU34" s="50" t="s">
        <v>20</v>
      </c>
      <c r="CV34" s="50" t="s">
        <v>20</v>
      </c>
      <c r="CW34" s="102"/>
      <c r="CX34" s="117"/>
      <c r="CY34" s="119"/>
      <c r="CZ34" s="112"/>
      <c r="DB34" s="27">
        <v>20</v>
      </c>
      <c r="DC34" s="97"/>
      <c r="DD34" s="102"/>
      <c r="DE34" s="107"/>
      <c r="DF34" s="107"/>
      <c r="DG34" s="50" t="s">
        <v>20</v>
      </c>
      <c r="DH34" s="50" t="s">
        <v>20</v>
      </c>
      <c r="DI34" s="50" t="s">
        <v>20</v>
      </c>
      <c r="DJ34" s="50" t="s">
        <v>20</v>
      </c>
      <c r="DK34" s="50" t="s">
        <v>20</v>
      </c>
      <c r="DL34" s="107"/>
      <c r="DM34" s="50" t="s">
        <v>20</v>
      </c>
      <c r="DN34" s="50" t="s">
        <v>20</v>
      </c>
      <c r="DO34" s="50" t="s">
        <v>20</v>
      </c>
      <c r="DP34" s="102"/>
      <c r="DQ34" s="117"/>
      <c r="DR34" s="119"/>
      <c r="DS34" s="112"/>
      <c r="DU34" s="27">
        <v>20</v>
      </c>
      <c r="DV34" s="97"/>
      <c r="DW34" s="102"/>
      <c r="DX34" s="107"/>
      <c r="DY34" s="50" t="s">
        <v>20</v>
      </c>
      <c r="DZ34" s="50" t="s">
        <v>20</v>
      </c>
      <c r="EA34" s="50" t="s">
        <v>20</v>
      </c>
      <c r="EB34" s="50"/>
      <c r="EC34" s="50" t="s">
        <v>20</v>
      </c>
      <c r="ED34" s="107"/>
      <c r="EE34" s="107"/>
      <c r="EF34" s="107"/>
      <c r="EG34" s="107"/>
      <c r="EH34" s="50" t="s">
        <v>20</v>
      </c>
      <c r="EI34" s="50" t="s">
        <v>20</v>
      </c>
      <c r="EJ34" s="50" t="s">
        <v>20</v>
      </c>
      <c r="EK34" s="102"/>
      <c r="EL34" s="117"/>
      <c r="EM34" s="119"/>
      <c r="EN34" s="112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</row>
    <row r="35" spans="1:167" s="6" customFormat="1" ht="20.100000000000001" customHeight="1" thickTop="1" thickBot="1" x14ac:dyDescent="0.5">
      <c r="A35" s="5"/>
      <c r="B35" s="5"/>
      <c r="C35" s="27">
        <v>26</v>
      </c>
      <c r="D35" s="97" t="s">
        <v>391</v>
      </c>
      <c r="E35" s="107" t="s">
        <v>392</v>
      </c>
      <c r="F35" s="107"/>
      <c r="G35" s="107"/>
      <c r="H35" s="107"/>
      <c r="I35" s="50" t="s">
        <v>20</v>
      </c>
      <c r="J35" s="50" t="s">
        <v>20</v>
      </c>
      <c r="K35" s="50" t="s">
        <v>20</v>
      </c>
      <c r="L35" s="50" t="s">
        <v>20</v>
      </c>
      <c r="M35" s="50"/>
      <c r="N35" s="50" t="s">
        <v>20</v>
      </c>
      <c r="O35" s="107"/>
      <c r="P35" s="107"/>
      <c r="Q35" s="107"/>
      <c r="R35" s="107"/>
      <c r="S35" s="50" t="s">
        <v>20</v>
      </c>
      <c r="T35" s="50" t="s">
        <v>20</v>
      </c>
      <c r="U35" s="50" t="s">
        <v>20</v>
      </c>
      <c r="V35" s="50" t="s">
        <v>20</v>
      </c>
      <c r="W35" s="50" t="s">
        <v>20</v>
      </c>
      <c r="X35" s="50" t="s">
        <v>20</v>
      </c>
      <c r="Y35" s="50" t="s">
        <v>20</v>
      </c>
      <c r="Z35" s="102"/>
      <c r="AA35" s="117"/>
      <c r="AB35" s="119"/>
      <c r="AC35" s="112" t="str">
        <f t="shared" si="0"/>
        <v>TM製品_取組終了年月</v>
      </c>
      <c r="AE35" s="5"/>
      <c r="AF35" s="5"/>
      <c r="AG35" s="5"/>
    </row>
    <row r="36" spans="1:167" ht="20.100000000000001" customHeight="1" thickTop="1" x14ac:dyDescent="0.45">
      <c r="B36" s="8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8"/>
      <c r="AE36" s="8"/>
      <c r="AF36" s="8"/>
      <c r="AG36" s="8"/>
    </row>
    <row r="37" spans="1:167" customFormat="1" ht="20.100000000000001" customHeight="1" x14ac:dyDescent="0.45"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</row>
    <row r="38" spans="1:167" ht="20.100000000000001" customHeight="1" x14ac:dyDescent="0.45">
      <c r="A38" s="8"/>
    </row>
    <row r="39" spans="1:167" ht="20.100000000000001" customHeight="1" x14ac:dyDescent="0.45">
      <c r="A39" s="8"/>
      <c r="CS39"/>
      <c r="CT39"/>
      <c r="CU39"/>
      <c r="CV39"/>
      <c r="CW39"/>
      <c r="CX39"/>
      <c r="CY39"/>
      <c r="CZ39"/>
    </row>
    <row r="40" spans="1:167" ht="19.5" customHeight="1" x14ac:dyDescent="0.45">
      <c r="CS40"/>
      <c r="CT40"/>
      <c r="CU40"/>
      <c r="CV40"/>
      <c r="CW40"/>
      <c r="CX40"/>
      <c r="CY40"/>
      <c r="CZ40"/>
    </row>
    <row r="41" spans="1:167" customFormat="1" ht="20.100000000000001" customHeight="1" x14ac:dyDescent="0.4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</row>
    <row r="42" spans="1:167" customFormat="1" ht="20.100000000000001" customHeight="1" x14ac:dyDescent="0.4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</row>
    <row r="43" spans="1:167" customFormat="1" ht="20.100000000000001" customHeight="1" x14ac:dyDescent="0.4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</row>
    <row r="44" spans="1:167" customFormat="1" ht="20.100000000000001" customHeight="1" x14ac:dyDescent="0.4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</row>
    <row r="45" spans="1:167" customFormat="1" ht="20.100000000000001" customHeight="1" x14ac:dyDescent="0.4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</row>
    <row r="46" spans="1:167" customFormat="1" ht="20.100000000000001" customHeight="1" x14ac:dyDescent="0.4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</row>
    <row r="47" spans="1:167" customFormat="1" ht="20.100000000000001" customHeight="1" x14ac:dyDescent="0.4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</row>
    <row r="53" spans="2:33" ht="20.100000000000001" customHeight="1" x14ac:dyDescent="0.45">
      <c r="B53" s="8"/>
      <c r="AD53" s="8"/>
      <c r="AE53" s="8"/>
      <c r="AF53" s="8"/>
      <c r="AG53" s="8"/>
    </row>
    <row r="54" spans="2:33" ht="20.100000000000001" customHeight="1" x14ac:dyDescent="0.45">
      <c r="B54" s="8"/>
      <c r="C54"/>
      <c r="D54"/>
      <c r="E54"/>
      <c r="Z54" s="8"/>
      <c r="AA54" s="8"/>
      <c r="AB54" s="8"/>
      <c r="AC54" s="8"/>
      <c r="AD54" s="8"/>
      <c r="AE54" s="8"/>
      <c r="AF54" s="8"/>
      <c r="AG54" s="8"/>
    </row>
    <row r="55" spans="2:33" ht="20.100000000000001" customHeight="1" x14ac:dyDescent="0.45">
      <c r="B55" s="8"/>
      <c r="C55"/>
      <c r="D55"/>
      <c r="E55"/>
      <c r="Z55" s="8"/>
      <c r="AA55" s="8"/>
      <c r="AB55" s="8"/>
      <c r="AC55" s="8"/>
      <c r="AD55" s="8"/>
      <c r="AE55" s="8"/>
      <c r="AF55" s="8"/>
      <c r="AG55" s="8"/>
    </row>
    <row r="56" spans="2:33" customFormat="1" ht="20.100000000000001" customHeight="1" x14ac:dyDescent="0.45">
      <c r="C56" s="40"/>
      <c r="D56" s="4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  <c r="AA56" s="8"/>
      <c r="AB56" s="8"/>
      <c r="AC56" s="8"/>
    </row>
    <row r="57" spans="2:33" customFormat="1" ht="20.100000000000001" customHeight="1" x14ac:dyDescent="0.45"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2:33" customFormat="1" ht="20.100000000000001" customHeight="1" x14ac:dyDescent="0.45"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2:33" customFormat="1" ht="20.100000000000001" customHeight="1" x14ac:dyDescent="0.45"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2:33" customFormat="1" ht="20.100000000000001" customHeight="1" x14ac:dyDescent="0.45"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2:33" customFormat="1" ht="20.100000000000001" customHeight="1" x14ac:dyDescent="0.45"/>
    <row r="62" spans="2:33" customFormat="1" ht="20.100000000000001" customHeight="1" x14ac:dyDescent="0.45"/>
    <row r="63" spans="2:33" customFormat="1" ht="20.100000000000001" customHeight="1" x14ac:dyDescent="0.45"/>
    <row r="64" spans="2:33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  <row r="75" customFormat="1" ht="20.100000000000001" customHeight="1" x14ac:dyDescent="0.45"/>
    <row r="76" customFormat="1" ht="20.100000000000001" customHeight="1" x14ac:dyDescent="0.45"/>
    <row r="77" customFormat="1" ht="20.100000000000001" customHeight="1" x14ac:dyDescent="0.45"/>
    <row r="78" customFormat="1" ht="20.100000000000001" customHeight="1" x14ac:dyDescent="0.45"/>
    <row r="79" customFormat="1" ht="20.100000000000001" customHeight="1" x14ac:dyDescent="0.45"/>
    <row r="80" customFormat="1" ht="20.100000000000001" customHeight="1" x14ac:dyDescent="0.45"/>
    <row r="81" spans="3:29" customFormat="1" ht="20.100000000000001" customHeight="1" x14ac:dyDescent="0.45"/>
    <row r="82" spans="3:29" customFormat="1" ht="20.100000000000001" customHeight="1" x14ac:dyDescent="0.45"/>
    <row r="83" spans="3:29" customFormat="1" ht="20.100000000000001" customHeight="1" x14ac:dyDescent="0.45"/>
    <row r="84" spans="3:29" customFormat="1" ht="20.100000000000001" customHeight="1" x14ac:dyDescent="0.45"/>
    <row r="85" spans="3:29" customFormat="1" ht="20.100000000000001" customHeight="1" x14ac:dyDescent="0.45"/>
    <row r="86" spans="3:29" customFormat="1" ht="20.100000000000001" customHeight="1" x14ac:dyDescent="0.45"/>
    <row r="87" spans="3:29" customFormat="1" ht="20.100000000000001" customHeight="1" x14ac:dyDescent="0.45"/>
    <row r="88" spans="3:29" customFormat="1" ht="20.100000000000001" customHeight="1" x14ac:dyDescent="0.45"/>
    <row r="89" spans="3:29" customFormat="1" ht="20.100000000000001" customHeight="1" x14ac:dyDescent="0.45"/>
    <row r="90" spans="3:29" ht="20.100000000000001" customHeight="1" x14ac:dyDescent="0.45"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</sheetData>
  <phoneticPr fontId="2"/>
  <dataValidations count="1">
    <dataValidation type="list" showInputMessage="1" showErrorMessage="1" sqref="AJ10:AO34 S10:Y35 KG10:KI19 CJ10:CP34 DG10:DK34 CT10:CV34 DY10:EC34 DM10:DO34 EH10:EJ34 EU10:EV19 ES10:ES19 FQ10:FV19 FF10:FG19 GO10:GU19 GB10:GD19 HM10:HQ19 GZ10:HB19 II10:IM19 HV10:HZ19 JE10:JI19 IR10:IV19 KA10:KE19 JN10:JR19 KR10:KT19 BM10:BQ34 BU10:BW34 AZ10:BB34 AR10:AR34 I10:N35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3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AQ10:AQ34</xm:sqref>
        </x14:dataValidation>
        <x14:dataValidation type="list" allowBlank="1" showInputMessage="1" showErrorMessage="1">
          <x14:formula1>
            <xm:f>OFFSET(参照!$E$1,0,,COUNTA(配置))</xm:f>
          </x14:formula1>
          <xm:sqref>KP10:KP19 AH10:AH34 CF10:CF34 DE10:DE34 DX10:DX34 FC10:FC19 EQ10:EQ19 FN10:FN19 GK10:GK19 HI10:HJ19 IG10:IG19 JC10:JC19 JY10:JY19 BK10:BK34 F10:F35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JZ10:JZ19 AI10:AI34 DF10:DF34 FD10:FD19 ER10:ER19 FP10:FP19 HL10:HL19 IH10:IH19 JD10:JD19 BL10:BL34 H10:H35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JM10:JM19 AV10:AV34 HU10:HU19 IQ10:IQ19 R10:R35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KX10:KX19 BE10:BE34 CY10:CY34 DR10:DR34 EM10:EM34 FJ10:FJ19 EY10:EY19 GG10:GG19 HE10:HE19 IC10:IC19 IY10:IY19 JU10:JU19 KL10:KL19 BZ10:BZ34 AB10:AB35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AU10:AU34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BR10:BR34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CH10:CH34 GM10:GM19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CI10:CI34 GN10:GN19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417</v>
      </c>
      <c r="V10" s="155" t="s">
        <v>418</v>
      </c>
      <c r="X10" s="42"/>
      <c r="Y10" s="42" t="s">
        <v>419</v>
      </c>
      <c r="Z10" s="42" t="s">
        <v>419</v>
      </c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2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420</v>
      </c>
      <c r="V11" s="155" t="s">
        <v>421</v>
      </c>
      <c r="W11" s="42"/>
      <c r="X11" s="42"/>
      <c r="Y11" s="42" t="s">
        <v>419</v>
      </c>
      <c r="Z11" s="42" t="s">
        <v>419</v>
      </c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2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20</v>
      </c>
      <c r="V12" s="13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2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2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2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2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2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2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2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2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2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2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2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2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2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2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2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AN11:AO19 X10 W11:X19 H10:R19 G10 F11:G19 AP10:AZ19 AO10 Y10:AI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G55"/>
  <sheetViews>
    <sheetView topLeftCell="B1" workbookViewId="0">
      <selection activeCell="E43" sqref="E43"/>
    </sheetView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4" t="s">
        <v>297</v>
      </c>
    </row>
    <row r="3" spans="2:7" ht="18.600000000000001" thickTop="1" x14ac:dyDescent="0.45">
      <c r="B3" s="22" t="s">
        <v>298</v>
      </c>
      <c r="C3" s="135" t="s">
        <v>257</v>
      </c>
      <c r="D3" s="135" t="s">
        <v>274</v>
      </c>
      <c r="E3" s="136" t="s">
        <v>299</v>
      </c>
      <c r="F3" s="136" t="s">
        <v>23</v>
      </c>
      <c r="G3" s="137" t="s">
        <v>300</v>
      </c>
    </row>
    <row r="4" spans="2:7" x14ac:dyDescent="0.45">
      <c r="B4" s="19">
        <v>1</v>
      </c>
      <c r="C4" s="138"/>
      <c r="D4" s="138"/>
      <c r="E4" s="139"/>
      <c r="F4" s="139"/>
      <c r="G4" s="140"/>
    </row>
    <row r="5" spans="2:7" x14ac:dyDescent="0.45">
      <c r="B5" s="19">
        <v>2</v>
      </c>
      <c r="C5" s="138"/>
      <c r="D5" s="138"/>
      <c r="E5" s="141"/>
      <c r="F5" s="141"/>
      <c r="G5" s="140"/>
    </row>
    <row r="6" spans="2:7" x14ac:dyDescent="0.45">
      <c r="B6" s="19">
        <v>3</v>
      </c>
      <c r="C6" s="138"/>
      <c r="D6" s="138"/>
      <c r="E6" s="141"/>
      <c r="F6" s="141"/>
      <c r="G6" s="140"/>
    </row>
    <row r="7" spans="2:7" x14ac:dyDescent="0.45">
      <c r="B7" s="19">
        <v>4</v>
      </c>
      <c r="C7" s="138"/>
      <c r="D7" s="138"/>
      <c r="E7" s="139"/>
      <c r="F7" s="141"/>
      <c r="G7" s="140"/>
    </row>
    <row r="8" spans="2:7" x14ac:dyDescent="0.45">
      <c r="B8" s="19">
        <v>5</v>
      </c>
      <c r="C8" s="138"/>
      <c r="D8" s="138"/>
      <c r="E8" s="141"/>
      <c r="F8" s="141"/>
      <c r="G8" s="140"/>
    </row>
    <row r="9" spans="2:7" x14ac:dyDescent="0.45">
      <c r="B9" s="19">
        <v>6</v>
      </c>
      <c r="C9" s="138"/>
      <c r="D9" s="138"/>
      <c r="E9" s="141"/>
      <c r="F9" s="141"/>
      <c r="G9" s="140"/>
    </row>
    <row r="10" spans="2:7" x14ac:dyDescent="0.45">
      <c r="B10" s="19">
        <v>7</v>
      </c>
      <c r="C10" s="138"/>
      <c r="D10" s="138"/>
      <c r="E10" s="141"/>
      <c r="F10" s="141"/>
      <c r="G10" s="140"/>
    </row>
    <row r="11" spans="2:7" x14ac:dyDescent="0.45">
      <c r="B11" s="19">
        <v>8</v>
      </c>
      <c r="C11" s="138"/>
      <c r="D11" s="138"/>
      <c r="E11" s="141"/>
      <c r="F11" s="141"/>
      <c r="G11" s="140"/>
    </row>
    <row r="12" spans="2:7" x14ac:dyDescent="0.45">
      <c r="B12" s="19">
        <v>9</v>
      </c>
      <c r="C12" s="138"/>
      <c r="D12" s="138"/>
      <c r="E12" s="141"/>
      <c r="F12" s="141"/>
      <c r="G12" s="140"/>
    </row>
    <row r="13" spans="2:7" x14ac:dyDescent="0.45">
      <c r="B13" s="19">
        <v>10</v>
      </c>
      <c r="C13" s="138"/>
      <c r="D13" s="138"/>
      <c r="E13" s="141"/>
      <c r="F13" s="141"/>
      <c r="G13" s="140"/>
    </row>
    <row r="14" spans="2:7" x14ac:dyDescent="0.45">
      <c r="B14" s="19">
        <v>11</v>
      </c>
      <c r="C14" s="138"/>
      <c r="D14" s="138"/>
      <c r="E14" s="141"/>
      <c r="F14" s="141"/>
      <c r="G14" s="140"/>
    </row>
    <row r="15" spans="2:7" x14ac:dyDescent="0.45">
      <c r="B15" s="19">
        <v>12</v>
      </c>
      <c r="C15" s="138"/>
      <c r="D15" s="138"/>
      <c r="E15" s="141"/>
      <c r="F15" s="141"/>
      <c r="G15" s="140"/>
    </row>
    <row r="16" spans="2:7" x14ac:dyDescent="0.45">
      <c r="B16" s="19">
        <v>13</v>
      </c>
      <c r="C16" s="138"/>
      <c r="D16" s="138"/>
      <c r="E16" s="141"/>
      <c r="F16" s="141"/>
      <c r="G16" s="140"/>
    </row>
    <row r="17" spans="2:7" x14ac:dyDescent="0.45">
      <c r="B17" s="19">
        <v>14</v>
      </c>
      <c r="C17" s="138"/>
      <c r="D17" s="138"/>
      <c r="E17" s="141"/>
      <c r="F17" s="141"/>
      <c r="G17" s="140"/>
    </row>
    <row r="18" spans="2:7" x14ac:dyDescent="0.45">
      <c r="B18" s="19">
        <v>15</v>
      </c>
      <c r="C18" s="138"/>
      <c r="D18" s="138"/>
      <c r="E18" s="141"/>
      <c r="F18" s="141"/>
      <c r="G18" s="140"/>
    </row>
    <row r="19" spans="2:7" x14ac:dyDescent="0.45">
      <c r="B19" s="19">
        <v>16</v>
      </c>
      <c r="C19" s="138"/>
      <c r="D19" s="138"/>
      <c r="E19" s="141"/>
      <c r="F19" s="141"/>
      <c r="G19" s="140"/>
    </row>
    <row r="20" spans="2:7" x14ac:dyDescent="0.45">
      <c r="B20" s="19">
        <v>17</v>
      </c>
      <c r="C20" s="138"/>
      <c r="D20" s="138"/>
      <c r="E20" s="141"/>
      <c r="F20" s="141"/>
      <c r="G20" s="140"/>
    </row>
    <row r="21" spans="2:7" x14ac:dyDescent="0.45">
      <c r="B21" s="19">
        <v>18</v>
      </c>
      <c r="C21" s="138"/>
      <c r="D21" s="138"/>
      <c r="E21" s="141"/>
      <c r="F21" s="141"/>
      <c r="G21" s="140"/>
    </row>
    <row r="22" spans="2:7" x14ac:dyDescent="0.45">
      <c r="B22" s="19">
        <v>19</v>
      </c>
      <c r="C22" s="138"/>
      <c r="D22" s="138"/>
      <c r="E22" s="141"/>
      <c r="F22" s="141"/>
      <c r="G22" s="140"/>
    </row>
    <row r="23" spans="2:7" x14ac:dyDescent="0.45">
      <c r="B23" s="19">
        <v>20</v>
      </c>
      <c r="C23" s="138"/>
      <c r="D23" s="138"/>
      <c r="E23" s="141"/>
      <c r="F23" s="141"/>
      <c r="G23" s="140"/>
    </row>
    <row r="24" spans="2:7" x14ac:dyDescent="0.45">
      <c r="B24" s="19">
        <v>21</v>
      </c>
      <c r="C24" s="138"/>
      <c r="D24" s="138"/>
      <c r="E24" s="141"/>
      <c r="F24" s="141"/>
      <c r="G24" s="140"/>
    </row>
    <row r="25" spans="2:7" x14ac:dyDescent="0.45">
      <c r="B25" s="19">
        <v>22</v>
      </c>
      <c r="C25" s="138"/>
      <c r="D25" s="138"/>
      <c r="E25" s="141"/>
      <c r="F25" s="141"/>
      <c r="G25" s="140"/>
    </row>
    <row r="26" spans="2:7" x14ac:dyDescent="0.45">
      <c r="B26" s="19">
        <v>23</v>
      </c>
      <c r="C26" s="138"/>
      <c r="D26" s="138"/>
      <c r="E26" s="141"/>
      <c r="F26" s="141"/>
      <c r="G26" s="140"/>
    </row>
    <row r="27" spans="2:7" x14ac:dyDescent="0.45">
      <c r="B27" s="19">
        <v>24</v>
      </c>
      <c r="C27" s="138"/>
      <c r="D27" s="138"/>
      <c r="E27" s="141"/>
      <c r="F27" s="141"/>
      <c r="G27" s="140"/>
    </row>
    <row r="28" spans="2:7" x14ac:dyDescent="0.45">
      <c r="B28" s="19">
        <v>25</v>
      </c>
      <c r="C28" s="138"/>
      <c r="D28" s="138"/>
      <c r="E28" s="141"/>
      <c r="F28" s="141"/>
      <c r="G28" s="140"/>
    </row>
    <row r="29" spans="2:7" x14ac:dyDescent="0.45">
      <c r="B29" s="19">
        <v>26</v>
      </c>
      <c r="C29" s="138"/>
      <c r="D29" s="138"/>
      <c r="E29" s="141"/>
      <c r="F29" s="141"/>
      <c r="G29" s="140"/>
    </row>
    <row r="30" spans="2:7" x14ac:dyDescent="0.45">
      <c r="B30" s="19">
        <v>27</v>
      </c>
      <c r="C30" s="138"/>
      <c r="D30" s="138"/>
      <c r="E30" s="141"/>
      <c r="F30" s="141"/>
      <c r="G30" s="140"/>
    </row>
    <row r="31" spans="2:7" x14ac:dyDescent="0.45">
      <c r="B31" s="19">
        <v>28</v>
      </c>
      <c r="C31" s="138"/>
      <c r="D31" s="138"/>
      <c r="E31" s="141"/>
      <c r="F31" s="141"/>
      <c r="G31" s="140"/>
    </row>
    <row r="32" spans="2:7" x14ac:dyDescent="0.45">
      <c r="B32" s="19">
        <v>29</v>
      </c>
      <c r="C32" s="138"/>
      <c r="D32" s="138"/>
      <c r="E32" s="141"/>
      <c r="F32" s="141"/>
      <c r="G32" s="140"/>
    </row>
    <row r="33" spans="2:7" x14ac:dyDescent="0.45">
      <c r="B33" s="19">
        <v>30</v>
      </c>
      <c r="C33" s="138"/>
      <c r="D33" s="138"/>
      <c r="E33" s="141"/>
      <c r="F33" s="141"/>
      <c r="G33" s="140"/>
    </row>
    <row r="34" spans="2:7" x14ac:dyDescent="0.45">
      <c r="B34" s="19">
        <v>31</v>
      </c>
      <c r="C34" s="138"/>
      <c r="D34" s="138"/>
      <c r="E34" s="141"/>
      <c r="F34" s="141"/>
      <c r="G34" s="140"/>
    </row>
    <row r="35" spans="2:7" x14ac:dyDescent="0.45">
      <c r="B35" s="19">
        <v>32</v>
      </c>
      <c r="C35" s="138"/>
      <c r="D35" s="138"/>
      <c r="E35" s="141"/>
      <c r="F35" s="141"/>
      <c r="G35" s="140"/>
    </row>
    <row r="36" spans="2:7" x14ac:dyDescent="0.45">
      <c r="B36" s="19">
        <v>33</v>
      </c>
      <c r="C36" s="138"/>
      <c r="D36" s="138"/>
      <c r="E36" s="141"/>
      <c r="F36" s="141"/>
      <c r="G36" s="140"/>
    </row>
    <row r="37" spans="2:7" x14ac:dyDescent="0.45">
      <c r="B37" s="19">
        <v>34</v>
      </c>
      <c r="C37" s="138"/>
      <c r="D37" s="138"/>
      <c r="E37" s="141"/>
      <c r="F37" s="141"/>
      <c r="G37" s="140"/>
    </row>
    <row r="38" spans="2:7" x14ac:dyDescent="0.45">
      <c r="B38" s="19">
        <v>35</v>
      </c>
      <c r="C38" s="138"/>
      <c r="D38" s="138"/>
      <c r="E38" s="141"/>
      <c r="F38" s="141"/>
      <c r="G38" s="140"/>
    </row>
    <row r="39" spans="2:7" x14ac:dyDescent="0.45">
      <c r="B39" s="19">
        <v>36</v>
      </c>
      <c r="C39" s="138"/>
      <c r="D39" s="138"/>
      <c r="E39" s="141"/>
      <c r="F39" s="141"/>
      <c r="G39" s="140"/>
    </row>
    <row r="40" spans="2:7" x14ac:dyDescent="0.45">
      <c r="B40" s="19">
        <v>37</v>
      </c>
      <c r="C40" s="138"/>
      <c r="D40" s="138"/>
      <c r="E40" s="141"/>
      <c r="F40" s="141"/>
      <c r="G40" s="140"/>
    </row>
    <row r="41" spans="2:7" x14ac:dyDescent="0.45">
      <c r="B41" s="19">
        <v>38</v>
      </c>
      <c r="C41" s="138"/>
      <c r="D41" s="138"/>
      <c r="E41" s="141"/>
      <c r="F41" s="141"/>
      <c r="G41" s="140"/>
    </row>
    <row r="42" spans="2:7" x14ac:dyDescent="0.45">
      <c r="B42" s="19">
        <v>39</v>
      </c>
      <c r="C42" s="138"/>
      <c r="D42" s="138"/>
      <c r="E42" s="141"/>
      <c r="F42" s="141"/>
      <c r="G42" s="140"/>
    </row>
    <row r="43" spans="2:7" x14ac:dyDescent="0.45">
      <c r="B43" s="19">
        <v>40</v>
      </c>
      <c r="C43" s="138"/>
      <c r="D43" s="138"/>
      <c r="E43" s="141"/>
      <c r="F43" s="141"/>
      <c r="G43" s="140"/>
    </row>
    <row r="44" spans="2:7" x14ac:dyDescent="0.45">
      <c r="B44" s="19">
        <v>41</v>
      </c>
      <c r="C44" s="138"/>
      <c r="D44" s="138"/>
      <c r="E44" s="141"/>
      <c r="F44" s="141"/>
      <c r="G44" s="140"/>
    </row>
    <row r="45" spans="2:7" x14ac:dyDescent="0.45">
      <c r="B45" s="19">
        <v>42</v>
      </c>
      <c r="C45" s="138"/>
      <c r="D45" s="138"/>
      <c r="E45" s="141"/>
      <c r="F45" s="141"/>
      <c r="G45" s="140"/>
    </row>
    <row r="46" spans="2:7" x14ac:dyDescent="0.45">
      <c r="B46" s="19">
        <v>43</v>
      </c>
      <c r="C46" s="138"/>
      <c r="D46" s="138"/>
      <c r="E46" s="141"/>
      <c r="F46" s="141"/>
      <c r="G46" s="140"/>
    </row>
    <row r="47" spans="2:7" x14ac:dyDescent="0.45">
      <c r="B47" s="19">
        <v>44</v>
      </c>
      <c r="C47" s="138"/>
      <c r="D47" s="138"/>
      <c r="E47" s="141"/>
      <c r="F47" s="141"/>
      <c r="G47" s="140"/>
    </row>
    <row r="48" spans="2:7" x14ac:dyDescent="0.45">
      <c r="B48" s="19">
        <v>45</v>
      </c>
      <c r="C48" s="138"/>
      <c r="D48" s="138"/>
      <c r="E48" s="141"/>
      <c r="F48" s="141"/>
      <c r="G48" s="140"/>
    </row>
    <row r="49" spans="2:7" x14ac:dyDescent="0.45">
      <c r="B49" s="19">
        <v>46</v>
      </c>
      <c r="C49" s="138"/>
      <c r="D49" s="138"/>
      <c r="E49" s="141"/>
      <c r="F49" s="141"/>
      <c r="G49" s="140"/>
    </row>
    <row r="50" spans="2:7" x14ac:dyDescent="0.45">
      <c r="B50" s="19">
        <v>47</v>
      </c>
      <c r="C50" s="138"/>
      <c r="D50" s="138"/>
      <c r="E50" s="141"/>
      <c r="F50" s="141"/>
      <c r="G50" s="140"/>
    </row>
    <row r="51" spans="2:7" x14ac:dyDescent="0.45">
      <c r="B51" s="19">
        <v>48</v>
      </c>
      <c r="C51" s="138"/>
      <c r="D51" s="138"/>
      <c r="E51" s="141"/>
      <c r="F51" s="141"/>
      <c r="G51" s="140"/>
    </row>
    <row r="52" spans="2:7" x14ac:dyDescent="0.45">
      <c r="B52" s="19">
        <v>49</v>
      </c>
      <c r="C52" s="138"/>
      <c r="D52" s="138"/>
      <c r="E52" s="141"/>
      <c r="F52" s="141"/>
      <c r="G52" s="140"/>
    </row>
    <row r="53" spans="2:7" x14ac:dyDescent="0.45">
      <c r="B53" s="19">
        <v>50</v>
      </c>
      <c r="C53" s="138"/>
      <c r="D53" s="138"/>
      <c r="E53" s="141"/>
      <c r="F53" s="141"/>
      <c r="G53" s="140"/>
    </row>
    <row r="54" spans="2:7" ht="18.600000000000001" thickBot="1" x14ac:dyDescent="0.5">
      <c r="B54" s="27">
        <v>51</v>
      </c>
      <c r="C54" s="142"/>
      <c r="D54" s="142"/>
      <c r="E54" s="143"/>
      <c r="F54" s="143"/>
      <c r="G54" s="144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90" t="s">
        <v>136</v>
      </c>
      <c r="B2" s="193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91"/>
      <c r="B3" s="194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91"/>
      <c r="B4" s="194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91"/>
      <c r="B5" s="194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92"/>
      <c r="B6" s="195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96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91"/>
      <c r="B8" s="197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91"/>
      <c r="B9" s="194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91"/>
      <c r="B10" s="195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91"/>
      <c r="B11" s="193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91"/>
      <c r="B12" s="194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91"/>
      <c r="B13" s="195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91"/>
      <c r="B14" s="197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91"/>
      <c r="B15" s="194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91"/>
      <c r="B16" s="195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91"/>
      <c r="B17" s="193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91"/>
      <c r="B18" s="194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91"/>
      <c r="B19" s="195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91"/>
      <c r="B20" s="193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91"/>
      <c r="B21" s="195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91"/>
      <c r="B22" s="193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92"/>
      <c r="B23" s="195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2025-05-24T04:15:49Z</dcterms:modified>
</cp:coreProperties>
</file>