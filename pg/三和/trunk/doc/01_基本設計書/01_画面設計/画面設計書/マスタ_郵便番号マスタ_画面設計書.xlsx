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<sst xmlns="http://schemas.openxmlformats.org/spreadsheetml/2006/main" count="1632" uniqueCount="350">
  <si>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</si>
  <si>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</si>
  <si>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</si>
  <si>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</si>
  <si>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</si>
  <si>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</si>
  <si>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</si>
  <si>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</si>
  <si>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</si>
  <si>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</si>
  <si>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</si>
  <si>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</si>
  <si>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</si>
  <si>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</si>
  <si>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</si>
  <si>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</si>
  <si>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</si>
  <si>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</si>
  <si>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</si>
  <si>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</si>
  <si>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</si>
  <si>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</si>
  <si>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</si>
  <si>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</si>
  <si>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</si>
  <si>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</si>
  <si>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</si>
  <si>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</si>
  <si>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</si>
  <si>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</si>
  <si>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</si>
  <si>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</si>
  <si>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</si>
  <si>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</si>
  <si>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</si>
  <si>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</si>
  <si>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</si>
  <si>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</si>
  <si>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</si>
  <si>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</si>
  <si>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</si>
  <si>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</si>
  <si>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</si>
  <si>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</si>
  <si>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</si>
  <si>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</si>
  <si>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</si>
  <si>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</si>
  <si>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</si>
  <si>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</si>
  <si>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</si>
  <si>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</si>
  <si>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</si>
  <si>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</si>
  <si>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</si>
  <si>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</si>
  <si>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</si>
  <si>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</si>
  <si>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</si>
  <si>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</si>
  <si>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</si>
  <si>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</si>
  <si>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</si>
  <si>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</si>
  <si>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</si>
  <si>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</si>
  <si>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</si>
  <si>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</si>
  <si>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</si>
  <si>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</si>
  <si>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</si>
  <si>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</si>
  <si>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</si>
  <si>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</si>
  <si>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</si>
  <si>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</si>
  <si>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</si>
  <si>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</si>
  <si>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</si>
  <si>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</si>
  <si>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</si>
  <si>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</si>
  <si>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</si>
  <si>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</si>
  <si>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</si>
  <si>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</si>
  <si>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</si>
  <si>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</si>
  <si>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</si>
  <si>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</si>
  <si>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</si>
  <si>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</si>
  <si>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</si>
  <si>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</si>
  <si>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</si>
  <si>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</si>
  <si>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</si>
  <si>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</si>
  <si>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</si>
  <si>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</si>
  <si>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</si>
  <si>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</si>
  <si>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</si>
  <si>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</si>
  <si>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</si>
  <si>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</si>
  <si>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</si>
  <si>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</si>
  <si>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</si>
  <si>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</si>
  <si>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</si>
  <si>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</si>
  <si>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</si>
  <si>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</si>
  <si>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</si>
  <si>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</si>
  <si>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</si>
  <si>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</si>
  <si>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</si>
  <si>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</si>
  <si>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</si>
  <si>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</si>
  <si>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</si>
  <si>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</si>
  <si>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</si>
  <si>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</si>
  <si>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</si>
  <si>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</si>
  <si>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</si>
  <si>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</si>
  <si>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</si>
  <si>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</si>
  <si>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</si>
  <si>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</si>
  <si>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</si>
  <si>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</si>
  <si>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</si>
  <si>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</si>
  <si>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</si>
  <si>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</si>
  <si>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</si>
  <si>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</si>
  <si>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</si>
  <si>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</si>
  <si>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</si>
  <si>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</si>
  <si>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</si>
  <si>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</si>
  <si>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</si>
  <si>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</si>
  <si>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</si>
  <si>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</si>
  <si>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</si>
  <si>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</si>
  <si>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</si>
  <si>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</si>
  <si>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</si>
  <si>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</si>
  <si>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</si>
  <si>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</si>
  <si>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</si>
  <si>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</si>
  <si>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</si>
  <si>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</si>
  <si>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</si>
  <si>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</si>
  <si>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</si>
  <si>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</si>
  <si>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</si>
  <si>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</si>
  <si>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</si>
  <si>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</si>
  <si>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</si>
  <si>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</si>
  <si>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</si>
  <si>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</si>
  <si>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</si>
  <si>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</si>
  <si>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</si>
  <si>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</si>
  <si>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</si>
  <si>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</si>
  <si>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</si>
  <si>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</si>
  <si>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</si>
  <si>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</si>
  <si>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</si>
  <si>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</si>
  <si>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</si>
  <si>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</si>
  <si>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</si>
  <si>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</si>
  <si>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</si>
  <si>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</si>
  <si>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</si>
  <si>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</si>
  <si>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</si>
  <si>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</si>
  <si>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</si>
  <si>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</si>
  <si>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</si>
  <si>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</si>
  <si>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</si>
  <si>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</si>
  <si>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</si>
  <si>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</si>
  <si>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</si>
  <si>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</si>
  <si>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</si>
  <si>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</si>
  <si>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</si>
  <si>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</si>
  <si>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</si>
  <si>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</si>
  <si>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</si>
  <si>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</si>
  <si>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</si>
  <si>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</si>
  <si>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</si>
  <si>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</si>
  <si>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</si>
  <si>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</si>
  <si>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</si>
  <si>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</si>
  <si>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</si>
  <si>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</si>
  <si>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</si>
  <si>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</si>
  <si>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</si>
  <si>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</si>
  <si>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</si>
  <si>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</si>
  <si>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</si>
  <si>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</si>
  <si>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</si>
  <si>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</si>
  <si>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</si>
  <si>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</si>
  <si>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</si>
  <si>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</si>
  <si>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</si>
  <si>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</si>
  <si>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</si>
  <si>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</si>
  <si>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</si>
  <si>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</si>
  <si>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</si>
  <si>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</si>
  <si>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</si>
  <si>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</si>
  <si>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</si>
  <si>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</si>
  <si>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</si>
  <si>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</si>
  <si>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</si>
  <si>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</si>
  <si>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</si>
  <si>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</si>
  <si>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</si>
  <si>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</si>
  <si>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</si>
  <si>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</si>
  <si>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</si>
  <si>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</si>
  <si>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</si>
  <si>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</si>
  <si>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</si>
  <si>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</si>
  <si>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</si>
  <si>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</si>
  <si>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</si>
  <si>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</si>
  <si>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</si>
  <si>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</si>
  <si>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</si>
  <si>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</si>
  <si>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</si>
  <si>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</si>
  <si>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</si>
  <si>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</si>
  <si>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</si>
  <si>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</si>
  <si>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</si>
  <si>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</si>
  <si>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</si>
  <si>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</si>
  <si>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</si>
  <si>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</si>
  <si>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</si>
  <si>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</si>
  <si>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</si>
  <si>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</si>
  <si>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</si>
  <si>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</si>
  <si>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</si>
  <si>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</si>
  <si>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</si>
  <si>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</si>
  <si>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</si>
  <si>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</si>
  <si>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</si>
  <si>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全国地方公共団体コード</t>
  </si>
  <si>
    <t>全国地方公共団体コード</t>
    <rPh sb="0" eb="2">
      <t>ゼンコク</t>
    </rPh>
    <rPh sb="2" eb="4">
      <t>チホウ</t>
    </rPh>
    <rPh sb="4" eb="6">
      <t>コウキョウ</t>
    </rPh>
    <rPh sb="6" eb="8">
      <t>ダンタイ</t>
    </rPh>
    <phoneticPr fontId="2"/>
  </si>
  <si>
    <t>旧郵便番号</t>
  </si>
  <si>
    <t>旧郵便番号</t>
    <rPh sb="0" eb="5">
      <t>キュウユウビンバンゴウ</t>
    </rPh>
    <phoneticPr fontId="2"/>
  </si>
  <si>
    <t>郵便番号</t>
  </si>
  <si>
    <t>郵便番号</t>
    <rPh sb="0" eb="4">
      <t>ユウビンバンゴウ</t>
    </rPh>
    <phoneticPr fontId="2"/>
  </si>
  <si>
    <t>都道府県名</t>
  </si>
  <si>
    <t>都道府県名</t>
    <rPh sb="0" eb="4">
      <t>トドウフケン</t>
    </rPh>
    <rPh sb="4" eb="5">
      <t>メイ</t>
    </rPh>
    <phoneticPr fontId="2"/>
  </si>
  <si>
    <t>市区町村名</t>
  </si>
  <si>
    <t>市区町村名</t>
    <rPh sb="0" eb="2">
      <t>シク</t>
    </rPh>
    <rPh sb="2" eb="4">
      <t>チョウソン</t>
    </rPh>
    <rPh sb="4" eb="5">
      <t>メイ</t>
    </rPh>
    <phoneticPr fontId="2"/>
  </si>
  <si>
    <t>町域名</t>
  </si>
  <si>
    <t>町域名</t>
    <rPh sb="0" eb="2">
      <t>チョウイキ</t>
    </rPh>
    <rPh sb="2" eb="3">
      <t>メイ</t>
    </rPh>
    <phoneticPr fontId="2"/>
  </si>
  <si>
    <t>都道府県名（カナ）</t>
  </si>
  <si>
    <t>都道府県名（カナ）</t>
    <rPh sb="0" eb="4">
      <t>トドウフケン</t>
    </rPh>
    <rPh sb="4" eb="5">
      <t>メイ</t>
    </rPh>
    <phoneticPr fontId="2"/>
  </si>
  <si>
    <t>市区町村名（カナ）</t>
  </si>
  <si>
    <t>市区町村名（カナ）</t>
    <rPh sb="0" eb="2">
      <t>シク</t>
    </rPh>
    <rPh sb="2" eb="4">
      <t>チョウソン</t>
    </rPh>
    <rPh sb="4" eb="5">
      <t>メイ</t>
    </rPh>
    <phoneticPr fontId="2"/>
  </si>
  <si>
    <t>町域名（カナ）</t>
  </si>
  <si>
    <t>町域名（カナ）</t>
    <rPh sb="0" eb="2">
      <t>チョウイキ</t>
    </rPh>
    <rPh sb="2" eb="3">
      <t>メイ</t>
    </rPh>
    <phoneticPr fontId="2"/>
  </si>
  <si>
    <t>複数番地</t>
  </si>
  <si>
    <t>複数番地</t>
    <rPh sb="0" eb="2">
      <t>フクスウ</t>
    </rPh>
    <rPh sb="2" eb="4">
      <t>バンチ</t>
    </rPh>
    <phoneticPr fontId="2"/>
  </si>
  <si>
    <t>小字毎に番地が起番されている町域</t>
  </si>
  <si>
    <t>小字毎に番地が起番されている町域</t>
    <rPh sb="0" eb="2">
      <t>コアザ</t>
    </rPh>
    <rPh sb="2" eb="3">
      <t>ゴト</t>
    </rPh>
    <rPh sb="4" eb="6">
      <t>バンチ</t>
    </rPh>
    <rPh sb="7" eb="9">
      <t>キバン</t>
    </rPh>
    <rPh sb="14" eb="16">
      <t>チョウイキ</t>
    </rPh>
    <phoneticPr fontId="2"/>
  </si>
  <si>
    <t>丁目を持つ町域</t>
  </si>
  <si>
    <t>丁目を持つ町域</t>
    <rPh sb="0" eb="1">
      <t>チョウ</t>
    </rPh>
    <rPh sb="1" eb="2">
      <t>メ</t>
    </rPh>
    <rPh sb="3" eb="4">
      <t>モ</t>
    </rPh>
    <rPh sb="5" eb="7">
      <t>チョウイキ</t>
    </rPh>
    <phoneticPr fontId="2"/>
  </si>
  <si>
    <t>1つの郵便番号で二以上の町域を表す場合</t>
    <rPh sb="3" eb="7">
      <t>ユウビンバンゴウ</t>
    </rPh>
    <rPh sb="8" eb="11">
      <t>２イジョウ</t>
    </rPh>
    <rPh sb="12" eb="14">
      <t>チョウイキ</t>
    </rPh>
    <rPh sb="15" eb="16">
      <t>アラワ</t>
    </rPh>
    <rPh sb="17" eb="19">
      <t>バアイ</t>
    </rPh>
    <phoneticPr fontId="2"/>
  </si>
  <si>
    <t>一つの郵便番号で二以上の町域を表す場合</t>
  </si>
  <si>
    <t>丹羽</t>
    <rPh sb="0" eb="2">
      <t>ニワ</t>
    </rPh>
    <phoneticPr fontId="2"/>
  </si>
  <si>
    <t>A</t>
    <phoneticPr fontId="2"/>
  </si>
  <si>
    <t>B</t>
    <phoneticPr fontId="2"/>
  </si>
  <si>
    <t>D</t>
    <phoneticPr fontId="2"/>
  </si>
  <si>
    <t>E</t>
    <phoneticPr fontId="2"/>
  </si>
  <si>
    <t>C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</si>
  <si>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</si>
  <si>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</si>
  <si>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</si>
  <si>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</si>
  <si>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D</t>
    <phoneticPr fontId="2"/>
  </si>
  <si>
    <t>丹羽</t>
    <rPh sb="0" eb="2">
      <t>ニワ</t>
    </rPh>
    <phoneticPr fontId="2"/>
  </si>
  <si>
    <t>業務分類</t>
    <phoneticPr fontId="2"/>
  </si>
  <si>
    <t>システム分類</t>
    <rPh sb="4" eb="6">
      <t>ブンルイ</t>
    </rPh>
    <phoneticPr fontId="2"/>
  </si>
  <si>
    <t>受発注システム</t>
    <phoneticPr fontId="2"/>
  </si>
  <si>
    <t>受発注</t>
    <rPh sb="0" eb="3">
      <t>ジュハッチュウ</t>
    </rPh>
    <phoneticPr fontId="2"/>
  </si>
  <si>
    <t>都道府県名</t>
    <phoneticPr fontId="2"/>
  </si>
  <si>
    <t>都道府県名（カナ）</t>
    <phoneticPr fontId="2"/>
  </si>
  <si>
    <t>市区町村名（カナ）</t>
    <phoneticPr fontId="2"/>
  </si>
  <si>
    <t>町域名</t>
    <phoneticPr fontId="2"/>
  </si>
  <si>
    <t>町域名（カナ）</t>
    <phoneticPr fontId="2"/>
  </si>
  <si>
    <t>丁目を持つ町域</t>
    <phoneticPr fontId="2"/>
  </si>
  <si>
    <t>小字毎に番地が起番されている町域</t>
    <rPh sb="0" eb="1">
      <t>ショウ</t>
    </rPh>
    <rPh sb="1" eb="2">
      <t>ジ</t>
    </rPh>
    <rPh sb="2" eb="3">
      <t>ゴト</t>
    </rPh>
    <rPh sb="4" eb="6">
      <t>バンチ</t>
    </rPh>
    <rPh sb="7" eb="9">
      <t>キバン</t>
    </rPh>
    <rPh sb="14" eb="16">
      <t>チョウイキ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</si>
</sst>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25</xdr:col>
          <xdr:colOff>152400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4693153" cy="75303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0</xdr:rowOff>
    </xdr:from>
    <xdr:to>
      <xdr:col>23</xdr:col>
      <xdr:colOff>60961</xdr:colOff>
      <xdr:row>32</xdr:row>
      <xdr:rowOff>104887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1" y="1127760"/>
          <a:ext cx="13898880" cy="66428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0</xdr:row>
          <xdr:rowOff>38100</xdr:rowOff>
        </xdr:from>
        <xdr:to>
          <xdr:col>25</xdr:col>
          <xdr:colOff>206189</xdr:colOff>
          <xdr:row>3</xdr:row>
          <xdr:rowOff>228600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8302" y="38100"/>
              <a:ext cx="12722263" cy="75527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1</xdr:rowOff>
    </xdr:from>
    <xdr:to>
      <xdr:col>23</xdr:col>
      <xdr:colOff>186963</xdr:colOff>
      <xdr:row>28</xdr:row>
      <xdr:rowOff>160021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" y="1127761"/>
          <a:ext cx="12005583" cy="56921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42</xdr:col>
          <xdr:colOff>192629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8" t="s">
        <v>256</v>
      </c>
      <c r="D8" s="150"/>
      <c r="E8" s="148" t="s">
        <v>257</v>
      </c>
      <c r="F8" s="149"/>
      <c r="G8" s="149"/>
      <c r="H8" s="149"/>
      <c r="I8" s="149"/>
      <c r="J8" s="149"/>
      <c r="K8" s="149"/>
      <c r="L8" s="149"/>
      <c r="M8" s="149"/>
      <c r="N8" s="150"/>
      <c r="O8" s="148" t="s">
        <v>258</v>
      </c>
      <c r="P8" s="149"/>
      <c r="Q8" s="15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1">
        <f>ROW()-8</f>
        <v>1</v>
      </c>
      <c r="D9" s="152"/>
      <c r="E9" s="153" t="s">
        <v>17</v>
      </c>
      <c r="F9" s="154"/>
      <c r="G9" s="154"/>
      <c r="H9" s="154"/>
      <c r="I9" s="154"/>
      <c r="J9" s="154"/>
      <c r="K9" s="154"/>
      <c r="L9" s="154"/>
      <c r="M9" s="154"/>
      <c r="N9" s="155"/>
      <c r="O9" s="156" t="str">
        <f>HYPERLINK("#"&amp;E9&amp;"!A1","リンク")</f>
        <v>リンク</v>
      </c>
      <c r="P9" s="157"/>
      <c r="Q9" s="158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1">
        <f t="shared" ref="C10:C18" si="0">ROW()-8</f>
        <v>2</v>
      </c>
      <c r="D10" s="152"/>
      <c r="E10" s="153" t="s">
        <v>259</v>
      </c>
      <c r="F10" s="154"/>
      <c r="G10" s="154"/>
      <c r="H10" s="154"/>
      <c r="I10" s="154"/>
      <c r="J10" s="154"/>
      <c r="K10" s="154"/>
      <c r="L10" s="154"/>
      <c r="M10" s="154"/>
      <c r="N10" s="155"/>
      <c r="O10" s="156" t="str">
        <f t="shared" ref="O10:O15" si="1">HYPERLINK("#"&amp;E10&amp;"!A1","リンク")</f>
        <v>リンク</v>
      </c>
      <c r="P10" s="157"/>
      <c r="Q10" s="158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1">
        <f t="shared" si="0"/>
        <v>3</v>
      </c>
      <c r="D11" s="152"/>
      <c r="E11" s="153" t="s">
        <v>260</v>
      </c>
      <c r="F11" s="154"/>
      <c r="G11" s="154"/>
      <c r="H11" s="154"/>
      <c r="I11" s="154"/>
      <c r="J11" s="154"/>
      <c r="K11" s="154"/>
      <c r="L11" s="154"/>
      <c r="M11" s="154"/>
      <c r="N11" s="155"/>
      <c r="O11" s="156" t="str">
        <f t="shared" si="1"/>
        <v>リンク</v>
      </c>
      <c r="P11" s="157"/>
      <c r="Q11" s="158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1">
        <f t="shared" si="0"/>
        <v>4</v>
      </c>
      <c r="D12" s="152"/>
      <c r="E12" s="153" t="s">
        <v>261</v>
      </c>
      <c r="F12" s="154"/>
      <c r="G12" s="154"/>
      <c r="H12" s="154"/>
      <c r="I12" s="154"/>
      <c r="J12" s="154"/>
      <c r="K12" s="154"/>
      <c r="L12" s="154"/>
      <c r="M12" s="154"/>
      <c r="N12" s="155"/>
      <c r="O12" s="156" t="str">
        <f t="shared" si="1"/>
        <v>リンク</v>
      </c>
      <c r="P12" s="157"/>
      <c r="Q12" s="158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1">
        <f t="shared" si="0"/>
        <v>5</v>
      </c>
      <c r="D13" s="152"/>
      <c r="E13" s="153" t="s">
        <v>263</v>
      </c>
      <c r="F13" s="154"/>
      <c r="G13" s="154"/>
      <c r="H13" s="154"/>
      <c r="I13" s="154"/>
      <c r="J13" s="154"/>
      <c r="K13" s="154"/>
      <c r="L13" s="154"/>
      <c r="M13" s="154"/>
      <c r="N13" s="155"/>
      <c r="O13" s="156" t="str">
        <f t="shared" si="1"/>
        <v>リンク</v>
      </c>
      <c r="P13" s="157"/>
      <c r="Q13" s="158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1">
        <f t="shared" si="0"/>
        <v>6</v>
      </c>
      <c r="D14" s="152"/>
      <c r="E14" s="153" t="s">
        <v>264</v>
      </c>
      <c r="F14" s="154"/>
      <c r="G14" s="154"/>
      <c r="H14" s="154"/>
      <c r="I14" s="154"/>
      <c r="J14" s="154"/>
      <c r="K14" s="154"/>
      <c r="L14" s="154"/>
      <c r="M14" s="154"/>
      <c r="N14" s="155"/>
      <c r="O14" s="156" t="str">
        <f t="shared" si="1"/>
        <v>リンク</v>
      </c>
      <c r="P14" s="157"/>
      <c r="Q14" s="158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1">
        <f t="shared" si="0"/>
        <v>7</v>
      </c>
      <c r="D15" s="152"/>
      <c r="E15" s="153" t="s">
        <v>262</v>
      </c>
      <c r="F15" s="154"/>
      <c r="G15" s="154"/>
      <c r="H15" s="154"/>
      <c r="I15" s="154"/>
      <c r="J15" s="154"/>
      <c r="K15" s="154"/>
      <c r="L15" s="154"/>
      <c r="M15" s="154"/>
      <c r="N15" s="155"/>
      <c r="O15" s="156" t="str">
        <f t="shared" si="1"/>
        <v>リンク</v>
      </c>
      <c r="P15" s="157"/>
      <c r="Q15" s="158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1">
        <f t="shared" si="0"/>
        <v>8</v>
      </c>
      <c r="D16" s="152"/>
      <c r="E16" s="153" t="s">
        <v>265</v>
      </c>
      <c r="F16" s="154"/>
      <c r="G16" s="154"/>
      <c r="H16" s="154"/>
      <c r="I16" s="154"/>
      <c r="J16" s="154"/>
      <c r="K16" s="154"/>
      <c r="L16" s="154"/>
      <c r="M16" s="154"/>
      <c r="N16" s="155"/>
      <c r="O16" s="156" t="str">
        <f>HYPERLINK("#"&amp;E16&amp;"!A1","リンク")</f>
        <v>リンク</v>
      </c>
      <c r="P16" s="157"/>
      <c r="Q16" s="158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1">
        <f t="shared" si="0"/>
        <v>9</v>
      </c>
      <c r="D17" s="152"/>
      <c r="E17" s="153" t="s">
        <v>266</v>
      </c>
      <c r="F17" s="154"/>
      <c r="G17" s="154"/>
      <c r="H17" s="154"/>
      <c r="I17" s="154"/>
      <c r="J17" s="154"/>
      <c r="K17" s="154"/>
      <c r="L17" s="154"/>
      <c r="M17" s="154"/>
      <c r="N17" s="155"/>
      <c r="O17" s="156" t="str">
        <f>HYPERLINK("#"&amp;E17&amp;"!A1","リンク")</f>
        <v>リンク</v>
      </c>
      <c r="P17" s="157"/>
      <c r="Q17" s="158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1">
        <f t="shared" si="0"/>
        <v>10</v>
      </c>
      <c r="D18" s="152"/>
      <c r="E18" s="153" t="s">
        <v>294</v>
      </c>
      <c r="F18" s="154"/>
      <c r="G18" s="154"/>
      <c r="H18" s="154"/>
      <c r="I18" s="154"/>
      <c r="J18" s="154"/>
      <c r="K18" s="154"/>
      <c r="L18" s="154"/>
      <c r="M18" s="154"/>
      <c r="N18" s="155"/>
      <c r="O18" s="156" t="str">
        <f>HYPERLINK("#"&amp;E18&amp;"!A1","リンク")</f>
        <v>リンク</v>
      </c>
      <c r="P18" s="157"/>
      <c r="Q18" s="15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9" t="s">
        <v>0</v>
      </c>
      <c r="C2" s="160"/>
      <c r="D2" s="160"/>
      <c r="E2" s="160"/>
      <c r="F2" s="160"/>
      <c r="G2" s="160"/>
      <c r="H2" s="160" t="s">
        <v>339</v>
      </c>
      <c r="I2" s="160"/>
      <c r="J2" s="160"/>
      <c r="K2" s="160"/>
      <c r="L2" s="160" t="s">
        <v>340</v>
      </c>
      <c r="M2" s="160"/>
      <c r="N2" s="160"/>
      <c r="O2" s="160"/>
      <c r="P2" s="160"/>
      <c r="Q2" s="160"/>
      <c r="R2" s="160" t="s">
        <v>1</v>
      </c>
      <c r="S2" s="160"/>
      <c r="T2" s="160"/>
      <c r="U2" s="160"/>
      <c r="V2" s="160"/>
      <c r="W2" s="160"/>
      <c r="X2" s="161" t="s">
        <v>2</v>
      </c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K2" s="161" t="s">
        <v>15</v>
      </c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3"/>
      <c r="AX2" s="160" t="s">
        <v>4</v>
      </c>
      <c r="AY2" s="160"/>
      <c r="AZ2" s="160"/>
      <c r="BA2" s="160"/>
      <c r="BB2" s="160" t="s">
        <v>3</v>
      </c>
      <c r="BC2" s="160"/>
      <c r="BD2" s="160"/>
      <c r="BE2" s="160"/>
      <c r="BF2" s="160" t="s">
        <v>5</v>
      </c>
      <c r="BG2" s="160"/>
      <c r="BH2" s="160"/>
      <c r="BI2" s="160"/>
      <c r="BJ2" s="160" t="s">
        <v>6</v>
      </c>
      <c r="BK2" s="160"/>
      <c r="BL2" s="160"/>
      <c r="BM2" s="174"/>
      <c r="BN2" s="15"/>
    </row>
    <row r="3" spans="1:66" ht="20.100000000000001" customHeight="1" x14ac:dyDescent="0.45">
      <c r="A3" s="9"/>
      <c r="B3" s="164" t="s">
        <v>341</v>
      </c>
      <c r="C3" s="165"/>
      <c r="D3" s="165"/>
      <c r="E3" s="165"/>
      <c r="F3" s="165"/>
      <c r="G3" s="165"/>
      <c r="H3" s="165" t="str">
        <f ca="1">LEFT($X$3,FIND("_",$X$3)-1)</f>
        <v>マスタ</v>
      </c>
      <c r="I3" s="165"/>
      <c r="J3" s="165"/>
      <c r="K3" s="165"/>
      <c r="L3" s="165" t="s">
        <v>342</v>
      </c>
      <c r="M3" s="165"/>
      <c r="N3" s="165"/>
      <c r="O3" s="165"/>
      <c r="P3" s="165"/>
      <c r="Q3" s="165"/>
      <c r="R3" s="168" t="str">
        <f ca="1">MID($X$3,FIND("_",$X$3,FIND("_",$X$3)+1)+1,LEN($X$3)-FIND("_",$X$3,FIND("_",$X$3)+1))</f>
        <v>画面設計書</v>
      </c>
      <c r="S3" s="165"/>
      <c r="T3" s="165"/>
      <c r="U3" s="165"/>
      <c r="V3" s="165"/>
      <c r="W3" s="165"/>
      <c r="X3" s="169" t="str">
        <f ca="1">REPLACE(LEFT(CELL("filename",$B$2),FIND(".x",CELL("filename",$B$2))-1),1,FIND("[",CELL("filename",$B$2)),)</f>
        <v>マスタ_郵便番号マスタ_画面設計書</v>
      </c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66"/>
      <c r="AK3" s="169" t="str">
        <f ca="1">MID($X$3,FIND("_",$X$3)+1,FIND("_",$X$3,FIND("_",$X$3)+1)-FIND("_",$X$3)-1)</f>
        <v>郵便番号マスタ</v>
      </c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66"/>
      <c r="AX3" s="176">
        <v>45519</v>
      </c>
      <c r="AY3" s="165"/>
      <c r="AZ3" s="165"/>
      <c r="BA3" s="165"/>
      <c r="BB3" s="165" t="s">
        <v>327</v>
      </c>
      <c r="BC3" s="165"/>
      <c r="BD3" s="165"/>
      <c r="BE3" s="165"/>
      <c r="BF3" s="176">
        <v>45519</v>
      </c>
      <c r="BG3" s="165"/>
      <c r="BH3" s="165"/>
      <c r="BI3" s="165"/>
      <c r="BJ3" s="165" t="s">
        <v>338</v>
      </c>
      <c r="BK3" s="165"/>
      <c r="BL3" s="165"/>
      <c r="BM3" s="177"/>
      <c r="BN3" s="15"/>
    </row>
    <row r="4" spans="1:66" ht="20.100000000000001" customHeight="1" thickBot="1" x14ac:dyDescent="0.5">
      <c r="A4" s="9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5" t="s">
        <v>7</v>
      </c>
      <c r="D8" s="175"/>
      <c r="E8" s="175"/>
      <c r="F8" s="175"/>
      <c r="G8" s="175" t="s">
        <v>8</v>
      </c>
      <c r="H8" s="175"/>
      <c r="I8" s="175"/>
      <c r="J8" s="175"/>
      <c r="K8" s="175" t="s">
        <v>9</v>
      </c>
      <c r="L8" s="175"/>
      <c r="M8" s="175"/>
      <c r="N8" s="175"/>
      <c r="O8" s="175" t="s">
        <v>10</v>
      </c>
      <c r="P8" s="175"/>
      <c r="Q8" s="175"/>
      <c r="R8" s="175"/>
      <c r="S8" s="175"/>
      <c r="T8" s="175"/>
      <c r="U8" s="175"/>
      <c r="V8" s="175"/>
      <c r="W8" s="175"/>
      <c r="X8" s="175"/>
      <c r="Y8" s="175" t="s">
        <v>11</v>
      </c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8"/>
      <c r="BN8" s="15"/>
    </row>
    <row r="9" spans="1:66" ht="20.100000000000001" customHeight="1" x14ac:dyDescent="0.45">
      <c r="A9" s="9"/>
      <c r="B9" s="8"/>
      <c r="C9" s="178">
        <v>45519</v>
      </c>
      <c r="D9" s="179"/>
      <c r="E9" s="179"/>
      <c r="F9" s="180"/>
      <c r="G9" s="153" t="s">
        <v>18</v>
      </c>
      <c r="H9" s="154"/>
      <c r="I9" s="154"/>
      <c r="J9" s="155"/>
      <c r="K9" s="181" t="s">
        <v>338</v>
      </c>
      <c r="L9" s="179"/>
      <c r="M9" s="179"/>
      <c r="N9" s="18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8"/>
      <c r="D10" s="179"/>
      <c r="E10" s="179"/>
      <c r="F10" s="180"/>
      <c r="G10" s="153"/>
      <c r="H10" s="154"/>
      <c r="I10" s="154"/>
      <c r="J10" s="155"/>
      <c r="K10" s="181"/>
      <c r="L10" s="179"/>
      <c r="M10" s="179"/>
      <c r="N10" s="18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8"/>
      <c r="D11" s="179"/>
      <c r="E11" s="179"/>
      <c r="F11" s="180"/>
      <c r="G11" s="153"/>
      <c r="H11" s="154"/>
      <c r="I11" s="154"/>
      <c r="J11" s="155"/>
      <c r="K11" s="181"/>
      <c r="L11" s="179"/>
      <c r="M11" s="179"/>
      <c r="N11" s="18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8"/>
      <c r="D36" s="179"/>
      <c r="E36" s="179"/>
      <c r="F36" s="180"/>
      <c r="G36" s="153"/>
      <c r="H36" s="154"/>
      <c r="I36" s="154"/>
      <c r="J36" s="155"/>
      <c r="K36" s="181"/>
      <c r="L36" s="179"/>
      <c r="M36" s="179"/>
      <c r="N36" s="18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8"/>
      <c r="D37" s="179"/>
      <c r="E37" s="179"/>
      <c r="F37" s="180"/>
      <c r="G37" s="153"/>
      <c r="H37" s="154"/>
      <c r="I37" s="154"/>
      <c r="J37" s="155"/>
      <c r="K37" s="181"/>
      <c r="L37" s="179"/>
      <c r="M37" s="179"/>
      <c r="N37" s="18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8"/>
      <c r="D38" s="179"/>
      <c r="E38" s="179"/>
      <c r="F38" s="180"/>
      <c r="G38" s="153"/>
      <c r="H38" s="154"/>
      <c r="I38" s="154"/>
      <c r="J38" s="155"/>
      <c r="K38" s="181"/>
      <c r="L38" s="179"/>
      <c r="M38" s="179"/>
      <c r="N38" s="18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8"/>
      <c r="D39" s="179"/>
      <c r="E39" s="179"/>
      <c r="F39" s="180"/>
      <c r="G39" s="153"/>
      <c r="H39" s="154"/>
      <c r="I39" s="154"/>
      <c r="J39" s="155"/>
      <c r="K39" s="181"/>
      <c r="L39" s="179"/>
      <c r="M39" s="179"/>
      <c r="N39" s="18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8"/>
      <c r="D40" s="179"/>
      <c r="E40" s="179"/>
      <c r="F40" s="180"/>
      <c r="G40" s="153"/>
      <c r="H40" s="154"/>
      <c r="I40" s="154"/>
      <c r="J40" s="155"/>
      <c r="K40" s="181"/>
      <c r="L40" s="179"/>
      <c r="M40" s="179"/>
      <c r="N40" s="18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8"/>
      <c r="D41" s="179"/>
      <c r="E41" s="179"/>
      <c r="F41" s="180"/>
      <c r="G41" s="153"/>
      <c r="H41" s="154"/>
      <c r="I41" s="154"/>
      <c r="J41" s="155"/>
      <c r="K41" s="181"/>
      <c r="L41" s="179"/>
      <c r="M41" s="179"/>
      <c r="N41" s="18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8"/>
      <c r="D42" s="179"/>
      <c r="E42" s="179"/>
      <c r="F42" s="180"/>
      <c r="G42" s="153"/>
      <c r="H42" s="154"/>
      <c r="I42" s="154"/>
      <c r="J42" s="155"/>
      <c r="K42" s="181"/>
      <c r="L42" s="179"/>
      <c r="M42" s="179"/>
      <c r="N42" s="18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8"/>
      <c r="D43" s="179"/>
      <c r="E43" s="179"/>
      <c r="F43" s="180"/>
      <c r="G43" s="153"/>
      <c r="H43" s="154"/>
      <c r="I43" s="154"/>
      <c r="J43" s="155"/>
      <c r="K43" s="181"/>
      <c r="L43" s="179"/>
      <c r="M43" s="179"/>
      <c r="N43" s="18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8"/>
      <c r="D44" s="179"/>
      <c r="E44" s="179"/>
      <c r="F44" s="180"/>
      <c r="G44" s="153"/>
      <c r="H44" s="154"/>
      <c r="I44" s="154"/>
      <c r="J44" s="155"/>
      <c r="K44" s="181"/>
      <c r="L44" s="179"/>
      <c r="M44" s="179"/>
      <c r="N44" s="18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8"/>
      <c r="D45" s="179"/>
      <c r="E45" s="179"/>
      <c r="F45" s="180"/>
      <c r="G45" s="153"/>
      <c r="H45" s="154"/>
      <c r="I45" s="154"/>
      <c r="J45" s="155"/>
      <c r="K45" s="181"/>
      <c r="L45" s="179"/>
      <c r="M45" s="179"/>
      <c r="N45" s="18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8"/>
      <c r="D46" s="179"/>
      <c r="E46" s="179"/>
      <c r="F46" s="180"/>
      <c r="G46" s="153"/>
      <c r="H46" s="154"/>
      <c r="I46" s="154"/>
      <c r="J46" s="155"/>
      <c r="K46" s="181"/>
      <c r="L46" s="179"/>
      <c r="M46" s="179"/>
      <c r="N46" s="18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8"/>
      <c r="D47" s="179"/>
      <c r="E47" s="179"/>
      <c r="F47" s="180"/>
      <c r="G47" s="153"/>
      <c r="H47" s="154"/>
      <c r="I47" s="154"/>
      <c r="J47" s="155"/>
      <c r="K47" s="181"/>
      <c r="L47" s="179"/>
      <c r="M47" s="179"/>
      <c r="N47" s="18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="85" zoomScaleNormal="100" zoomScaleSheetLayoutView="85" workbookViewId="0">
      <selection activeCell="AC12" sqref="AC12"/>
    </sheetView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30.09765625" style="7" customWidth="1"/>
    <col min="5" max="6" width="3.59765625" style="7" customWidth="1"/>
    <col min="7" max="7" width="30.09765625" style="7" customWidth="1"/>
    <col min="8" max="9" width="3.59765625" style="7" customWidth="1"/>
    <col min="10" max="10" width="30.09765625" style="7" customWidth="1"/>
    <col min="11" max="12" width="3.59765625" style="7" customWidth="1"/>
    <col min="13" max="13" width="30.09765625" style="7" customWidth="1"/>
    <col min="14" max="24" width="3.5976562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302</v>
      </c>
      <c r="E40" s="39"/>
      <c r="F40" s="19">
        <v>1</v>
      </c>
      <c r="G40" s="129"/>
      <c r="H40" s="10"/>
      <c r="I40" s="19">
        <v>1</v>
      </c>
      <c r="J40" s="128" t="s">
        <v>302</v>
      </c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304</v>
      </c>
      <c r="E41" s="39"/>
      <c r="F41" s="19">
        <v>2</v>
      </c>
      <c r="G41" s="129"/>
      <c r="H41" s="10"/>
      <c r="I41" s="19">
        <v>2</v>
      </c>
      <c r="J41" s="128" t="s">
        <v>304</v>
      </c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306</v>
      </c>
      <c r="E42" s="39"/>
      <c r="F42" s="19">
        <v>3</v>
      </c>
      <c r="G42" s="129"/>
      <c r="H42" s="18"/>
      <c r="I42" s="19">
        <v>3</v>
      </c>
      <c r="J42" s="128" t="s">
        <v>306</v>
      </c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308</v>
      </c>
      <c r="E43" s="39"/>
      <c r="F43" s="19">
        <v>4</v>
      </c>
      <c r="G43" s="129"/>
      <c r="H43" s="18"/>
      <c r="I43" s="19">
        <v>4</v>
      </c>
      <c r="J43" s="128" t="s">
        <v>308</v>
      </c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310</v>
      </c>
      <c r="E44" s="39"/>
      <c r="F44" s="19">
        <v>5</v>
      </c>
      <c r="G44" s="129"/>
      <c r="H44" s="18"/>
      <c r="I44" s="19">
        <v>5</v>
      </c>
      <c r="J44" s="128" t="s">
        <v>310</v>
      </c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312</v>
      </c>
      <c r="E45" s="39"/>
      <c r="F45" s="19">
        <v>6</v>
      </c>
      <c r="G45" s="129"/>
      <c r="H45" s="18"/>
      <c r="I45" s="19">
        <v>6</v>
      </c>
      <c r="J45" s="128" t="s">
        <v>312</v>
      </c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314</v>
      </c>
      <c r="E46" s="39"/>
      <c r="F46" s="19">
        <v>7</v>
      </c>
      <c r="G46" s="129"/>
      <c r="H46" s="18"/>
      <c r="I46" s="19">
        <v>7</v>
      </c>
      <c r="J46" s="128" t="s">
        <v>314</v>
      </c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316</v>
      </c>
      <c r="E47" s="39"/>
      <c r="F47" s="19">
        <v>8</v>
      </c>
      <c r="G47" s="129"/>
      <c r="H47" s="18"/>
      <c r="I47" s="19">
        <v>8</v>
      </c>
      <c r="J47" s="128" t="s">
        <v>316</v>
      </c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318</v>
      </c>
      <c r="E48" s="39"/>
      <c r="F48" s="19">
        <v>9</v>
      </c>
      <c r="G48" s="129"/>
      <c r="H48" s="18"/>
      <c r="I48" s="19">
        <v>9</v>
      </c>
      <c r="J48" s="128" t="s">
        <v>318</v>
      </c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320</v>
      </c>
      <c r="E49" s="39"/>
      <c r="F49" s="19">
        <v>10</v>
      </c>
      <c r="G49" s="129"/>
      <c r="H49" s="18"/>
      <c r="I49" s="19">
        <v>10</v>
      </c>
      <c r="J49" s="128" t="s">
        <v>320</v>
      </c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 t="s">
        <v>322</v>
      </c>
      <c r="E50" s="39"/>
      <c r="F50" s="19">
        <v>11</v>
      </c>
      <c r="G50" s="129"/>
      <c r="H50" s="18"/>
      <c r="I50" s="19">
        <v>11</v>
      </c>
      <c r="J50" s="128" t="s">
        <v>322</v>
      </c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 t="s">
        <v>324</v>
      </c>
      <c r="E51" s="39"/>
      <c r="F51" s="19">
        <v>12</v>
      </c>
      <c r="G51" s="129"/>
      <c r="H51" s="18"/>
      <c r="I51" s="19">
        <v>12</v>
      </c>
      <c r="J51" s="128" t="s">
        <v>324</v>
      </c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 t="s">
        <v>325</v>
      </c>
      <c r="E52" s="39"/>
      <c r="F52" s="19">
        <v>13</v>
      </c>
      <c r="G52" s="129"/>
      <c r="H52" s="18"/>
      <c r="I52" s="19">
        <v>13</v>
      </c>
      <c r="J52" s="128" t="s">
        <v>325</v>
      </c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5.8984375" style="7" bestFit="1" customWidth="1"/>
    <col min="5" max="5" width="17.5" style="7" customWidth="1"/>
    <col min="6" max="6" width="3.59765625" style="7" customWidth="1"/>
    <col min="7" max="7" width="4" style="7" bestFit="1" customWidth="1"/>
    <col min="8" max="9" width="3.59765625" style="7" customWidth="1"/>
    <col min="10" max="10" width="5.8984375" style="7" bestFit="1" customWidth="1"/>
    <col min="11" max="11" width="13.09765625" style="7" customWidth="1"/>
    <col min="12" max="15" width="3.59765625" style="7" customWidth="1"/>
    <col min="16" max="16" width="5.8984375" style="7" bestFit="1" customWidth="1"/>
    <col min="17" max="17" width="11.59765625" style="7" customWidth="1"/>
    <col min="18" max="18" width="3.59765625" style="7" customWidth="1"/>
    <col min="19" max="19" width="15.5" style="7" customWidth="1"/>
    <col min="20" max="22" width="3.59765625" style="7" customWidth="1"/>
    <col min="23" max="23" width="5.8984375" style="7" bestFit="1" customWidth="1"/>
    <col min="24" max="24" width="16.8984375" style="7" customWidth="1"/>
    <col min="25" max="28" width="3.59765625" style="7" customWidth="1"/>
    <col min="29" max="29" width="5.8984375" style="7" bestFit="1" customWidth="1"/>
    <col min="30" max="30" width="19.09765625" style="7" customWidth="1"/>
    <col min="31" max="31" width="4.09765625" style="7" customWidth="1"/>
    <col min="32" max="34" width="3.59765625" style="7" customWidth="1"/>
    <col min="35" max="35" width="5.8984375" style="7" bestFit="1" customWidth="1"/>
    <col min="36" max="36" width="21.09765625" style="7" customWidth="1"/>
    <col min="37" max="39" width="3.59765625" style="7" customWidth="1"/>
    <col min="40" max="40" width="15.8984375" style="7" customWidth="1"/>
    <col min="41" max="43" width="3.59765625" style="7" customWidth="1"/>
    <col min="44" max="44" width="19.09765625" style="7" customWidth="1"/>
    <col min="45" max="46" width="3.59765625" style="7" customWidth="1"/>
    <col min="47" max="47" width="3.59765625" style="7"/>
    <col min="48" max="48" width="19.39843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09765625" style="7" customWidth="1"/>
    <col min="73" max="75" width="3.59765625" style="7"/>
    <col min="76" max="76" width="21.3984375" style="7" customWidth="1"/>
    <col min="77" max="79" width="3.59765625" style="7"/>
    <col min="80" max="80" width="21.09765625" style="7" customWidth="1"/>
    <col min="81" max="83" width="3.59765625" style="7"/>
    <col min="84" max="84" width="18.59765625" style="7" customWidth="1"/>
    <col min="85" max="87" width="3.59765625" style="7"/>
    <col min="88" max="88" width="22" style="7" customWidth="1"/>
    <col min="89" max="91" width="3.59765625" style="7"/>
    <col min="92" max="92" width="20.89843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5976562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349999999999994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35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5976562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09765625" style="7" customWidth="1"/>
    <col min="17" max="18" width="3.59765625" style="7"/>
    <col min="19" max="59" width="3.5976562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35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6" style="7" bestFit="1" customWidth="1"/>
    <col min="5" max="5" width="20.3984375" style="7" customWidth="1"/>
    <col min="6" max="6" width="7.5" style="7" bestFit="1" customWidth="1"/>
    <col min="7" max="8" width="3.59765625" style="7" customWidth="1"/>
    <col min="9" max="9" width="6" style="7" customWidth="1"/>
    <col min="10" max="10" width="24.09765625" style="7" customWidth="1"/>
    <col min="11" max="11" width="8" style="7" bestFit="1" customWidth="1"/>
    <col min="12" max="13" width="3.59765625" style="7" customWidth="1"/>
    <col min="14" max="14" width="5.8984375" style="7" bestFit="1" customWidth="1"/>
    <col min="15" max="16" width="3.59765625" style="7" customWidth="1"/>
    <col min="17" max="17" width="6" style="7" customWidth="1"/>
    <col min="18" max="18" width="27.09765625" style="7" customWidth="1"/>
    <col min="19" max="19" width="7.5" style="7" bestFit="1" customWidth="1"/>
    <col min="20" max="21" width="4.5" style="7" bestFit="1" customWidth="1"/>
    <col min="22" max="27" width="3.59765625" style="7" customWidth="1"/>
    <col min="28" max="28" width="6" style="7" customWidth="1"/>
    <col min="29" max="29" width="32.59765625" style="7" customWidth="1"/>
    <col min="30" max="30" width="7.5" style="7" bestFit="1" customWidth="1"/>
    <col min="31" max="32" width="3.5976562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5976562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89843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8984375" style="7" bestFit="1" customWidth="1"/>
    <col min="48" max="48" width="3.59765625" style="7"/>
    <col min="49" max="49" width="30.59765625" style="7" customWidth="1"/>
    <col min="50" max="50" width="8.59765625" style="7" bestFit="1" customWidth="1"/>
    <col min="51" max="51" width="3.59765625" style="7"/>
    <col min="52" max="52" width="24.59765625" style="7" customWidth="1"/>
    <col min="53" max="53" width="8.59765625" style="7" bestFit="1" customWidth="1"/>
    <col min="54" max="54" width="3.59765625" style="7"/>
    <col min="55" max="55" width="26.0976562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09765625" style="7" customWidth="1"/>
    <col min="66" max="66" width="8" style="7" bestFit="1" customWidth="1"/>
    <col min="67" max="68" width="4.5" style="7" bestFit="1" customWidth="1"/>
    <col min="69" max="69" width="5.89843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89843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8984375" style="7" bestFit="1" customWidth="1"/>
    <col min="82" max="82" width="3.59765625" style="7"/>
    <col min="83" max="83" width="26.0976562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35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5.8984375" style="7" bestFit="1" customWidth="1"/>
    <col min="5" max="5" width="30.59765625" style="7" customWidth="1"/>
    <col min="6" max="6" width="89.8984375" style="7" customWidth="1"/>
    <col min="7" max="7" width="83.59765625" style="7" customWidth="1"/>
    <col min="8" max="31" width="3.5976562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="85" zoomScaleNormal="100" zoomScaleSheetLayoutView="85" workbookViewId="0">
      <selection activeCell="AE7" sqref="AE7"/>
    </sheetView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30.09765625" style="7" customWidth="1"/>
    <col min="5" max="6" width="3.59765625" style="7" customWidth="1"/>
    <col min="7" max="7" width="30.09765625" style="7" customWidth="1"/>
    <col min="8" max="9" width="3.59765625" style="7" customWidth="1"/>
    <col min="10" max="10" width="30.09765625" style="7" customWidth="1"/>
    <col min="11" max="24" width="3.5976562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305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343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344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309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345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346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347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301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303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319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349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348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 t="s">
        <v>326</v>
      </c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6.3984375" style="7" bestFit="1" customWidth="1"/>
    <col min="5" max="5" width="17.5" style="7" bestFit="1" customWidth="1"/>
    <col min="6" max="6" width="5.59765625" style="7" bestFit="1" customWidth="1"/>
    <col min="7" max="7" width="8.8984375" style="7" bestFit="1" customWidth="1"/>
    <col min="8" max="8" width="5.8984375" style="7" bestFit="1" customWidth="1"/>
    <col min="9" max="14" width="3.59765625" style="7" customWidth="1"/>
    <col min="15" max="15" width="5.8984375" style="7" bestFit="1" customWidth="1"/>
    <col min="16" max="16" width="14.59765625" style="7" bestFit="1" customWidth="1"/>
    <col min="17" max="17" width="8.8984375" style="7" bestFit="1" customWidth="1"/>
    <col min="18" max="18" width="12.09765625" style="7" bestFit="1" customWidth="1"/>
    <col min="19" max="25" width="3.59765625" style="7" customWidth="1"/>
    <col min="26" max="26" width="9.59765625" style="7" bestFit="1" customWidth="1"/>
    <col min="27" max="27" width="11.09765625" style="7" bestFit="1" customWidth="1"/>
    <col min="28" max="28" width="12.5" style="7" bestFit="1" customWidth="1"/>
    <col min="29" max="29" width="4.3984375" style="7" bestFit="1" customWidth="1"/>
    <col min="30" max="31" width="3.59765625" style="7"/>
    <col min="32" max="33" width="5.8984375" style="7" bestFit="1" customWidth="1"/>
    <col min="34" max="34" width="4.3984375" style="7" bestFit="1" customWidth="1"/>
    <col min="35" max="35" width="5.59765625" style="7" bestFit="1" customWidth="1"/>
    <col min="36" max="41" width="3.59765625" style="7"/>
    <col min="42" max="42" width="5.8984375" style="7" bestFit="1" customWidth="1"/>
    <col min="43" max="43" width="4.3984375" style="7" bestFit="1" customWidth="1"/>
    <col min="44" max="44" width="8.09765625" style="7" bestFit="1" customWidth="1"/>
    <col min="45" max="45" width="4.3984375" style="7" bestFit="1" customWidth="1"/>
    <col min="46" max="46" width="12.09765625" style="7" bestFit="1" customWidth="1"/>
    <col min="47" max="47" width="10.3984375" style="7" bestFit="1" customWidth="1"/>
    <col min="48" max="48" width="11.09765625" style="7" bestFit="1" customWidth="1"/>
    <col min="49" max="51" width="4.3984375" style="7" bestFit="1" customWidth="1"/>
    <col min="52" max="54" width="3.59765625" style="7"/>
    <col min="55" max="55" width="9.59765625" style="7" bestFit="1" customWidth="1"/>
    <col min="56" max="56" width="11.09765625" style="7" bestFit="1" customWidth="1"/>
    <col min="57" max="57" width="12.5" style="7" bestFit="1" customWidth="1"/>
    <col min="58" max="58" width="4.3984375" style="7" bestFit="1" customWidth="1"/>
    <col min="59" max="60" width="3.59765625" style="7"/>
    <col min="61" max="62" width="5.8984375" style="7" bestFit="1" customWidth="1"/>
    <col min="63" max="63" width="4.3984375" style="7" bestFit="1" customWidth="1"/>
    <col min="64" max="64" width="5.59765625" style="7" bestFit="1" customWidth="1"/>
    <col min="65" max="69" width="3.59765625" style="7"/>
    <col min="70" max="70" width="9.59765625" style="7" bestFit="1" customWidth="1"/>
    <col min="71" max="71" width="5.8984375" style="7" bestFit="1" customWidth="1"/>
    <col min="72" max="72" width="4.3984375" style="7" bestFit="1" customWidth="1"/>
    <col min="73" max="75" width="3.59765625" style="7"/>
    <col min="76" max="76" width="9.59765625" style="7" bestFit="1" customWidth="1"/>
    <col min="77" max="77" width="11.09765625" style="7" bestFit="1" customWidth="1"/>
    <col min="78" max="78" width="12.5" style="7" bestFit="1" customWidth="1"/>
    <col min="79" max="79" width="4.3984375" style="7" bestFit="1" customWidth="1"/>
    <col min="80" max="81" width="3.59765625" style="7"/>
    <col min="82" max="83" width="5.8984375" style="7" bestFit="1" customWidth="1"/>
    <col min="84" max="84" width="4.3984375" style="7" bestFit="1" customWidth="1"/>
    <col min="85" max="85" width="8.8984375" style="7" bestFit="1" customWidth="1"/>
    <col min="86" max="86" width="5.59765625" style="7" bestFit="1" customWidth="1"/>
    <col min="87" max="87" width="8.59765625" style="7" bestFit="1" customWidth="1"/>
    <col min="88" max="94" width="3.59765625" style="7"/>
    <col min="95" max="95" width="10.8984375" style="7" bestFit="1" customWidth="1"/>
    <col min="96" max="96" width="5.8984375" style="7" bestFit="1" customWidth="1"/>
    <col min="97" max="97" width="4.3984375" style="7" bestFit="1" customWidth="1"/>
    <col min="98" max="100" width="3.59765625" style="7"/>
    <col min="101" max="101" width="9.59765625" style="7" bestFit="1" customWidth="1"/>
    <col min="102" max="102" width="11.09765625" style="7" bestFit="1" customWidth="1"/>
    <col min="103" max="103" width="12.5" style="7" bestFit="1" customWidth="1"/>
    <col min="104" max="104" width="4.3984375" style="7" bestFit="1" customWidth="1"/>
    <col min="105" max="106" width="3.59765625" style="7"/>
    <col min="107" max="107" width="7" style="7" bestFit="1" customWidth="1"/>
    <col min="108" max="108" width="30.19921875" style="7" bestFit="1" customWidth="1"/>
    <col min="109" max="109" width="4.3984375" style="7" bestFit="1" customWidth="1"/>
    <col min="110" max="110" width="5.59765625" style="7" bestFit="1" customWidth="1"/>
    <col min="111" max="115" width="3.59765625" style="7"/>
    <col min="116" max="116" width="4.3984375" style="7" bestFit="1" customWidth="1"/>
    <col min="117" max="119" width="3.59765625" style="7"/>
    <col min="120" max="120" width="9.59765625" style="7" bestFit="1" customWidth="1"/>
    <col min="121" max="121" width="11.09765625" style="7" bestFit="1" customWidth="1"/>
    <col min="122" max="122" width="12.5" style="7" bestFit="1" customWidth="1"/>
    <col min="123" max="123" width="4.3984375" style="7" bestFit="1" customWidth="1"/>
    <col min="124" max="125" width="3.59765625" style="7"/>
    <col min="126" max="127" width="5.8984375" style="7" bestFit="1" customWidth="1"/>
    <col min="128" max="128" width="4.3984375" style="7" bestFit="1" customWidth="1"/>
    <col min="129" max="133" width="3.59765625" style="7"/>
    <col min="134" max="134" width="10.09765625" style="7" bestFit="1" customWidth="1"/>
    <col min="135" max="135" width="12.59765625" style="7" bestFit="1" customWidth="1"/>
    <col min="136" max="136" width="14.3984375" style="7" bestFit="1" customWidth="1"/>
    <col min="137" max="137" width="4.3984375" style="7" bestFit="1" customWidth="1"/>
    <col min="138" max="140" width="3.59765625" style="7"/>
    <col min="141" max="141" width="9.59765625" style="7" bestFit="1" customWidth="1"/>
    <col min="142" max="142" width="11.09765625" style="7" bestFit="1" customWidth="1"/>
    <col min="143" max="143" width="12.5" style="7" bestFit="1" customWidth="1"/>
    <col min="144" max="144" width="4.3984375" style="7" bestFit="1" customWidth="1"/>
    <col min="145" max="145" width="0" style="7" hidden="1" customWidth="1"/>
    <col min="146" max="146" width="5.8984375" style="7" hidden="1" customWidth="1"/>
    <col min="147" max="147" width="4.3984375" style="7" hidden="1" customWidth="1"/>
    <col min="148" max="148" width="5.59765625" style="7" hidden="1" customWidth="1"/>
    <col min="149" max="149" width="0" style="7" hidden="1" customWidth="1"/>
    <col min="150" max="150" width="4.3984375" style="7" hidden="1" customWidth="1"/>
    <col min="151" max="152" width="0" style="7" hidden="1" customWidth="1"/>
    <col min="153" max="153" width="9.59765625" style="7" hidden="1" customWidth="1"/>
    <col min="154" max="154" width="11.09765625" style="7" hidden="1" customWidth="1"/>
    <col min="155" max="155" width="12.5" style="7" hidden="1" customWidth="1"/>
    <col min="156" max="156" width="4.3984375" style="7" hidden="1" customWidth="1"/>
    <col min="157" max="157" width="0" style="7" hidden="1" customWidth="1"/>
    <col min="158" max="158" width="5.8984375" style="7" hidden="1" customWidth="1"/>
    <col min="159" max="159" width="4.3984375" style="7" hidden="1" customWidth="1"/>
    <col min="160" max="160" width="5.59765625" style="7" hidden="1" customWidth="1"/>
    <col min="161" max="161" width="4.3984375" style="7" hidden="1" customWidth="1"/>
    <col min="162" max="163" width="0" style="7" hidden="1" customWidth="1"/>
    <col min="164" max="164" width="9.59765625" style="7" hidden="1" customWidth="1"/>
    <col min="165" max="165" width="11.09765625" style="7" hidden="1" customWidth="1"/>
    <col min="166" max="166" width="12.5" style="7" hidden="1" customWidth="1"/>
    <col min="167" max="167" width="4.3984375" style="7" hidden="1" customWidth="1"/>
    <col min="168" max="168" width="0" style="7" hidden="1" customWidth="1"/>
    <col min="169" max="169" width="5.8984375" style="7" hidden="1" customWidth="1"/>
    <col min="170" max="170" width="4.3984375" style="7" hidden="1" customWidth="1"/>
    <col min="171" max="171" width="8.8984375" style="7" hidden="1" customWidth="1"/>
    <col min="172" max="172" width="5.59765625" style="7" hidden="1" customWidth="1"/>
    <col min="173" max="178" width="0" style="7" hidden="1" customWidth="1"/>
    <col min="179" max="179" width="5.8984375" style="7" hidden="1" customWidth="1"/>
    <col min="180" max="180" width="4.3984375" style="7" hidden="1" customWidth="1"/>
    <col min="181" max="181" width="7.59765625" style="7" hidden="1" customWidth="1"/>
    <col min="182" max="182" width="8.59765625" style="7" hidden="1" customWidth="1"/>
    <col min="183" max="183" width="14.09765625" style="7" hidden="1" customWidth="1"/>
    <col min="184" max="186" width="0" style="7" hidden="1" customWidth="1"/>
    <col min="187" max="187" width="9.59765625" style="7" hidden="1" customWidth="1"/>
    <col min="188" max="188" width="11.09765625" style="7" hidden="1" customWidth="1"/>
    <col min="189" max="189" width="12.5" style="7" hidden="1" customWidth="1"/>
    <col min="190" max="190" width="4.3984375" style="7" hidden="1" customWidth="1"/>
    <col min="191" max="191" width="0" style="7" hidden="1" customWidth="1"/>
    <col min="192" max="192" width="5.8984375" style="7" hidden="1" customWidth="1"/>
    <col min="193" max="193" width="4.3984375" style="7" hidden="1" customWidth="1"/>
    <col min="194" max="194" width="8.8984375" style="7" hidden="1" customWidth="1"/>
    <col min="195" max="195" width="5.59765625" style="7" hidden="1" customWidth="1"/>
    <col min="196" max="196" width="8.59765625" style="7" hidden="1" customWidth="1"/>
    <col min="197" max="203" width="0" style="7" hidden="1" customWidth="1"/>
    <col min="204" max="204" width="10.8984375" style="7" hidden="1" customWidth="1"/>
    <col min="205" max="205" width="5.8984375" style="7" hidden="1" customWidth="1"/>
    <col min="206" max="206" width="4.3984375" style="7" hidden="1" customWidth="1"/>
    <col min="207" max="207" width="7.59765625" style="7" hidden="1" customWidth="1"/>
    <col min="208" max="210" width="0" style="7" hidden="1" customWidth="1"/>
    <col min="211" max="211" width="9.59765625" style="7" hidden="1" customWidth="1"/>
    <col min="212" max="212" width="11.09765625" style="7" hidden="1" customWidth="1"/>
    <col min="213" max="213" width="12.5" style="7" hidden="1" customWidth="1"/>
    <col min="214" max="214" width="4.3984375" style="7" hidden="1" customWidth="1"/>
    <col min="215" max="215" width="0" style="7" hidden="1" customWidth="1"/>
    <col min="216" max="216" width="5.8984375" style="7" hidden="1" customWidth="1"/>
    <col min="217" max="217" width="4.3984375" style="7" hidden="1" customWidth="1"/>
    <col min="218" max="218" width="0" style="7" hidden="1" customWidth="1"/>
    <col min="219" max="219" width="8.8984375" style="7" hidden="1" customWidth="1"/>
    <col min="220" max="220" width="5.59765625" style="7" hidden="1" customWidth="1"/>
    <col min="221" max="225" width="0" style="7" hidden="1" customWidth="1"/>
    <col min="226" max="226" width="5.8984375" style="7" hidden="1" customWidth="1"/>
    <col min="227" max="227" width="4.3984375" style="7" hidden="1" customWidth="1"/>
    <col min="228" max="228" width="8.8984375" style="7" hidden="1" customWidth="1"/>
    <col min="229" max="229" width="11.09765625" style="7" hidden="1" customWidth="1"/>
    <col min="230" max="234" width="0" style="7" hidden="1" customWidth="1"/>
    <col min="235" max="235" width="9.59765625" style="7" hidden="1" customWidth="1"/>
    <col min="236" max="236" width="11.09765625" style="7" hidden="1" customWidth="1"/>
    <col min="237" max="237" width="12.5" style="7" hidden="1" customWidth="1"/>
    <col min="238" max="238" width="4.3984375" style="7" hidden="1" customWidth="1"/>
    <col min="239" max="239" width="0" style="7" hidden="1" customWidth="1"/>
    <col min="240" max="240" width="5.8984375" style="7" hidden="1" customWidth="1"/>
    <col min="241" max="241" width="4.3984375" style="7" hidden="1" customWidth="1"/>
    <col min="242" max="242" width="5.59765625" style="7" hidden="1" customWidth="1"/>
    <col min="243" max="247" width="0" style="7" hidden="1" customWidth="1"/>
    <col min="248" max="248" width="5.8984375" style="7" hidden="1" customWidth="1"/>
    <col min="249" max="249" width="4.3984375" style="7" hidden="1" customWidth="1"/>
    <col min="250" max="250" width="8.8984375" style="7" hidden="1" customWidth="1"/>
    <col min="251" max="251" width="11.09765625" style="7" hidden="1" customWidth="1"/>
    <col min="252" max="256" width="0" style="7" hidden="1" customWidth="1"/>
    <col min="257" max="257" width="9.59765625" style="7" hidden="1" customWidth="1"/>
    <col min="258" max="258" width="11.09765625" style="7" hidden="1" customWidth="1"/>
    <col min="259" max="259" width="12.5" style="7" hidden="1" customWidth="1"/>
    <col min="260" max="260" width="4.3984375" style="7" hidden="1" customWidth="1"/>
    <col min="261" max="261" width="0" style="7" hidden="1" customWidth="1"/>
    <col min="262" max="262" width="5.8984375" style="7" hidden="1" customWidth="1"/>
    <col min="263" max="263" width="4.3984375" style="7" hidden="1" customWidth="1"/>
    <col min="264" max="264" width="5.59765625" style="7" hidden="1" customWidth="1"/>
    <col min="265" max="269" width="0" style="7" hidden="1" customWidth="1"/>
    <col min="270" max="270" width="5.8984375" style="7" hidden="1" customWidth="1"/>
    <col min="271" max="271" width="4.3984375" style="7" hidden="1" customWidth="1"/>
    <col min="272" max="272" width="8.8984375" style="7" hidden="1" customWidth="1"/>
    <col min="273" max="273" width="11.09765625" style="7" hidden="1" customWidth="1"/>
    <col min="274" max="278" width="0" style="7" hidden="1" customWidth="1"/>
    <col min="279" max="279" width="9.59765625" style="7" hidden="1" customWidth="1"/>
    <col min="280" max="280" width="11.09765625" style="7" hidden="1" customWidth="1"/>
    <col min="281" max="281" width="12.5" style="7" hidden="1" customWidth="1"/>
    <col min="282" max="282" width="4.3984375" style="7" hidden="1" customWidth="1"/>
    <col min="283" max="283" width="0" style="7" hidden="1" customWidth="1"/>
    <col min="284" max="284" width="5.8984375" style="7" hidden="1" customWidth="1"/>
    <col min="285" max="285" width="4.3984375" style="7" hidden="1" customWidth="1"/>
    <col min="286" max="286" width="5.59765625" style="7" hidden="1" customWidth="1"/>
    <col min="287" max="291" width="0" style="7" hidden="1" customWidth="1"/>
    <col min="292" max="292" width="4.3984375" style="7" hidden="1" customWidth="1"/>
    <col min="293" max="295" width="0" style="7" hidden="1" customWidth="1"/>
    <col min="296" max="296" width="9.59765625" style="7" hidden="1" customWidth="1"/>
    <col min="297" max="297" width="11.09765625" style="7" hidden="1" customWidth="1"/>
    <col min="298" max="298" width="12.5" style="7" hidden="1" customWidth="1"/>
    <col min="299" max="299" width="4.3984375" style="7" hidden="1" customWidth="1"/>
    <col min="300" max="300" width="0" style="7" hidden="1" customWidth="1"/>
    <col min="301" max="301" width="5.8984375" style="7" hidden="1" customWidth="1"/>
    <col min="302" max="302" width="4.3984375" style="7" hidden="1" customWidth="1"/>
    <col min="303" max="303" width="8.8984375" style="7" hidden="1" customWidth="1"/>
    <col min="304" max="306" width="0" style="7" hidden="1" customWidth="1"/>
    <col min="307" max="307" width="10.8984375" style="7" hidden="1" customWidth="1"/>
    <col min="308" max="308" width="4.3984375" style="7" hidden="1" customWidth="1"/>
    <col min="309" max="309" width="7.59765625" style="7" hidden="1" customWidth="1"/>
    <col min="310" max="310" width="12.5" style="7" hidden="1" customWidth="1"/>
    <col min="311" max="311" width="4.39843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136" t="s">
        <v>269</v>
      </c>
      <c r="DD9" s="111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146" t="s">
        <v>328</v>
      </c>
      <c r="E10" s="146" t="s">
        <v>305</v>
      </c>
      <c r="F10" s="105"/>
      <c r="G10" s="105"/>
      <c r="H10" s="105" t="s">
        <v>39</v>
      </c>
      <c r="I10" s="42"/>
      <c r="J10" s="42"/>
      <c r="K10" s="42"/>
      <c r="L10" s="42"/>
      <c r="M10" s="42"/>
      <c r="N10" s="42" t="s">
        <v>267</v>
      </c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/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146" t="s">
        <v>328</v>
      </c>
      <c r="DD10" s="146" t="s">
        <v>319</v>
      </c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267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146" t="s">
        <v>329</v>
      </c>
      <c r="E11" s="146" t="s">
        <v>313</v>
      </c>
      <c r="F11" s="105"/>
      <c r="G11" s="105"/>
      <c r="H11" s="105" t="s">
        <v>39</v>
      </c>
      <c r="I11" s="42"/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146" t="s">
        <v>329</v>
      </c>
      <c r="DD11" s="146" t="s">
        <v>321</v>
      </c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146" t="s">
        <v>330</v>
      </c>
      <c r="E12" s="146" t="s">
        <v>315</v>
      </c>
      <c r="F12" s="105"/>
      <c r="G12" s="105"/>
      <c r="H12" s="105" t="s">
        <v>39</v>
      </c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146" t="s">
        <v>332</v>
      </c>
      <c r="DD12" s="146" t="s">
        <v>323</v>
      </c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146" t="s">
        <v>331</v>
      </c>
      <c r="E13" s="146" t="s">
        <v>309</v>
      </c>
      <c r="F13" s="105"/>
      <c r="G13" s="105"/>
      <c r="H13" s="105" t="s">
        <v>39</v>
      </c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 t="s">
        <v>267</v>
      </c>
      <c r="Y13" s="42"/>
      <c r="Z13" s="100"/>
      <c r="AA13" s="100"/>
      <c r="AB13" s="118"/>
      <c r="AC13" s="120"/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146" t="s">
        <v>337</v>
      </c>
      <c r="DD13" s="146" t="s">
        <v>326</v>
      </c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146" t="s">
        <v>332</v>
      </c>
      <c r="E14" s="146" t="s">
        <v>307</v>
      </c>
      <c r="F14" s="105"/>
      <c r="G14" s="105"/>
      <c r="H14" s="105" t="s">
        <v>39</v>
      </c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146"/>
      <c r="DD14" s="134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146" t="s">
        <v>333</v>
      </c>
      <c r="E15" s="146" t="s">
        <v>317</v>
      </c>
      <c r="F15" s="105"/>
      <c r="G15" s="105"/>
      <c r="H15" s="105" t="s">
        <v>39</v>
      </c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146"/>
      <c r="DD15" s="134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146" t="s">
        <v>334</v>
      </c>
      <c r="E16" s="146" t="s">
        <v>311</v>
      </c>
      <c r="F16" s="105"/>
      <c r="G16" s="105"/>
      <c r="H16" s="105" t="s">
        <v>39</v>
      </c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 t="s">
        <v>267</v>
      </c>
      <c r="Y16" s="42"/>
      <c r="Z16" s="100"/>
      <c r="AA16" s="100"/>
      <c r="AB16" s="118"/>
      <c r="AC16" s="120"/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146" t="s">
        <v>335</v>
      </c>
      <c r="E17" s="146" t="s">
        <v>301</v>
      </c>
      <c r="F17" s="105"/>
      <c r="G17" s="105"/>
      <c r="H17" s="105" t="s">
        <v>39</v>
      </c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146" t="s">
        <v>336</v>
      </c>
      <c r="E18" s="146" t="s">
        <v>303</v>
      </c>
      <c r="F18" s="105"/>
      <c r="G18" s="105"/>
      <c r="H18" s="105" t="s">
        <v>39</v>
      </c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147"/>
      <c r="E19" s="117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F10:F19 AH10:AH19 BK10:BK19 CF10:CF19 DE10:DE19 DX10:DX19 FC10 EQ10 FN10 GK10 HI10:HJ10 IG10 JC10 JY10 KP10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JZ10 AI10:AI19 BL10:BL19 DF10:DF19 FD10 ER10 FP10 HL10 IH10 JD10 H10:H19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5976562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59765625" style="7" customWidth="1"/>
    <col min="4" max="4" width="28" style="7" customWidth="1"/>
    <col min="5" max="5" width="83.59765625" style="7" customWidth="1"/>
    <col min="6" max="20" width="3.59765625" style="7" customWidth="1"/>
    <col min="21" max="21" width="28" style="7" customWidth="1"/>
    <col min="22" max="22" width="83.59765625" style="7" customWidth="1"/>
    <col min="23" max="35" width="3.59765625" style="7" customWidth="1"/>
    <col min="36" max="36" width="0" style="7" hidden="1" customWidth="1"/>
    <col min="37" max="37" width="3.59765625" style="7" hidden="1" customWidth="1"/>
    <col min="38" max="38" width="28" style="7" hidden="1" customWidth="1"/>
    <col min="39" max="39" width="83.59765625" style="7" hidden="1" customWidth="1"/>
    <col min="40" max="52" width="3.5976562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 t="s">
        <v>267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0976562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3984375" defaultRowHeight="15.75" customHeight="1" x14ac:dyDescent="0.45"/>
  <cols>
    <col min="1" max="1" width="12.8984375" customWidth="1"/>
    <col min="2" max="2" width="20.3984375" customWidth="1"/>
    <col min="3" max="3" width="12.8984375" customWidth="1"/>
    <col min="4" max="4" width="18.0976562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2" t="s">
        <v>136</v>
      </c>
      <c r="B2" s="185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3"/>
      <c r="B3" s="186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3"/>
      <c r="B4" s="186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3"/>
      <c r="B5" s="186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4"/>
      <c r="B6" s="187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8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3"/>
      <c r="B8" s="189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3"/>
      <c r="B9" s="186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3"/>
      <c r="B10" s="187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3"/>
      <c r="B11" s="185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3"/>
      <c r="B12" s="186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3"/>
      <c r="B13" s="187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3"/>
      <c r="B14" s="189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3"/>
      <c r="B15" s="186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3"/>
      <c r="B16" s="187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3"/>
      <c r="B17" s="185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3"/>
      <c r="B18" s="186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3"/>
      <c r="B19" s="187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3"/>
      <c r="B20" s="185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3"/>
      <c r="B21" s="187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3"/>
      <c r="B22" s="185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4"/>
      <c r="B23" s="187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2025-05-24T04:39:24Z</dcterms:modified>
</cp:coreProperties>
</file>