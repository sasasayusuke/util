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10284" windowHeight="9072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<sst xmlns="http://schemas.openxmlformats.org/spreadsheetml/2006/main" count="1602" uniqueCount="334">
  <si>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</si>
  <si>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</si>
  <si>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</si>
  <si>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</si>
  <si>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</si>
  <si>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</si>
  <si>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</si>
  <si>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</si>
  <si>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</si>
  <si>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</si>
  <si>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</si>
  <si>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</si>
  <si>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</si>
  <si>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</si>
  <si>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</si>
  <si>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</si>
  <si>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</si>
  <si>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</si>
  <si>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</si>
  <si>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</si>
  <si>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</si>
  <si>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</si>
  <si>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</si>
  <si>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</si>
  <si>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</si>
  <si>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</si>
  <si>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</si>
  <si>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</si>
  <si>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</si>
  <si>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</si>
  <si>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</si>
  <si>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</si>
  <si>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</si>
  <si>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</si>
  <si>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</si>
  <si>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</si>
  <si>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</si>
  <si>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</si>
  <si>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</si>
  <si>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</si>
  <si>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</si>
  <si>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</si>
  <si>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</si>
  <si>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</si>
  <si>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</si>
  <si>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</si>
  <si>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</si>
  <si>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</si>
  <si>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</si>
  <si>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</si>
  <si>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</si>
  <si>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</si>
  <si>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</si>
  <si>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</si>
  <si>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</si>
  <si>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</si>
  <si>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</si>
  <si>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</si>
  <si>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</si>
  <si>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</si>
  <si>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</si>
  <si>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</si>
  <si>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</si>
  <si>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</si>
  <si>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</si>
  <si>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</si>
  <si>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</si>
  <si>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</si>
  <si>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</si>
  <si>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</si>
  <si>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</si>
  <si>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</si>
  <si>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</si>
  <si>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</si>
  <si>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</si>
  <si>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</si>
  <si>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</si>
  <si>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</si>
  <si>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</si>
  <si>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</si>
  <si>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</si>
  <si>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</si>
  <si>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</si>
  <si>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</si>
  <si>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</si>
  <si>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</si>
  <si>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</si>
  <si>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</si>
  <si>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</si>
  <si>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</si>
  <si>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</si>
  <si>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</si>
  <si>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</si>
  <si>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</si>
  <si>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</si>
  <si>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</si>
  <si>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</si>
  <si>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</si>
  <si>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</si>
  <si>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</si>
  <si>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</si>
  <si>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</si>
  <si>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</si>
  <si>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</si>
  <si>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</si>
  <si>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</si>
  <si>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</si>
  <si>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</si>
  <si>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</si>
  <si>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</si>
  <si>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</si>
  <si>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</si>
  <si>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</si>
  <si>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</si>
  <si>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</si>
  <si>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</si>
  <si>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</si>
  <si>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</si>
  <si>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</si>
  <si>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</si>
  <si>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</si>
  <si>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</si>
  <si>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</si>
  <si>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</si>
  <si>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</si>
  <si>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</si>
  <si>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</si>
  <si>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</si>
  <si>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</si>
  <si>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</si>
  <si>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</si>
  <si>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</si>
  <si>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</si>
  <si>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</si>
  <si>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</si>
  <si>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</si>
  <si>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</si>
  <si>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</si>
  <si>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</si>
  <si>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</si>
  <si>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</si>
  <si>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</si>
  <si>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</si>
  <si>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</si>
  <si>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</si>
  <si>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</si>
  <si>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</si>
  <si>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</si>
  <si>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</si>
  <si>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</si>
  <si>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</si>
  <si>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</si>
  <si>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</si>
  <si>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</si>
  <si>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</si>
  <si>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</si>
  <si>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</si>
  <si>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</si>
  <si>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</si>
  <si>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</si>
  <si>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</si>
  <si>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</si>
  <si>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</si>
  <si>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</si>
  <si>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</si>
  <si>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</si>
  <si>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</si>
  <si>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</si>
  <si>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</si>
  <si>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</si>
  <si>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</si>
  <si>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</si>
  <si>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</si>
  <si>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</si>
  <si>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</si>
  <si>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</si>
  <si>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</si>
  <si>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</si>
  <si>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</si>
  <si>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</si>
  <si>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</si>
  <si>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</si>
  <si>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</si>
  <si>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</si>
  <si>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</si>
  <si>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</si>
  <si>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</si>
  <si>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</si>
  <si>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</si>
  <si>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</si>
  <si>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</si>
  <si>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</si>
  <si>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</si>
  <si>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</si>
  <si>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</si>
  <si>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</si>
  <si>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</si>
  <si>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</si>
  <si>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</si>
  <si>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</si>
  <si>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</si>
  <si>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</si>
  <si>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</si>
  <si>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</si>
  <si>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</si>
  <si>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</si>
  <si>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</si>
  <si>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</si>
  <si>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</si>
  <si>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</si>
  <si>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</si>
  <si>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</si>
  <si>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</si>
  <si>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</si>
  <si>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</si>
  <si>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</si>
  <si>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</si>
  <si>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</si>
  <si>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</si>
  <si>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</si>
  <si>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</si>
  <si>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</si>
  <si>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</si>
  <si>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</si>
  <si>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</si>
  <si>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</si>
  <si>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</si>
  <si>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</si>
  <si>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</si>
  <si>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</si>
  <si>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</si>
  <si>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</si>
  <si>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</si>
  <si>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</si>
  <si>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</si>
  <si>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</si>
  <si>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</si>
  <si>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</si>
  <si>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</si>
  <si>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</si>
  <si>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</si>
  <si>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</si>
  <si>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</si>
  <si>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</si>
  <si>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</si>
  <si>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</si>
  <si>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</si>
  <si>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</si>
  <si>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</si>
  <si>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</si>
  <si>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</si>
  <si>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</si>
  <si>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</si>
  <si>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</si>
  <si>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</si>
  <si>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</si>
  <si>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</si>
  <si>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</si>
  <si>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</si>
  <si>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</si>
  <si>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</si>
  <si>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</si>
  <si>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</si>
  <si>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</si>
  <si>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</si>
  <si>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</si>
  <si>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</si>
  <si>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</si>
  <si>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</si>
  <si>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</si>
  <si>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</si>
  <si>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</si>
  <si>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</si>
  <si>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</si>
  <si>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</si>
  <si>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</si>
  <si>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</si>
  <si>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</si>
  <si>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</si>
  <si>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</si>
  <si>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</si>
  <si>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</si>
  <si>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</si>
  <si>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</si>
  <si>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</si>
  <si>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</si>
  <si>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</si>
  <si>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</si>
  <si>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</si>
  <si>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</si>
  <si>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</si>
  <si>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</si>
  <si>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</si>
  <si>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</si>
  <si>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</si>
  <si>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</si>
  <si>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</si>
  <si>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</si>
  <si>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</si>
  <si>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</si>
  <si>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</si>
  <si>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担当者CD</t>
    <rPh sb="0" eb="3">
      <t>タントウシャ</t>
    </rPh>
    <phoneticPr fontId="2"/>
  </si>
  <si>
    <t>担当者名</t>
    <rPh sb="0" eb="4">
      <t>タントウシャメイ</t>
    </rPh>
    <phoneticPr fontId="2"/>
  </si>
  <si>
    <t>メールアドレス</t>
    <phoneticPr fontId="2"/>
  </si>
  <si>
    <t>部署CD</t>
    <rPh sb="0" eb="2">
      <t>ブショ</t>
    </rPh>
    <phoneticPr fontId="2"/>
  </si>
  <si>
    <t>部署名</t>
    <rPh sb="0" eb="3">
      <t>ブショメイ</t>
    </rPh>
    <phoneticPr fontId="2"/>
  </si>
  <si>
    <t>問い合わせ先</t>
    <rPh sb="0" eb="1">
      <t>ト</t>
    </rPh>
    <rPh sb="2" eb="3">
      <t>ア</t>
    </rPh>
    <rPh sb="5" eb="6">
      <t>サキ</t>
    </rPh>
    <phoneticPr fontId="2"/>
  </si>
  <si>
    <t>順序</t>
    <rPh sb="0" eb="2">
      <t>ジュンジョ</t>
    </rPh>
    <phoneticPr fontId="2"/>
  </si>
  <si>
    <t>担当者CD</t>
    <rPh sb="0" eb="3">
      <t>タントウシャ</t>
    </rPh>
    <phoneticPr fontId="2"/>
  </si>
  <si>
    <t>担当者名</t>
    <rPh sb="0" eb="4">
      <t>タントウシャメイ</t>
    </rPh>
    <phoneticPr fontId="2"/>
  </si>
  <si>
    <t>メールアドレス</t>
    <phoneticPr fontId="2"/>
  </si>
  <si>
    <t>部署CD</t>
    <rPh sb="0" eb="2">
      <t>ブショ</t>
    </rPh>
    <phoneticPr fontId="2"/>
  </si>
  <si>
    <t>部署名</t>
    <rPh sb="0" eb="3">
      <t>ブショメイ</t>
    </rPh>
    <phoneticPr fontId="2"/>
  </si>
  <si>
    <t>問い合わせ先</t>
    <rPh sb="0" eb="1">
      <t>ト</t>
    </rPh>
    <rPh sb="2" eb="3">
      <t>ア</t>
    </rPh>
    <rPh sb="5" eb="6">
      <t>サキ</t>
    </rPh>
    <phoneticPr fontId="2"/>
  </si>
  <si>
    <t>順序</t>
    <rPh sb="0" eb="2">
      <t>ジュンジョ</t>
    </rPh>
    <phoneticPr fontId="2"/>
  </si>
  <si>
    <t>部署名</t>
    <rPh sb="0" eb="2">
      <t>ブショ</t>
    </rPh>
    <rPh sb="2" eb="3">
      <t>メイ</t>
    </rPh>
    <phoneticPr fontId="2"/>
  </si>
  <si>
    <t>TM担当者_担当者CD</t>
    <rPh sb="2" eb="5">
      <t>タントウシャ</t>
    </rPh>
    <rPh sb="6" eb="9">
      <t>タントウシャ</t>
    </rPh>
    <phoneticPr fontId="2"/>
  </si>
  <si>
    <t>TM担当者_担当者名</t>
    <rPh sb="2" eb="5">
      <t>タントウシャ</t>
    </rPh>
    <rPh sb="6" eb="10">
      <t>タントウシャメイ</t>
    </rPh>
    <phoneticPr fontId="2"/>
  </si>
  <si>
    <t>TM担当者_メールアドレス</t>
    <rPh sb="2" eb="5">
      <t>タントウシャ</t>
    </rPh>
    <phoneticPr fontId="2"/>
  </si>
  <si>
    <t>TM担当者_部署CD</t>
    <rPh sb="6" eb="8">
      <t>ブショ</t>
    </rPh>
    <phoneticPr fontId="2"/>
  </si>
  <si>
    <t>TM担当者_問い合わせ先</t>
    <rPh sb="6" eb="7">
      <t>ト</t>
    </rPh>
    <rPh sb="8" eb="9">
      <t>ア</t>
    </rPh>
    <rPh sb="11" eb="12">
      <t>サキ</t>
    </rPh>
    <phoneticPr fontId="2"/>
  </si>
  <si>
    <t>TM担当者_順序</t>
    <rPh sb="6" eb="8">
      <t>ジュンジョ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</si>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</sst>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8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3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2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274320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2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2372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1</xdr:colOff>
      <xdr:row>6</xdr:row>
      <xdr:rowOff>0</xdr:rowOff>
    </xdr:from>
    <xdr:to>
      <xdr:col>23</xdr:col>
      <xdr:colOff>60961</xdr:colOff>
      <xdr:row>30</xdr:row>
      <xdr:rowOff>16147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1" y="1127760"/>
          <a:ext cx="14028420" cy="605118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3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4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196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23</xdr:col>
      <xdr:colOff>21871</xdr:colOff>
      <xdr:row>22</xdr:row>
      <xdr:rowOff>152400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1977651" cy="41757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40</xdr:col>
          <xdr:colOff>7620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5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6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4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46" t="s">
        <v>256</v>
      </c>
      <c r="D8" s="147"/>
      <c r="E8" s="146" t="s">
        <v>257</v>
      </c>
      <c r="F8" s="156"/>
      <c r="G8" s="156"/>
      <c r="H8" s="156"/>
      <c r="I8" s="156"/>
      <c r="J8" s="156"/>
      <c r="K8" s="156"/>
      <c r="L8" s="156"/>
      <c r="M8" s="156"/>
      <c r="N8" s="147"/>
      <c r="O8" s="146" t="s">
        <v>258</v>
      </c>
      <c r="P8" s="156"/>
      <c r="Q8" s="147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48">
        <f>ROW()-8</f>
        <v>1</v>
      </c>
      <c r="D9" s="149"/>
      <c r="E9" s="150" t="s">
        <v>17</v>
      </c>
      <c r="F9" s="151"/>
      <c r="G9" s="151"/>
      <c r="H9" s="151"/>
      <c r="I9" s="151"/>
      <c r="J9" s="151"/>
      <c r="K9" s="151"/>
      <c r="L9" s="151"/>
      <c r="M9" s="151"/>
      <c r="N9" s="152"/>
      <c r="O9" s="153" t="str">
        <f>HYPERLINK("#"&amp;E9&amp;"!A1","リンク")</f>
        <v>リンク</v>
      </c>
      <c r="P9" s="154"/>
      <c r="Q9" s="155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48">
        <f t="shared" ref="C10:C18" si="0">ROW()-8</f>
        <v>2</v>
      </c>
      <c r="D10" s="149"/>
      <c r="E10" s="150" t="s">
        <v>259</v>
      </c>
      <c r="F10" s="151"/>
      <c r="G10" s="151"/>
      <c r="H10" s="151"/>
      <c r="I10" s="151"/>
      <c r="J10" s="151"/>
      <c r="K10" s="151"/>
      <c r="L10" s="151"/>
      <c r="M10" s="151"/>
      <c r="N10" s="152"/>
      <c r="O10" s="153" t="str">
        <f t="shared" ref="O10:O15" si="1">HYPERLINK("#"&amp;E10&amp;"!A1","リンク")</f>
        <v>リンク</v>
      </c>
      <c r="P10" s="154"/>
      <c r="Q10" s="155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48">
        <f t="shared" si="0"/>
        <v>3</v>
      </c>
      <c r="D11" s="149"/>
      <c r="E11" s="150" t="s">
        <v>260</v>
      </c>
      <c r="F11" s="151"/>
      <c r="G11" s="151"/>
      <c r="H11" s="151"/>
      <c r="I11" s="151"/>
      <c r="J11" s="151"/>
      <c r="K11" s="151"/>
      <c r="L11" s="151"/>
      <c r="M11" s="151"/>
      <c r="N11" s="152"/>
      <c r="O11" s="153" t="str">
        <f t="shared" si="1"/>
        <v>リンク</v>
      </c>
      <c r="P11" s="154"/>
      <c r="Q11" s="155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48">
        <f t="shared" si="0"/>
        <v>4</v>
      </c>
      <c r="D12" s="149"/>
      <c r="E12" s="150" t="s">
        <v>261</v>
      </c>
      <c r="F12" s="151"/>
      <c r="G12" s="151"/>
      <c r="H12" s="151"/>
      <c r="I12" s="151"/>
      <c r="J12" s="151"/>
      <c r="K12" s="151"/>
      <c r="L12" s="151"/>
      <c r="M12" s="151"/>
      <c r="N12" s="152"/>
      <c r="O12" s="153" t="str">
        <f t="shared" si="1"/>
        <v>リンク</v>
      </c>
      <c r="P12" s="154"/>
      <c r="Q12" s="155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48">
        <f t="shared" si="0"/>
        <v>5</v>
      </c>
      <c r="D13" s="149"/>
      <c r="E13" s="150" t="s">
        <v>263</v>
      </c>
      <c r="F13" s="151"/>
      <c r="G13" s="151"/>
      <c r="H13" s="151"/>
      <c r="I13" s="151"/>
      <c r="J13" s="151"/>
      <c r="K13" s="151"/>
      <c r="L13" s="151"/>
      <c r="M13" s="151"/>
      <c r="N13" s="152"/>
      <c r="O13" s="153" t="str">
        <f t="shared" si="1"/>
        <v>リンク</v>
      </c>
      <c r="P13" s="154"/>
      <c r="Q13" s="155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48">
        <f t="shared" si="0"/>
        <v>6</v>
      </c>
      <c r="D14" s="149"/>
      <c r="E14" s="150" t="s">
        <v>264</v>
      </c>
      <c r="F14" s="151"/>
      <c r="G14" s="151"/>
      <c r="H14" s="151"/>
      <c r="I14" s="151"/>
      <c r="J14" s="151"/>
      <c r="K14" s="151"/>
      <c r="L14" s="151"/>
      <c r="M14" s="151"/>
      <c r="N14" s="152"/>
      <c r="O14" s="153" t="str">
        <f t="shared" si="1"/>
        <v>リンク</v>
      </c>
      <c r="P14" s="154"/>
      <c r="Q14" s="155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48">
        <f t="shared" si="0"/>
        <v>7</v>
      </c>
      <c r="D15" s="149"/>
      <c r="E15" s="150" t="s">
        <v>262</v>
      </c>
      <c r="F15" s="151"/>
      <c r="G15" s="151"/>
      <c r="H15" s="151"/>
      <c r="I15" s="151"/>
      <c r="J15" s="151"/>
      <c r="K15" s="151"/>
      <c r="L15" s="151"/>
      <c r="M15" s="151"/>
      <c r="N15" s="152"/>
      <c r="O15" s="153" t="str">
        <f t="shared" si="1"/>
        <v>リンク</v>
      </c>
      <c r="P15" s="154"/>
      <c r="Q15" s="155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48">
        <f t="shared" si="0"/>
        <v>8</v>
      </c>
      <c r="D16" s="149"/>
      <c r="E16" s="150" t="s">
        <v>265</v>
      </c>
      <c r="F16" s="151"/>
      <c r="G16" s="151"/>
      <c r="H16" s="151"/>
      <c r="I16" s="151"/>
      <c r="J16" s="151"/>
      <c r="K16" s="151"/>
      <c r="L16" s="151"/>
      <c r="M16" s="151"/>
      <c r="N16" s="152"/>
      <c r="O16" s="153" t="str">
        <f>HYPERLINK("#"&amp;E16&amp;"!A1","リンク")</f>
        <v>リンク</v>
      </c>
      <c r="P16" s="154"/>
      <c r="Q16" s="155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48">
        <f t="shared" si="0"/>
        <v>9</v>
      </c>
      <c r="D17" s="149"/>
      <c r="E17" s="150" t="s">
        <v>266</v>
      </c>
      <c r="F17" s="151"/>
      <c r="G17" s="151"/>
      <c r="H17" s="151"/>
      <c r="I17" s="151"/>
      <c r="J17" s="151"/>
      <c r="K17" s="151"/>
      <c r="L17" s="151"/>
      <c r="M17" s="151"/>
      <c r="N17" s="152"/>
      <c r="O17" s="153" t="str">
        <f>HYPERLINK("#"&amp;E17&amp;"!A1","リンク")</f>
        <v>リンク</v>
      </c>
      <c r="P17" s="154"/>
      <c r="Q17" s="155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48">
        <f t="shared" si="0"/>
        <v>10</v>
      </c>
      <c r="D18" s="149"/>
      <c r="E18" s="150" t="s">
        <v>294</v>
      </c>
      <c r="F18" s="151"/>
      <c r="G18" s="151"/>
      <c r="H18" s="151"/>
      <c r="I18" s="151"/>
      <c r="J18" s="151"/>
      <c r="K18" s="151"/>
      <c r="L18" s="151"/>
      <c r="M18" s="151"/>
      <c r="N18" s="152"/>
      <c r="O18" s="153" t="str">
        <f>HYPERLINK("#"&amp;E18&amp;"!A1","リンク")</f>
        <v>リンク</v>
      </c>
      <c r="P18" s="154"/>
      <c r="Q18" s="155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E11:N11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7" t="s">
        <v>0</v>
      </c>
      <c r="C2" s="158"/>
      <c r="D2" s="158"/>
      <c r="E2" s="158"/>
      <c r="F2" s="158"/>
      <c r="G2" s="158"/>
      <c r="H2" s="158" t="s">
        <v>331</v>
      </c>
      <c r="I2" s="158"/>
      <c r="J2" s="158"/>
      <c r="K2" s="158"/>
      <c r="L2" s="158" t="s">
        <v>330</v>
      </c>
      <c r="M2" s="158"/>
      <c r="N2" s="158"/>
      <c r="O2" s="158"/>
      <c r="P2" s="158"/>
      <c r="Q2" s="158"/>
      <c r="R2" s="158" t="s">
        <v>1</v>
      </c>
      <c r="S2" s="158"/>
      <c r="T2" s="158"/>
      <c r="U2" s="158"/>
      <c r="V2" s="158"/>
      <c r="W2" s="158"/>
      <c r="X2" s="159" t="s">
        <v>2</v>
      </c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1"/>
      <c r="AK2" s="159" t="s">
        <v>15</v>
      </c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1"/>
      <c r="AX2" s="158" t="s">
        <v>4</v>
      </c>
      <c r="AY2" s="158"/>
      <c r="AZ2" s="158"/>
      <c r="BA2" s="158"/>
      <c r="BB2" s="158" t="s">
        <v>3</v>
      </c>
      <c r="BC2" s="158"/>
      <c r="BD2" s="158"/>
      <c r="BE2" s="158"/>
      <c r="BF2" s="158" t="s">
        <v>5</v>
      </c>
      <c r="BG2" s="158"/>
      <c r="BH2" s="158"/>
      <c r="BI2" s="158"/>
      <c r="BJ2" s="158" t="s">
        <v>6</v>
      </c>
      <c r="BK2" s="158"/>
      <c r="BL2" s="158"/>
      <c r="BM2" s="172"/>
      <c r="BN2" s="15"/>
    </row>
    <row r="3" spans="1:66" ht="20.100000000000001" customHeight="1" x14ac:dyDescent="0.45">
      <c r="A3" s="9"/>
      <c r="B3" s="162" t="s">
        <v>328</v>
      </c>
      <c r="C3" s="163"/>
      <c r="D3" s="163"/>
      <c r="E3" s="163"/>
      <c r="F3" s="163"/>
      <c r="G3" s="163"/>
      <c r="H3" s="163" t="str">
        <f ca="1">LEFT($X$3,FIND("_",$X$3)-1)</f>
        <v>マスタ</v>
      </c>
      <c r="I3" s="163"/>
      <c r="J3" s="163"/>
      <c r="K3" s="163"/>
      <c r="L3" s="163" t="s">
        <v>329</v>
      </c>
      <c r="M3" s="163"/>
      <c r="N3" s="163"/>
      <c r="O3" s="163"/>
      <c r="P3" s="163"/>
      <c r="Q3" s="163"/>
      <c r="R3" s="166" t="str">
        <f ca="1">MID($X$3,FIND("_",$X$3,FIND("_",$X$3)+1)+1,LEN($X$3)-FIND("_",$X$3,FIND("_",$X$3)+1))</f>
        <v>画面設計書</v>
      </c>
      <c r="S3" s="163"/>
      <c r="T3" s="163"/>
      <c r="U3" s="163"/>
      <c r="V3" s="163"/>
      <c r="W3" s="163"/>
      <c r="X3" s="167" t="str">
        <f ca="1">REPLACE(LEFT(CELL("filename",$B$2),FIND(".x",CELL("filename",$B$2))-1),1,FIND("[",CELL("filename",$B$2)),)</f>
        <v>マスタ_担当者マスタ_画面設計書</v>
      </c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4"/>
      <c r="AK3" s="167" t="str">
        <f ca="1">MID($X$3,FIND("_",$X$3)+1,FIND("_",$X$3,FIND("_",$X$3)+1)-FIND("_",$X$3)-1)</f>
        <v>担当者マスタ</v>
      </c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4"/>
      <c r="AX3" s="174">
        <v>45435</v>
      </c>
      <c r="AY3" s="163"/>
      <c r="AZ3" s="163"/>
      <c r="BA3" s="163"/>
      <c r="BB3" s="163" t="s">
        <v>332</v>
      </c>
      <c r="BC3" s="163"/>
      <c r="BD3" s="163"/>
      <c r="BE3" s="163"/>
      <c r="BF3" s="174">
        <v>45435</v>
      </c>
      <c r="BG3" s="163"/>
      <c r="BH3" s="163"/>
      <c r="BI3" s="163"/>
      <c r="BJ3" s="163" t="s">
        <v>332</v>
      </c>
      <c r="BK3" s="163"/>
      <c r="BL3" s="163"/>
      <c r="BM3" s="175"/>
      <c r="BN3" s="15"/>
    </row>
    <row r="4" spans="1:66" ht="20.100000000000001" customHeight="1" thickBot="1" x14ac:dyDescent="0.5">
      <c r="A4" s="9"/>
      <c r="B4" s="164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9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1"/>
      <c r="AK4" s="169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1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7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73" t="s">
        <v>7</v>
      </c>
      <c r="D8" s="173"/>
      <c r="E8" s="173"/>
      <c r="F8" s="173"/>
      <c r="G8" s="173" t="s">
        <v>8</v>
      </c>
      <c r="H8" s="173"/>
      <c r="I8" s="173"/>
      <c r="J8" s="173"/>
      <c r="K8" s="173" t="s">
        <v>9</v>
      </c>
      <c r="L8" s="173"/>
      <c r="M8" s="173"/>
      <c r="N8" s="173"/>
      <c r="O8" s="173" t="s">
        <v>10</v>
      </c>
      <c r="P8" s="173"/>
      <c r="Q8" s="173"/>
      <c r="R8" s="173"/>
      <c r="S8" s="173"/>
      <c r="T8" s="173"/>
      <c r="U8" s="173"/>
      <c r="V8" s="173"/>
      <c r="W8" s="173"/>
      <c r="X8" s="173"/>
      <c r="Y8" s="173" t="s">
        <v>11</v>
      </c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8"/>
      <c r="BN8" s="15"/>
    </row>
    <row r="9" spans="1:66" ht="20.100000000000001" customHeight="1" x14ac:dyDescent="0.45">
      <c r="A9" s="9"/>
      <c r="B9" s="8"/>
      <c r="C9" s="176">
        <v>45435</v>
      </c>
      <c r="D9" s="177"/>
      <c r="E9" s="177"/>
      <c r="F9" s="178"/>
      <c r="G9" s="150" t="s">
        <v>18</v>
      </c>
      <c r="H9" s="151"/>
      <c r="I9" s="151"/>
      <c r="J9" s="152"/>
      <c r="K9" s="179" t="s">
        <v>332</v>
      </c>
      <c r="L9" s="177"/>
      <c r="M9" s="177"/>
      <c r="N9" s="178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76"/>
      <c r="D10" s="177"/>
      <c r="E10" s="177"/>
      <c r="F10" s="178"/>
      <c r="G10" s="150"/>
      <c r="H10" s="151"/>
      <c r="I10" s="151"/>
      <c r="J10" s="152"/>
      <c r="K10" s="179"/>
      <c r="L10" s="177"/>
      <c r="M10" s="177"/>
      <c r="N10" s="17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76"/>
      <c r="D11" s="177"/>
      <c r="E11" s="177"/>
      <c r="F11" s="178"/>
      <c r="G11" s="150"/>
      <c r="H11" s="151"/>
      <c r="I11" s="151"/>
      <c r="J11" s="152"/>
      <c r="K11" s="179"/>
      <c r="L11" s="177"/>
      <c r="M11" s="177"/>
      <c r="N11" s="178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76"/>
      <c r="D36" s="177"/>
      <c r="E36" s="177"/>
      <c r="F36" s="178"/>
      <c r="G36" s="150"/>
      <c r="H36" s="151"/>
      <c r="I36" s="151"/>
      <c r="J36" s="152"/>
      <c r="K36" s="179"/>
      <c r="L36" s="177"/>
      <c r="M36" s="177"/>
      <c r="N36" s="17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76"/>
      <c r="D37" s="177"/>
      <c r="E37" s="177"/>
      <c r="F37" s="178"/>
      <c r="G37" s="150"/>
      <c r="H37" s="151"/>
      <c r="I37" s="151"/>
      <c r="J37" s="152"/>
      <c r="K37" s="179"/>
      <c r="L37" s="177"/>
      <c r="M37" s="177"/>
      <c r="N37" s="17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76"/>
      <c r="D38" s="177"/>
      <c r="E38" s="177"/>
      <c r="F38" s="178"/>
      <c r="G38" s="150"/>
      <c r="H38" s="151"/>
      <c r="I38" s="151"/>
      <c r="J38" s="152"/>
      <c r="K38" s="179"/>
      <c r="L38" s="177"/>
      <c r="M38" s="177"/>
      <c r="N38" s="17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76"/>
      <c r="D39" s="177"/>
      <c r="E39" s="177"/>
      <c r="F39" s="178"/>
      <c r="G39" s="150"/>
      <c r="H39" s="151"/>
      <c r="I39" s="151"/>
      <c r="J39" s="152"/>
      <c r="K39" s="179"/>
      <c r="L39" s="177"/>
      <c r="M39" s="177"/>
      <c r="N39" s="17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76"/>
      <c r="D40" s="177"/>
      <c r="E40" s="177"/>
      <c r="F40" s="178"/>
      <c r="G40" s="150"/>
      <c r="H40" s="151"/>
      <c r="I40" s="151"/>
      <c r="J40" s="152"/>
      <c r="K40" s="179"/>
      <c r="L40" s="177"/>
      <c r="M40" s="177"/>
      <c r="N40" s="17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76"/>
      <c r="D41" s="177"/>
      <c r="E41" s="177"/>
      <c r="F41" s="178"/>
      <c r="G41" s="150"/>
      <c r="H41" s="151"/>
      <c r="I41" s="151"/>
      <c r="J41" s="152"/>
      <c r="K41" s="179"/>
      <c r="L41" s="177"/>
      <c r="M41" s="177"/>
      <c r="N41" s="17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76"/>
      <c r="D42" s="177"/>
      <c r="E42" s="177"/>
      <c r="F42" s="178"/>
      <c r="G42" s="150"/>
      <c r="H42" s="151"/>
      <c r="I42" s="151"/>
      <c r="J42" s="152"/>
      <c r="K42" s="179"/>
      <c r="L42" s="177"/>
      <c r="M42" s="177"/>
      <c r="N42" s="17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76"/>
      <c r="D43" s="177"/>
      <c r="E43" s="177"/>
      <c r="F43" s="178"/>
      <c r="G43" s="150"/>
      <c r="H43" s="151"/>
      <c r="I43" s="151"/>
      <c r="J43" s="152"/>
      <c r="K43" s="179"/>
      <c r="L43" s="177"/>
      <c r="M43" s="177"/>
      <c r="N43" s="17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76"/>
      <c r="D44" s="177"/>
      <c r="E44" s="177"/>
      <c r="F44" s="178"/>
      <c r="G44" s="150"/>
      <c r="H44" s="151"/>
      <c r="I44" s="151"/>
      <c r="J44" s="152"/>
      <c r="K44" s="179"/>
      <c r="L44" s="177"/>
      <c r="M44" s="177"/>
      <c r="N44" s="17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76"/>
      <c r="D45" s="177"/>
      <c r="E45" s="177"/>
      <c r="F45" s="178"/>
      <c r="G45" s="150"/>
      <c r="H45" s="151"/>
      <c r="I45" s="151"/>
      <c r="J45" s="152"/>
      <c r="K45" s="179"/>
      <c r="L45" s="177"/>
      <c r="M45" s="177"/>
      <c r="N45" s="17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76"/>
      <c r="D46" s="177"/>
      <c r="E46" s="177"/>
      <c r="F46" s="178"/>
      <c r="G46" s="150"/>
      <c r="H46" s="151"/>
      <c r="I46" s="151"/>
      <c r="J46" s="152"/>
      <c r="K46" s="179"/>
      <c r="L46" s="177"/>
      <c r="M46" s="177"/>
      <c r="N46" s="17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76"/>
      <c r="D47" s="177"/>
      <c r="E47" s="177"/>
      <c r="F47" s="178"/>
      <c r="G47" s="150"/>
      <c r="H47" s="151"/>
      <c r="I47" s="151"/>
      <c r="J47" s="152"/>
      <c r="K47" s="179"/>
      <c r="L47" s="177"/>
      <c r="M47" s="177"/>
      <c r="N47" s="178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28" t="s">
        <v>301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8" t="s">
        <v>302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8" t="s">
        <v>303</v>
      </c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 t="s">
        <v>304</v>
      </c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 t="s">
        <v>305</v>
      </c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 t="s">
        <v>306</v>
      </c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 t="s">
        <v>307</v>
      </c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/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/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/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/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/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/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/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5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5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5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5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5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5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5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5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5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5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5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5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5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5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5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5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5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5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5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5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5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5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5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5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5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5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5"/>
      <c r="R34" s="5"/>
      <c r="S34" s="5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2" t="s">
        <v>308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309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 t="s">
        <v>310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32" t="s">
        <v>311</v>
      </c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 t="s">
        <v>312</v>
      </c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 t="s">
        <v>313</v>
      </c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 t="s">
        <v>314</v>
      </c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/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/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/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/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/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/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/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/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Y7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2.19921875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1.296875" style="7" bestFit="1" customWidth="1"/>
    <col min="30" max="31" width="3.59765625" style="7"/>
    <col min="32" max="33" width="5.796875" style="7" bestFit="1" customWidth="1"/>
    <col min="34" max="34" width="4.296875" style="7" bestFit="1" customWidth="1"/>
    <col min="35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14.5" style="7" bestFit="1" customWidth="1"/>
    <col min="59" max="60" width="3.59765625" style="7"/>
    <col min="61" max="62" width="5.796875" style="7" bestFit="1" customWidth="1"/>
    <col min="63" max="63" width="4.29687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4.29687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322</v>
      </c>
      <c r="E10" s="100" t="s">
        <v>301</v>
      </c>
      <c r="F10" s="105" t="s">
        <v>38</v>
      </c>
      <c r="G10" s="105">
        <v>3</v>
      </c>
      <c r="H10" s="105"/>
      <c r="I10" s="42" t="s">
        <v>267</v>
      </c>
      <c r="J10" s="42"/>
      <c r="K10" s="42"/>
      <c r="L10" s="42"/>
      <c r="M10" s="42"/>
      <c r="N10" s="42"/>
      <c r="O10" s="105"/>
      <c r="P10" s="105"/>
      <c r="Q10" s="105"/>
      <c r="R10" s="105"/>
      <c r="S10" s="42"/>
      <c r="T10" s="42"/>
      <c r="U10" s="42"/>
      <c r="V10" s="42"/>
      <c r="W10" s="42"/>
      <c r="X10" s="42"/>
      <c r="Y10" s="42"/>
      <c r="Z10" s="100"/>
      <c r="AA10" s="100"/>
      <c r="AB10" s="118"/>
      <c r="AC10" s="120" t="s">
        <v>316</v>
      </c>
      <c r="AE10" s="19">
        <v>1</v>
      </c>
      <c r="AF10" s="96" t="s">
        <v>333</v>
      </c>
      <c r="AG10" s="100" t="s">
        <v>307</v>
      </c>
      <c r="AH10" s="105" t="s">
        <v>47</v>
      </c>
      <c r="AI10" s="105">
        <v>2</v>
      </c>
      <c r="AJ10" s="42"/>
      <c r="AK10" s="42"/>
      <c r="AL10" s="42"/>
      <c r="AM10" s="42"/>
      <c r="AN10" s="42"/>
      <c r="AO10" s="42"/>
      <c r="AP10" s="105"/>
      <c r="AQ10" s="105"/>
      <c r="AR10" s="42"/>
      <c r="AS10" s="105"/>
      <c r="AT10" s="105"/>
      <c r="AU10" s="105"/>
      <c r="AV10" s="105"/>
      <c r="AW10" s="105"/>
      <c r="AX10" s="105"/>
      <c r="AY10" s="105"/>
      <c r="AZ10" s="42"/>
      <c r="BA10" s="42"/>
      <c r="BB10" s="42"/>
      <c r="BC10" s="100"/>
      <c r="BD10" s="100"/>
      <c r="BE10" s="118"/>
      <c r="BF10" s="120" t="s">
        <v>321</v>
      </c>
      <c r="BH10" s="19">
        <v>1</v>
      </c>
      <c r="BI10" s="96"/>
      <c r="BJ10" s="100"/>
      <c r="BK10" s="105"/>
      <c r="BL10" s="105"/>
      <c r="BM10" s="42"/>
      <c r="BN10" s="42"/>
      <c r="BO10" s="42"/>
      <c r="BP10" s="42"/>
      <c r="BQ10" s="42"/>
      <c r="BR10" s="105"/>
      <c r="BS10" s="105"/>
      <c r="BT10" s="105"/>
      <c r="BU10" s="42"/>
      <c r="BV10" s="42"/>
      <c r="BW10" s="42"/>
      <c r="BX10" s="100"/>
      <c r="BY10" s="100"/>
      <c r="BZ10" s="118"/>
      <c r="CA10" s="120"/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 t="s">
        <v>323</v>
      </c>
      <c r="E11" s="100" t="s">
        <v>302</v>
      </c>
      <c r="F11" s="105" t="s">
        <v>38</v>
      </c>
      <c r="G11" s="105">
        <v>16</v>
      </c>
      <c r="H11" s="105"/>
      <c r="I11" s="42" t="s">
        <v>267</v>
      </c>
      <c r="J11" s="42"/>
      <c r="K11" s="42"/>
      <c r="L11" s="42"/>
      <c r="M11" s="42"/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 t="s">
        <v>317</v>
      </c>
      <c r="AE11" s="19">
        <v>2</v>
      </c>
      <c r="AF11" s="96"/>
      <c r="AG11" s="100"/>
      <c r="AH11" s="105"/>
      <c r="AI11" s="105"/>
      <c r="AJ11" s="42"/>
      <c r="AK11" s="42"/>
      <c r="AL11" s="42"/>
      <c r="AM11" s="42"/>
      <c r="AN11" s="42"/>
      <c r="AO11" s="42"/>
      <c r="AP11" s="105"/>
      <c r="AQ11" s="105"/>
      <c r="AR11" s="42"/>
      <c r="AS11" s="105"/>
      <c r="AT11" s="105"/>
      <c r="AU11" s="105"/>
      <c r="AV11" s="105"/>
      <c r="AW11" s="105"/>
      <c r="AX11" s="105"/>
      <c r="AY11" s="105"/>
      <c r="AZ11" s="42"/>
      <c r="BA11" s="42"/>
      <c r="BB11" s="42"/>
      <c r="BC11" s="100"/>
      <c r="BD11" s="100"/>
      <c r="BE11" s="118"/>
      <c r="BF11" s="120"/>
      <c r="BH11" s="19">
        <v>2</v>
      </c>
      <c r="BI11" s="96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96" t="s">
        <v>324</v>
      </c>
      <c r="E12" s="100" t="s">
        <v>303</v>
      </c>
      <c r="F12" s="105" t="s">
        <v>38</v>
      </c>
      <c r="G12" s="105">
        <v>30</v>
      </c>
      <c r="H12" s="105"/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 t="s">
        <v>267</v>
      </c>
      <c r="Y12" s="42"/>
      <c r="Z12" s="100"/>
      <c r="AA12" s="100"/>
      <c r="AB12" s="118"/>
      <c r="AC12" s="120" t="s">
        <v>318</v>
      </c>
      <c r="AE12" s="19">
        <v>3</v>
      </c>
      <c r="AF12" s="96"/>
      <c r="AG12" s="100"/>
      <c r="AH12" s="105"/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/>
      <c r="BB12" s="42"/>
      <c r="BC12" s="100"/>
      <c r="BD12" s="100"/>
      <c r="BE12" s="118"/>
      <c r="BF12" s="120"/>
      <c r="BH12" s="19">
        <v>3</v>
      </c>
      <c r="BI12" s="96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96" t="s">
        <v>325</v>
      </c>
      <c r="E13" s="100" t="s">
        <v>304</v>
      </c>
      <c r="F13" s="105" t="s">
        <v>38</v>
      </c>
      <c r="G13" s="105"/>
      <c r="H13" s="105"/>
      <c r="I13" s="42" t="s">
        <v>267</v>
      </c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 t="s">
        <v>319</v>
      </c>
      <c r="AE13" s="19">
        <v>4</v>
      </c>
      <c r="AF13" s="96"/>
      <c r="AG13" s="100"/>
      <c r="AH13" s="105"/>
      <c r="AI13" s="105"/>
      <c r="AJ13" s="42" t="s">
        <v>20</v>
      </c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/>
      <c r="AR13" s="42" t="s">
        <v>20</v>
      </c>
      <c r="AS13" s="105"/>
      <c r="AT13" s="105"/>
      <c r="AU13" s="105"/>
      <c r="AV13" s="105"/>
      <c r="AW13" s="105"/>
      <c r="AX13" s="105"/>
      <c r="AY13" s="105"/>
      <c r="AZ13" s="42" t="s">
        <v>20</v>
      </c>
      <c r="BA13" s="42" t="s">
        <v>20</v>
      </c>
      <c r="BB13" s="42" t="s">
        <v>20</v>
      </c>
      <c r="BC13" s="100"/>
      <c r="BD13" s="100"/>
      <c r="BE13" s="118"/>
      <c r="BF13" s="120"/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98" t="s">
        <v>326</v>
      </c>
      <c r="E14" s="100" t="s">
        <v>315</v>
      </c>
      <c r="F14" s="105" t="s">
        <v>38</v>
      </c>
      <c r="G14" s="105"/>
      <c r="H14" s="105"/>
      <c r="I14" s="42"/>
      <c r="J14" s="42"/>
      <c r="K14" s="42"/>
      <c r="L14" s="42"/>
      <c r="M14" s="42" t="s">
        <v>267</v>
      </c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/>
      <c r="Y14" s="42"/>
      <c r="Z14" s="100"/>
      <c r="AA14" s="100"/>
      <c r="AB14" s="118"/>
      <c r="AC14" s="120"/>
      <c r="AE14" s="19">
        <v>5</v>
      </c>
      <c r="AF14" s="98"/>
      <c r="AG14" s="100"/>
      <c r="AH14" s="105"/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/>
      <c r="AR14" s="42" t="s">
        <v>20</v>
      </c>
      <c r="AS14" s="105"/>
      <c r="AT14" s="105"/>
      <c r="AU14" s="105"/>
      <c r="AV14" s="105"/>
      <c r="AW14" s="105"/>
      <c r="AX14" s="105"/>
      <c r="AY14" s="105"/>
      <c r="AZ14" s="42" t="s">
        <v>20</v>
      </c>
      <c r="BA14" s="42" t="s">
        <v>20</v>
      </c>
      <c r="BB14" s="42" t="s">
        <v>20</v>
      </c>
      <c r="BC14" s="100"/>
      <c r="BD14" s="100"/>
      <c r="BE14" s="118"/>
      <c r="BF14" s="120"/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96" t="s">
        <v>327</v>
      </c>
      <c r="E15" s="100" t="s">
        <v>306</v>
      </c>
      <c r="F15" s="105" t="s">
        <v>38</v>
      </c>
      <c r="G15" s="105">
        <v>16</v>
      </c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 t="s">
        <v>267</v>
      </c>
      <c r="Y15" s="42"/>
      <c r="Z15" s="100"/>
      <c r="AA15" s="100"/>
      <c r="AB15" s="118"/>
      <c r="AC15" s="120" t="s">
        <v>320</v>
      </c>
      <c r="AE15" s="19">
        <v>6</v>
      </c>
      <c r="AF15" s="96"/>
      <c r="AG15" s="100"/>
      <c r="AH15" s="105"/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20</v>
      </c>
      <c r="AO15" s="42" t="s">
        <v>20</v>
      </c>
      <c r="AP15" s="105"/>
      <c r="AQ15" s="105"/>
      <c r="AR15" s="42" t="s">
        <v>20</v>
      </c>
      <c r="AS15" s="105"/>
      <c r="AT15" s="105"/>
      <c r="AU15" s="105"/>
      <c r="AV15" s="105"/>
      <c r="AW15" s="105"/>
      <c r="AX15" s="105"/>
      <c r="AY15" s="105"/>
      <c r="AZ15" s="42" t="s">
        <v>20</v>
      </c>
      <c r="BA15" s="42" t="s">
        <v>20</v>
      </c>
      <c r="BB15" s="42" t="s">
        <v>20</v>
      </c>
      <c r="BC15" s="100"/>
      <c r="BD15" s="100"/>
      <c r="BE15" s="118"/>
      <c r="BF15" s="120"/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/>
      <c r="E16" s="100"/>
      <c r="F16" s="105"/>
      <c r="G16" s="105"/>
      <c r="H16" s="105"/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/>
      <c r="AE16" s="19">
        <v>7</v>
      </c>
      <c r="AF16" s="96"/>
      <c r="AG16" s="100"/>
      <c r="AH16" s="105"/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20</v>
      </c>
      <c r="AO16" s="42" t="s">
        <v>20</v>
      </c>
      <c r="AP16" s="105"/>
      <c r="AQ16" s="105"/>
      <c r="AR16" s="42" t="s">
        <v>20</v>
      </c>
      <c r="AS16" s="105"/>
      <c r="AT16" s="105"/>
      <c r="AU16" s="105"/>
      <c r="AV16" s="105"/>
      <c r="AW16" s="105"/>
      <c r="AX16" s="105"/>
      <c r="AY16" s="105"/>
      <c r="AZ16" s="42" t="s">
        <v>20</v>
      </c>
      <c r="BA16" s="42" t="s">
        <v>20</v>
      </c>
      <c r="BB16" s="42" t="s">
        <v>20</v>
      </c>
      <c r="BC16" s="100"/>
      <c r="BD16" s="100"/>
      <c r="BE16" s="118"/>
      <c r="BF16" s="120"/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/>
      <c r="E17" s="100"/>
      <c r="F17" s="105"/>
      <c r="G17" s="105"/>
      <c r="H17" s="105"/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/>
      <c r="AE17" s="19">
        <v>8</v>
      </c>
      <c r="AF17" s="96"/>
      <c r="AG17" s="100"/>
      <c r="AH17" s="105"/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 t="s">
        <v>20</v>
      </c>
      <c r="AO17" s="42" t="s">
        <v>20</v>
      </c>
      <c r="AP17" s="105"/>
      <c r="AQ17" s="105"/>
      <c r="AR17" s="42" t="s">
        <v>20</v>
      </c>
      <c r="AS17" s="105"/>
      <c r="AT17" s="105"/>
      <c r="AU17" s="105"/>
      <c r="AV17" s="105"/>
      <c r="AW17" s="105"/>
      <c r="AX17" s="105"/>
      <c r="AY17" s="105"/>
      <c r="AZ17" s="42" t="s">
        <v>20</v>
      </c>
      <c r="BA17" s="42" t="s">
        <v>20</v>
      </c>
      <c r="BB17" s="42" t="s">
        <v>20</v>
      </c>
      <c r="BC17" s="100"/>
      <c r="BD17" s="100"/>
      <c r="BE17" s="118"/>
      <c r="BF17" s="120"/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96"/>
      <c r="E18" s="100"/>
      <c r="F18" s="105"/>
      <c r="G18" s="105"/>
      <c r="H18" s="105"/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/>
      <c r="AE18" s="19">
        <v>9</v>
      </c>
      <c r="AF18" s="96"/>
      <c r="AG18" s="100"/>
      <c r="AH18" s="105"/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20</v>
      </c>
      <c r="AO18" s="42" t="s">
        <v>20</v>
      </c>
      <c r="AP18" s="105"/>
      <c r="AQ18" s="105"/>
      <c r="AR18" s="42" t="s">
        <v>20</v>
      </c>
      <c r="AS18" s="105"/>
      <c r="AT18" s="105"/>
      <c r="AU18" s="105"/>
      <c r="AV18" s="105"/>
      <c r="AW18" s="105"/>
      <c r="AX18" s="105"/>
      <c r="AY18" s="105"/>
      <c r="AZ18" s="42" t="s">
        <v>20</v>
      </c>
      <c r="BA18" s="42" t="s">
        <v>20</v>
      </c>
      <c r="BB18" s="42" t="s">
        <v>20</v>
      </c>
      <c r="BC18" s="100"/>
      <c r="BD18" s="100"/>
      <c r="BE18" s="118"/>
      <c r="BF18" s="120"/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thickBot="1" x14ac:dyDescent="0.5">
      <c r="A19" s="5"/>
      <c r="B19" s="5"/>
      <c r="C19" s="27">
        <v>10</v>
      </c>
      <c r="D19" s="97"/>
      <c r="E19" s="102"/>
      <c r="F19" s="107"/>
      <c r="G19" s="107"/>
      <c r="H19" s="107"/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107"/>
      <c r="P19" s="107"/>
      <c r="Q19" s="107"/>
      <c r="R19" s="107"/>
      <c r="S19" s="50" t="s">
        <v>20</v>
      </c>
      <c r="T19" s="50" t="s">
        <v>20</v>
      </c>
      <c r="U19" s="50" t="s">
        <v>20</v>
      </c>
      <c r="V19" s="50" t="s">
        <v>20</v>
      </c>
      <c r="W19" s="50" t="s">
        <v>20</v>
      </c>
      <c r="X19" s="50" t="s">
        <v>20</v>
      </c>
      <c r="Y19" s="50" t="s">
        <v>20</v>
      </c>
      <c r="Z19" s="102"/>
      <c r="AA19" s="117"/>
      <c r="AB19" s="119"/>
      <c r="AC19" s="112"/>
      <c r="AE19" s="27">
        <v>10</v>
      </c>
      <c r="AF19" s="97"/>
      <c r="AG19" s="102"/>
      <c r="AH19" s="107"/>
      <c r="AI19" s="107"/>
      <c r="AJ19" s="50" t="s">
        <v>20</v>
      </c>
      <c r="AK19" s="50" t="s">
        <v>20</v>
      </c>
      <c r="AL19" s="50" t="s">
        <v>20</v>
      </c>
      <c r="AM19" s="50" t="s">
        <v>20</v>
      </c>
      <c r="AN19" s="50" t="s">
        <v>20</v>
      </c>
      <c r="AO19" s="50" t="s">
        <v>20</v>
      </c>
      <c r="AP19" s="107"/>
      <c r="AQ19" s="107"/>
      <c r="AR19" s="50" t="s">
        <v>20</v>
      </c>
      <c r="AS19" s="107"/>
      <c r="AT19" s="107"/>
      <c r="AU19" s="107"/>
      <c r="AV19" s="107"/>
      <c r="AW19" s="107"/>
      <c r="AX19" s="107"/>
      <c r="AY19" s="107"/>
      <c r="AZ19" s="50" t="s">
        <v>20</v>
      </c>
      <c r="BA19" s="50" t="s">
        <v>20</v>
      </c>
      <c r="BB19" s="50" t="s">
        <v>20</v>
      </c>
      <c r="BC19" s="102"/>
      <c r="BD19" s="117"/>
      <c r="BE19" s="119"/>
      <c r="BF19" s="112"/>
      <c r="BH19" s="27">
        <v>10</v>
      </c>
      <c r="BI19" s="97"/>
      <c r="BJ19" s="102"/>
      <c r="BK19" s="107"/>
      <c r="BL19" s="107"/>
      <c r="BM19" s="50" t="s">
        <v>20</v>
      </c>
      <c r="BN19" s="50" t="s">
        <v>20</v>
      </c>
      <c r="BO19" s="50" t="s">
        <v>20</v>
      </c>
      <c r="BP19" s="50" t="s">
        <v>20</v>
      </c>
      <c r="BQ19" s="50" t="s">
        <v>20</v>
      </c>
      <c r="BR19" s="107"/>
      <c r="BS19" s="107"/>
      <c r="BT19" s="107"/>
      <c r="BU19" s="50" t="s">
        <v>20</v>
      </c>
      <c r="BV19" s="50" t="s">
        <v>20</v>
      </c>
      <c r="BW19" s="50" t="s">
        <v>20</v>
      </c>
      <c r="BX19" s="102"/>
      <c r="BY19" s="117"/>
      <c r="BZ19" s="119"/>
      <c r="CA19" s="112"/>
      <c r="CC19" s="27">
        <v>10</v>
      </c>
      <c r="CD19" s="97"/>
      <c r="CE19" s="102"/>
      <c r="CF19" s="107"/>
      <c r="CG19" s="107"/>
      <c r="CH19" s="107"/>
      <c r="CI19" s="107"/>
      <c r="CJ19" s="50" t="s">
        <v>20</v>
      </c>
      <c r="CK19" s="50" t="s">
        <v>20</v>
      </c>
      <c r="CL19" s="50" t="s">
        <v>20</v>
      </c>
      <c r="CM19" s="50" t="s">
        <v>20</v>
      </c>
      <c r="CN19" s="50" t="s">
        <v>20</v>
      </c>
      <c r="CO19" s="50" t="s">
        <v>20</v>
      </c>
      <c r="CP19" s="50" t="s">
        <v>20</v>
      </c>
      <c r="CQ19" s="107"/>
      <c r="CR19" s="107"/>
      <c r="CS19" s="107"/>
      <c r="CT19" s="50" t="s">
        <v>20</v>
      </c>
      <c r="CU19" s="50" t="s">
        <v>20</v>
      </c>
      <c r="CV19" s="50" t="s">
        <v>20</v>
      </c>
      <c r="CW19" s="102"/>
      <c r="CX19" s="117"/>
      <c r="CY19" s="119"/>
      <c r="CZ19" s="112"/>
      <c r="DB19" s="27">
        <v>10</v>
      </c>
      <c r="DC19" s="97"/>
      <c r="DD19" s="102"/>
      <c r="DE19" s="107"/>
      <c r="DF19" s="107"/>
      <c r="DG19" s="50" t="s">
        <v>20</v>
      </c>
      <c r="DH19" s="50" t="s">
        <v>20</v>
      </c>
      <c r="DI19" s="50" t="s">
        <v>20</v>
      </c>
      <c r="DJ19" s="50" t="s">
        <v>20</v>
      </c>
      <c r="DK19" s="50" t="s">
        <v>20</v>
      </c>
      <c r="DL19" s="107"/>
      <c r="DM19" s="50" t="s">
        <v>20</v>
      </c>
      <c r="DN19" s="50" t="s">
        <v>20</v>
      </c>
      <c r="DO19" s="50" t="s">
        <v>20</v>
      </c>
      <c r="DP19" s="102"/>
      <c r="DQ19" s="117"/>
      <c r="DR19" s="119"/>
      <c r="DS19" s="112"/>
      <c r="DU19" s="27">
        <v>10</v>
      </c>
      <c r="DV19" s="97"/>
      <c r="DW19" s="102"/>
      <c r="DX19" s="107"/>
      <c r="DY19" s="50" t="s">
        <v>20</v>
      </c>
      <c r="DZ19" s="50" t="s">
        <v>20</v>
      </c>
      <c r="EA19" s="50" t="s">
        <v>20</v>
      </c>
      <c r="EB19" s="50"/>
      <c r="EC19" s="50" t="s">
        <v>20</v>
      </c>
      <c r="ED19" s="107"/>
      <c r="EE19" s="107"/>
      <c r="EF19" s="107"/>
      <c r="EG19" s="107"/>
      <c r="EH19" s="50" t="s">
        <v>20</v>
      </c>
      <c r="EI19" s="50" t="s">
        <v>20</v>
      </c>
      <c r="EJ19" s="50" t="s">
        <v>20</v>
      </c>
      <c r="EK19" s="102"/>
      <c r="EL19" s="117"/>
      <c r="EM19" s="119"/>
      <c r="EN19" s="112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thickTop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5"/>
      <c r="AF20" s="5"/>
      <c r="AG20" s="5"/>
    </row>
    <row r="21" spans="1:167" ht="20.100000000000001" customHeight="1" x14ac:dyDescent="0.4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167" customFormat="1" ht="20.100000000000001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167" ht="20.100000000000001" customHeight="1" x14ac:dyDescent="0.45">
      <c r="A23" s="8"/>
    </row>
    <row r="24" spans="1:167" ht="20.100000000000001" customHeight="1" x14ac:dyDescent="0.45">
      <c r="A24" s="8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16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8" spans="2:33" ht="20.100000000000001" customHeight="1" x14ac:dyDescent="0.45">
      <c r="B38" s="8"/>
      <c r="C38"/>
      <c r="D38"/>
      <c r="E38"/>
      <c r="Z38" s="8"/>
      <c r="AA38" s="8"/>
      <c r="AB38" s="8"/>
      <c r="AC38" s="8"/>
      <c r="AD38" s="8"/>
      <c r="AE38" s="8"/>
      <c r="AF38" s="8"/>
      <c r="AG38" s="8"/>
    </row>
    <row r="39" spans="2:33" ht="20.100000000000001" customHeight="1" x14ac:dyDescent="0.45">
      <c r="B39" s="8"/>
      <c r="C39"/>
      <c r="D39"/>
      <c r="E39"/>
      <c r="Z39" s="8"/>
      <c r="AA39" s="8"/>
      <c r="AB39" s="8"/>
      <c r="AC39" s="8"/>
      <c r="AD39" s="8"/>
      <c r="AE39" s="8"/>
      <c r="AF39" s="8"/>
      <c r="AG39" s="8"/>
    </row>
    <row r="40" spans="2:33" ht="20.100000000000001" customHeight="1" x14ac:dyDescent="0.45">
      <c r="B40" s="8"/>
      <c r="C40" s="40"/>
      <c r="D40" s="40"/>
      <c r="Z40" s="8"/>
      <c r="AA40" s="8"/>
      <c r="AB40" s="8"/>
      <c r="AC40" s="8"/>
      <c r="AD40" s="8"/>
      <c r="AE40" s="8"/>
      <c r="AF40" s="8"/>
      <c r="AG40" s="8"/>
    </row>
    <row r="41" spans="2:33" customFormat="1" ht="20.100000000000001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33" customFormat="1" ht="20.100000000000001" customHeight="1" x14ac:dyDescent="0.4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33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33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</sheetData>
  <phoneticPr fontId="2"/>
  <dataValidations count="1">
    <dataValidation type="list" showInputMessage="1" showErrorMessage="1" sqref="I10:N19 AJ10:AO19 AR10:AR19 KG10:KI10 BM10:BQ19 CJ10:CP19 BU10:BW19 DG10:DK19 CT10:CV19 DY10:EC19 DM10:DO19 EH10:EJ19 EU10:EV10 ES10 FQ10:FV10 FF10:FG10 GO10:GU10 GB10:GD10 HM10:HQ10 GZ10:HB10 II10:IM10 HV10:HZ10 JE10:JI10 IR10:IV10 KA10:KE10 JN10:JR10 KR10:KT10 AZ10:BB19 S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4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KP10 F10:F19 BK10:BK19 CF10:CF19 DE10:DE19 DX10:DX19 FC10 EQ10 FN10 GK10 HI10:HJ10 IG10 JC10 JY10 AH10:AH19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H10:H19 JZ10 BL10:BL19 DF10:DF19 FD10 ER10 FP10 HL10 IH10 JD10 AI11:AI19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AB10:AB19 BE10:BE19 BZ10:BZ19 CY10:CY19 DR10:DR19 EM10:EM19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20</v>
      </c>
      <c r="V10" s="134"/>
      <c r="X10" s="42" t="s">
        <v>267</v>
      </c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20</v>
      </c>
      <c r="V11" s="134"/>
      <c r="W11" s="42"/>
      <c r="X11" s="42" t="s">
        <v>267</v>
      </c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20</v>
      </c>
      <c r="V12" s="134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20</v>
      </c>
      <c r="V13" s="134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4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4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4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4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4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0" t="s">
        <v>136</v>
      </c>
      <c r="B2" s="183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1"/>
      <c r="B3" s="184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1"/>
      <c r="B4" s="184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1"/>
      <c r="B5" s="184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2"/>
      <c r="B6" s="185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6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1"/>
      <c r="B8" s="187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1"/>
      <c r="B9" s="184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1"/>
      <c r="B10" s="185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1"/>
      <c r="B11" s="183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1"/>
      <c r="B12" s="184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1"/>
      <c r="B13" s="185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1"/>
      <c r="B14" s="187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1"/>
      <c r="B15" s="184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1"/>
      <c r="B16" s="185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1"/>
      <c r="B17" s="183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1"/>
      <c r="B18" s="184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1"/>
      <c r="B19" s="185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1"/>
      <c r="B20" s="183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1"/>
      <c r="B21" s="185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1"/>
      <c r="B22" s="183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2"/>
      <c r="B23" s="185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2025-05-24T04:14:28Z</dcterms:modified>
</cp:coreProperties>
</file>