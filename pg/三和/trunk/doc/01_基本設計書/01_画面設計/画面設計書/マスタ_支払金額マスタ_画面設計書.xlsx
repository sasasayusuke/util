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<sst xmlns="http://schemas.openxmlformats.org/spreadsheetml/2006/main" count="1659" uniqueCount="355">
  <si>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</si>
  <si>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</si>
  <si>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</si>
  <si>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</si>
  <si>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</si>
  <si>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</si>
  <si>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</si>
  <si>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</si>
  <si>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</si>
  <si>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</si>
  <si>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</si>
  <si>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</si>
  <si>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</si>
  <si>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</si>
  <si>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</si>
  <si>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</si>
  <si>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</si>
  <si>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</si>
  <si>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</si>
  <si>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</si>
  <si>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</si>
  <si>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</si>
  <si>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</si>
  <si>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</si>
  <si>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</si>
  <si>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</si>
  <si>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</si>
  <si>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</si>
  <si>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</si>
  <si>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</si>
  <si>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</si>
  <si>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</si>
  <si>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</si>
  <si>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</si>
  <si>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</si>
  <si>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</si>
  <si>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</si>
  <si>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</si>
  <si>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</si>
  <si>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</si>
  <si>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</si>
  <si>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</si>
  <si>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</si>
  <si>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</si>
  <si>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</si>
  <si>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</si>
  <si>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</si>
  <si>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</si>
  <si>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</si>
  <si>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</si>
  <si>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</si>
  <si>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</si>
  <si>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</si>
  <si>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</si>
  <si>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</si>
  <si>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</si>
  <si>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</si>
  <si>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</si>
  <si>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</si>
  <si>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</si>
  <si>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</si>
  <si>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</si>
  <si>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</si>
  <si>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</si>
  <si>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</si>
  <si>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</si>
  <si>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</si>
  <si>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</si>
  <si>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</si>
  <si>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</si>
  <si>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</si>
  <si>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</si>
  <si>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</si>
  <si>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</si>
  <si>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</si>
  <si>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</si>
  <si>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</si>
  <si>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</si>
  <si>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</si>
  <si>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</si>
  <si>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</si>
  <si>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</si>
  <si>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</si>
  <si>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</si>
  <si>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</si>
  <si>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</si>
  <si>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</si>
  <si>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</si>
  <si>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</si>
  <si>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</si>
  <si>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</si>
  <si>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</si>
  <si>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</si>
  <si>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</si>
  <si>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</si>
  <si>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</si>
  <si>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</si>
  <si>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</si>
  <si>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</si>
  <si>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</si>
  <si>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</si>
  <si>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</si>
  <si>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</si>
  <si>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</si>
  <si>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</si>
  <si>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</si>
  <si>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</si>
  <si>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</si>
  <si>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</si>
  <si>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</si>
  <si>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</si>
  <si>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</si>
  <si>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</si>
  <si>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</si>
  <si>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</si>
  <si>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</si>
  <si>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</si>
  <si>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</si>
  <si>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</si>
  <si>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</si>
  <si>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</si>
  <si>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</si>
  <si>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</si>
  <si>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</si>
  <si>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</si>
  <si>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</si>
  <si>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</si>
  <si>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</si>
  <si>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</si>
  <si>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</si>
  <si>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</si>
  <si>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</si>
  <si>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</si>
  <si>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</si>
  <si>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</si>
  <si>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</si>
  <si>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</si>
  <si>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</si>
  <si>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</si>
  <si>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</si>
  <si>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</si>
  <si>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</si>
  <si>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</si>
  <si>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</si>
  <si>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</si>
  <si>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</si>
  <si>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</si>
  <si>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</si>
  <si>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</si>
  <si>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</si>
  <si>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</si>
  <si>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</si>
  <si>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</si>
  <si>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</si>
  <si>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</si>
  <si>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</si>
  <si>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</si>
  <si>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</si>
  <si>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</si>
  <si>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</si>
  <si>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</si>
  <si>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</si>
  <si>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</si>
  <si>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</si>
  <si>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</si>
  <si>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</si>
  <si>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</si>
  <si>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</si>
  <si>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</si>
  <si>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</si>
  <si>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</si>
  <si>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</si>
  <si>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</si>
  <si>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</si>
  <si>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</si>
  <si>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</si>
  <si>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</si>
  <si>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</si>
  <si>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</si>
  <si>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</si>
  <si>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</si>
  <si>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</si>
  <si>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</si>
  <si>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</si>
  <si>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</si>
  <si>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</si>
  <si>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</si>
  <si>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</si>
  <si>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</si>
  <si>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</si>
  <si>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</si>
  <si>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</si>
  <si>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</si>
  <si>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</si>
  <si>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</si>
  <si>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</si>
  <si>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</si>
  <si>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</si>
  <si>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</si>
  <si>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</si>
  <si>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</si>
  <si>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</si>
  <si>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</si>
  <si>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</si>
  <si>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</si>
  <si>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</si>
  <si>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</si>
  <si>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</si>
  <si>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</si>
  <si>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</si>
  <si>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</si>
  <si>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</si>
  <si>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</si>
  <si>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</si>
  <si>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</si>
  <si>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</si>
  <si>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</si>
  <si>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</si>
  <si>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</si>
  <si>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</si>
  <si>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</si>
  <si>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</si>
  <si>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</si>
  <si>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</si>
  <si>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</si>
  <si>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</si>
  <si>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</si>
  <si>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</si>
  <si>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</si>
  <si>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</si>
  <si>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</si>
  <si>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</si>
  <si>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</si>
  <si>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</si>
  <si>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</si>
  <si>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</si>
  <si>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</si>
  <si>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</si>
  <si>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</si>
  <si>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</si>
  <si>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</si>
  <si>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</si>
  <si>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</si>
  <si>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</si>
  <si>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</si>
  <si>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</si>
  <si>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</si>
  <si>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</si>
  <si>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</si>
  <si>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</si>
  <si>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</si>
  <si>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</si>
  <si>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</si>
  <si>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</si>
  <si>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</si>
  <si>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</si>
  <si>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</si>
  <si>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</si>
  <si>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</si>
  <si>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</si>
  <si>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</si>
  <si>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</si>
  <si>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</si>
  <si>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</si>
  <si>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</si>
  <si>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</si>
  <si>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</si>
  <si>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</si>
  <si>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</si>
  <si>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</si>
  <si>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</si>
  <si>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</si>
  <si>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</si>
  <si>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</si>
  <si>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</si>
  <si>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</si>
  <si>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</si>
  <si>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</si>
  <si>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</si>
  <si>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</si>
  <si>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</si>
  <si>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</si>
  <si>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</si>
  <si>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</si>
  <si>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</si>
  <si>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</si>
  <si>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</si>
  <si>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</si>
  <si>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</si>
  <si>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</si>
  <si>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</si>
  <si>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</si>
  <si>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</si>
  <si>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</si>
  <si>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</si>
  <si>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</si>
  <si>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</si>
  <si>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</si>
  <si>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</si>
  <si>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</si>
  <si>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</si>
  <si>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</si>
  <si>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</si>
  <si>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j</t>
    <phoneticPr fontId="2"/>
  </si>
  <si>
    <t>仕入先CD</t>
  </si>
  <si>
    <t>仕入先CD</t>
    <rPh sb="0" eb="2">
      <t>シイレ</t>
    </rPh>
    <rPh sb="2" eb="3">
      <t>サキ</t>
    </rPh>
    <phoneticPr fontId="2"/>
  </si>
  <si>
    <t>仕入先名</t>
  </si>
  <si>
    <t>仕入先名</t>
    <rPh sb="0" eb="2">
      <t>シイレ</t>
    </rPh>
    <rPh sb="2" eb="3">
      <t>サキ</t>
    </rPh>
    <rPh sb="3" eb="4">
      <t>メイ</t>
    </rPh>
    <phoneticPr fontId="2"/>
  </si>
  <si>
    <t>支払日付</t>
  </si>
  <si>
    <t>前月残高</t>
  </si>
  <si>
    <t>支払金額</t>
  </si>
  <si>
    <t>調整金額</t>
  </si>
  <si>
    <t>仕入金額</t>
  </si>
  <si>
    <t>返品金額</t>
  </si>
  <si>
    <t>訂正金額</t>
  </si>
  <si>
    <t>消費税額</t>
  </si>
  <si>
    <t>当月残高</t>
  </si>
  <si>
    <t>支払開始日付</t>
  </si>
  <si>
    <t>支払終了日付</t>
  </si>
  <si>
    <t>伝票枚数</t>
  </si>
  <si>
    <t>TM支払金額_仕入先CD</t>
    <phoneticPr fontId="2"/>
  </si>
  <si>
    <t>TM支払金額_前月残高</t>
    <phoneticPr fontId="2"/>
  </si>
  <si>
    <t>TM支払金額_支払日付</t>
    <phoneticPr fontId="2"/>
  </si>
  <si>
    <t>TM支払金額_支払金額</t>
    <phoneticPr fontId="2"/>
  </si>
  <si>
    <t>TM支払金額_支払開始日付</t>
    <phoneticPr fontId="2"/>
  </si>
  <si>
    <t>TM支払金額_調整金額</t>
    <phoneticPr fontId="2"/>
  </si>
  <si>
    <t>TM支払金額_支払終了日付</t>
    <phoneticPr fontId="2"/>
  </si>
  <si>
    <t>TM支払金額_仕入金額</t>
    <phoneticPr fontId="2"/>
  </si>
  <si>
    <t>TM支払金額_返品金額</t>
    <phoneticPr fontId="2"/>
  </si>
  <si>
    <t>TM支払金額_訂正金額</t>
    <phoneticPr fontId="2"/>
  </si>
  <si>
    <t>TM支払金額_消費税額</t>
    <phoneticPr fontId="2"/>
  </si>
  <si>
    <t>TM支払金額_当月残高</t>
    <phoneticPr fontId="2"/>
  </si>
  <si>
    <t>TM支払金額_伝票枚数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</si>
  <si>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</si>
  <si>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</si>
  <si>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</si>
  <si>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</si>
  <si>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</si>
  <si>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</si>
  <si>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</si>
  <si>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</si>
  <si>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</si>
  <si>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〇</t>
    <phoneticPr fontId="2"/>
  </si>
  <si>
    <t>受発注システム</t>
    <phoneticPr fontId="2"/>
  </si>
  <si>
    <t>受発注</t>
    <rPh sb="0" eb="3">
      <t>ジュハッチュウ</t>
    </rPh>
    <phoneticPr fontId="2"/>
  </si>
  <si>
    <t>丹羽</t>
    <rPh sb="0" eb="2">
      <t>ニワ</t>
    </rPh>
    <phoneticPr fontId="2"/>
  </si>
  <si>
    <t>〇</t>
    <phoneticPr fontId="2"/>
  </si>
  <si>
    <t>〇</t>
    <phoneticPr fontId="2"/>
  </si>
  <si>
    <t>　主キー設定</t>
    <phoneticPr fontId="2"/>
  </si>
  <si>
    <t>$(document).on('change', '#Results_ClassA, #Results_DateA', function () {
    var A = $('#Results_ClassA').val();
    var B = $('#Results_DateA').val();
   $p.set($('#Results_Class100'), A + '__' + B);
})</t>
    <phoneticPr fontId="2"/>
  </si>
  <si>
    <t>　当月残高計算</t>
    <phoneticPr fontId="2"/>
  </si>
  <si>
    <t>let Zan  //当月残高
$p.on('change', 'NumA', function () { //前月残高
    A = $p.getControl('NumA').val();
    B = parseInt(String(A).replace(/[^0-9]/g, ''), 10);
    $p.set($p.getControl('NumA'), EN(B)); 
    NUM();
})
$p.on('change', 'NumB', function () { //前月残高
    A = $p.getControl('NumB').val();
    B = parseInt(String(A).replace(/[^0-9]/g, ''), 10);
    $p.set($p.getControl('NumB'), EN(B));
    NUM();
})
$p.on('change', 'NumC', function () { //前月残高
    A = $p.getControl('NumC').val();
    B = parseInt(String(A).replace(/[^0-9]/g, ''), 10);
    $p.set($p.getControl('NumC'), EN(B));
    NUM();
})
$p.on('change', 'NumD', function () { //前月残高
    A = $p.getControl('NumD').val();
    B = parseInt(String(A).replace(/[^0-9]/g, ''), 10);
    $p.set($p.getControl('NumD'), EN(B));
    NUM();
})
$p.on('change', 'NumE', function () { //前月残高
    A = $p.getControl('NumE').val();
    B = parseInt(String(A).replace(/[^0-9]/g, ''), 10);
    $p.set($p.getControl('NumE'), EN(B));
    NUM();
})
$p.on('change', 'NumE', function () { //前月残高
    A = $p.getControl('NumE').val();
    B = parseInt(String(A).replace(/[^0-9]/g, ''), 10);
    $p.set($p.getControl('NumE'), EN(B));
    NUM();
})
$p.on('change', 'NumF', function () { //前月残高
    A = $p.getControl('NumF').val();
    B = parseInt(String(A).replace(/[^0-9]/g, ''), 10);
    $p.set($p.getControl('NumF'), EN(B));
    NUM();
})
$p.on('change', 'NumG', function () { //前月残高
    A = $p.getControl('NumG').val();
    B = parseInt(String(A).replace(/[^0-9]/g, ''), 10);
    $p.set($p.getControl('NumG'), EN(B));
    NUM();
})
//取得した合計金額を数値に変換して計算する関数
function NUM() {
    A = $p.getControl('NumA').val();
    B = $p.getControl('NumB').val();
    C = $p.getControl('NumC').val();
    D = $p.getControl('NumD').val();
    E = $p.getControl('NumE').val();
    F = $p.getControl('NumF').val();
    G = $p.getControl('NumG').val();
    A1 = parseInt(String(A).replace(/[^0-9]/g, ''), 10);
    B1 = parseInt(String(B).replace(/[^0-9]/g, ''), 10);
    C1 = parseInt(String(C).replace(/[^0-9]/g, ''), 10);
    D1 = parseInt(String(D).replace(/[^0-9]/g, ''), 10);
    E1 = parseInt(String(E).replace(/[^0-9]/g, ''), 10);
    F1 = parseInt(String(F).replace(/[^0-9]/g, ''), 10);
    G1 = parseInt(String(G).replace(/[^0-9]/g, ''), 10);
    let H
    //当月残高=前月残高-入金金額-調整金額+売上金額+返品金額+訂正金額+消費税額
    H = A1 - B1 - C1 + D1 + E1 + F1 + G1;
    $p.set($p.getControl('NumH'), EN(H)); //(A)小計
}
//\マークと３桁区切りのカンマを追加する関数
function EN(x) {
    x = '\xA5' + Math.round(x).toLocaleString();
    return x;
}</t>
    <phoneticPr fontId="2"/>
  </si>
  <si>
    <t>　sdt_disabled</t>
    <phoneticPr fontId="2"/>
  </si>
  <si>
    <t>// =================================================
// フィールドCSSに'sdt_disabled'クラスが設定されているフィールドを
// disabledにします。
// $p.set()は稼働しますが、手動での操作を制限します。
// -------------------------------------------------
// 引数：disabledにするかreadonlyにするか
// =================================================
function setDisabled(type){
  //該当の入力エリアをdisabled / readonlyにする
  $('.sdt_disabled input').prop(type, true); // 一般的なinput要素
  $('.sdt_disabled input[type="number"]').prop(type, true); // 数値用のinput要素
  $('.sdt_disabled textarea').prop(type, true); // textarea要素
  $('.sdt_disabled select').prop(type, true); // select要素
  // selectはreadonlyが効かないのでoptionをdisabledにする
  // $('.sdt_disabled option').prop('disabled', true);
  // $('.sdt_disabled option:selected').prop('disabled', false);
  //コントロールアイコンを削除する
  $('.sdt_disabled div.field-control div.ui-icon').remove();
}
$p.events.on_editor_load = function () {
  setDisabled('disabled');
}</t>
    <phoneticPr fontId="2"/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</si>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</sst>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53340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846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23</xdr:col>
      <xdr:colOff>82088</xdr:colOff>
      <xdr:row>30</xdr:row>
      <xdr:rowOff>60960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4049548" cy="6096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272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0</xdr:rowOff>
    </xdr:from>
    <xdr:to>
      <xdr:col>20</xdr:col>
      <xdr:colOff>137161</xdr:colOff>
      <xdr:row>33</xdr:row>
      <xdr:rowOff>214940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127760"/>
          <a:ext cx="11247120" cy="70043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40</xdr:col>
          <xdr:colOff>220980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7" t="s">
        <v>258</v>
      </c>
      <c r="D8" s="148"/>
      <c r="E8" s="147" t="s">
        <v>259</v>
      </c>
      <c r="F8" s="157"/>
      <c r="G8" s="157"/>
      <c r="H8" s="157"/>
      <c r="I8" s="157"/>
      <c r="J8" s="157"/>
      <c r="K8" s="157"/>
      <c r="L8" s="157"/>
      <c r="M8" s="157"/>
      <c r="N8" s="148"/>
      <c r="O8" s="147" t="s">
        <v>260</v>
      </c>
      <c r="P8" s="157"/>
      <c r="Q8" s="148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49">
        <f>ROW()-8</f>
        <v>1</v>
      </c>
      <c r="D9" s="150"/>
      <c r="E9" s="151" t="s">
        <v>18</v>
      </c>
      <c r="F9" s="152"/>
      <c r="G9" s="152"/>
      <c r="H9" s="152"/>
      <c r="I9" s="152"/>
      <c r="J9" s="152"/>
      <c r="K9" s="152"/>
      <c r="L9" s="152"/>
      <c r="M9" s="152"/>
      <c r="N9" s="153"/>
      <c r="O9" s="154" t="str">
        <f>HYPERLINK("#"&amp;E9&amp;"!A1","リンク")</f>
        <v>リンク</v>
      </c>
      <c r="P9" s="155"/>
      <c r="Q9" s="156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49">
        <f t="shared" ref="C10:C18" si="0">ROW()-8</f>
        <v>2</v>
      </c>
      <c r="D10" s="150"/>
      <c r="E10" s="151" t="s">
        <v>261</v>
      </c>
      <c r="F10" s="152"/>
      <c r="G10" s="152"/>
      <c r="H10" s="152"/>
      <c r="I10" s="152"/>
      <c r="J10" s="152"/>
      <c r="K10" s="152"/>
      <c r="L10" s="152"/>
      <c r="M10" s="152"/>
      <c r="N10" s="153"/>
      <c r="O10" s="154" t="str">
        <f t="shared" ref="O10:O15" si="1">HYPERLINK("#"&amp;E10&amp;"!A1","リンク")</f>
        <v>リンク</v>
      </c>
      <c r="P10" s="155"/>
      <c r="Q10" s="156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49">
        <f t="shared" si="0"/>
        <v>3</v>
      </c>
      <c r="D11" s="150"/>
      <c r="E11" s="151" t="s">
        <v>262</v>
      </c>
      <c r="F11" s="152"/>
      <c r="G11" s="152"/>
      <c r="H11" s="152"/>
      <c r="I11" s="152"/>
      <c r="J11" s="152"/>
      <c r="K11" s="152"/>
      <c r="L11" s="152"/>
      <c r="M11" s="152"/>
      <c r="N11" s="153"/>
      <c r="O11" s="154" t="str">
        <f t="shared" si="1"/>
        <v>リンク</v>
      </c>
      <c r="P11" s="155"/>
      <c r="Q11" s="15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49">
        <f t="shared" si="0"/>
        <v>4</v>
      </c>
      <c r="D12" s="150"/>
      <c r="E12" s="151" t="s">
        <v>263</v>
      </c>
      <c r="F12" s="152"/>
      <c r="G12" s="152"/>
      <c r="H12" s="152"/>
      <c r="I12" s="152"/>
      <c r="J12" s="152"/>
      <c r="K12" s="152"/>
      <c r="L12" s="152"/>
      <c r="M12" s="152"/>
      <c r="N12" s="153"/>
      <c r="O12" s="154" t="str">
        <f t="shared" si="1"/>
        <v>リンク</v>
      </c>
      <c r="P12" s="155"/>
      <c r="Q12" s="156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49">
        <f t="shared" si="0"/>
        <v>5</v>
      </c>
      <c r="D13" s="150"/>
      <c r="E13" s="151" t="s">
        <v>265</v>
      </c>
      <c r="F13" s="152"/>
      <c r="G13" s="152"/>
      <c r="H13" s="152"/>
      <c r="I13" s="152"/>
      <c r="J13" s="152"/>
      <c r="K13" s="152"/>
      <c r="L13" s="152"/>
      <c r="M13" s="152"/>
      <c r="N13" s="153"/>
      <c r="O13" s="154" t="str">
        <f t="shared" si="1"/>
        <v>リンク</v>
      </c>
      <c r="P13" s="155"/>
      <c r="Q13" s="156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49">
        <f t="shared" si="0"/>
        <v>6</v>
      </c>
      <c r="D14" s="150"/>
      <c r="E14" s="151" t="s">
        <v>266</v>
      </c>
      <c r="F14" s="152"/>
      <c r="G14" s="152"/>
      <c r="H14" s="152"/>
      <c r="I14" s="152"/>
      <c r="J14" s="152"/>
      <c r="K14" s="152"/>
      <c r="L14" s="152"/>
      <c r="M14" s="152"/>
      <c r="N14" s="153"/>
      <c r="O14" s="154" t="str">
        <f t="shared" si="1"/>
        <v>リンク</v>
      </c>
      <c r="P14" s="155"/>
      <c r="Q14" s="156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49">
        <f t="shared" si="0"/>
        <v>7</v>
      </c>
      <c r="D15" s="150"/>
      <c r="E15" s="151" t="s">
        <v>264</v>
      </c>
      <c r="F15" s="152"/>
      <c r="G15" s="152"/>
      <c r="H15" s="152"/>
      <c r="I15" s="152"/>
      <c r="J15" s="152"/>
      <c r="K15" s="152"/>
      <c r="L15" s="152"/>
      <c r="M15" s="152"/>
      <c r="N15" s="153"/>
      <c r="O15" s="154" t="str">
        <f t="shared" si="1"/>
        <v>リンク</v>
      </c>
      <c r="P15" s="155"/>
      <c r="Q15" s="156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49">
        <f t="shared" si="0"/>
        <v>8</v>
      </c>
      <c r="D16" s="150"/>
      <c r="E16" s="151" t="s">
        <v>267</v>
      </c>
      <c r="F16" s="152"/>
      <c r="G16" s="152"/>
      <c r="H16" s="152"/>
      <c r="I16" s="152"/>
      <c r="J16" s="152"/>
      <c r="K16" s="152"/>
      <c r="L16" s="152"/>
      <c r="M16" s="152"/>
      <c r="N16" s="153"/>
      <c r="O16" s="154" t="str">
        <f>HYPERLINK("#"&amp;E16&amp;"!A1","リンク")</f>
        <v>リンク</v>
      </c>
      <c r="P16" s="155"/>
      <c r="Q16" s="156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49">
        <f t="shared" si="0"/>
        <v>9</v>
      </c>
      <c r="D17" s="150"/>
      <c r="E17" s="151" t="s">
        <v>268</v>
      </c>
      <c r="F17" s="152"/>
      <c r="G17" s="152"/>
      <c r="H17" s="152"/>
      <c r="I17" s="152"/>
      <c r="J17" s="152"/>
      <c r="K17" s="152"/>
      <c r="L17" s="152"/>
      <c r="M17" s="152"/>
      <c r="N17" s="153"/>
      <c r="O17" s="154" t="str">
        <f>HYPERLINK("#"&amp;E17&amp;"!A1","リンク")</f>
        <v>リンク</v>
      </c>
      <c r="P17" s="155"/>
      <c r="Q17" s="156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49">
        <f t="shared" si="0"/>
        <v>10</v>
      </c>
      <c r="D18" s="150"/>
      <c r="E18" s="151" t="s">
        <v>296</v>
      </c>
      <c r="F18" s="152"/>
      <c r="G18" s="152"/>
      <c r="H18" s="152"/>
      <c r="I18" s="152"/>
      <c r="J18" s="152"/>
      <c r="K18" s="152"/>
      <c r="L18" s="152"/>
      <c r="M18" s="152"/>
      <c r="N18" s="153"/>
      <c r="O18" s="154" t="str">
        <f>HYPERLINK("#"&amp;E18&amp;"!A1","リンク")</f>
        <v>リンク</v>
      </c>
      <c r="P18" s="155"/>
      <c r="Q18" s="156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8" t="s">
        <v>0</v>
      </c>
      <c r="C2" s="159"/>
      <c r="D2" s="159"/>
      <c r="E2" s="159"/>
      <c r="F2" s="159"/>
      <c r="G2" s="159"/>
      <c r="H2" s="159" t="s">
        <v>20</v>
      </c>
      <c r="I2" s="159"/>
      <c r="J2" s="159"/>
      <c r="K2" s="159"/>
      <c r="L2" s="159" t="s">
        <v>1</v>
      </c>
      <c r="M2" s="159"/>
      <c r="N2" s="159"/>
      <c r="O2" s="159"/>
      <c r="P2" s="159"/>
      <c r="Q2" s="159"/>
      <c r="R2" s="159" t="s">
        <v>2</v>
      </c>
      <c r="S2" s="159"/>
      <c r="T2" s="159"/>
      <c r="U2" s="159"/>
      <c r="V2" s="159"/>
      <c r="W2" s="159"/>
      <c r="X2" s="160" t="s">
        <v>3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2"/>
      <c r="AK2" s="160" t="s">
        <v>16</v>
      </c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2"/>
      <c r="AX2" s="159" t="s">
        <v>5</v>
      </c>
      <c r="AY2" s="159"/>
      <c r="AZ2" s="159"/>
      <c r="BA2" s="159"/>
      <c r="BB2" s="159" t="s">
        <v>4</v>
      </c>
      <c r="BC2" s="159"/>
      <c r="BD2" s="159"/>
      <c r="BE2" s="159"/>
      <c r="BF2" s="159" t="s">
        <v>6</v>
      </c>
      <c r="BG2" s="159"/>
      <c r="BH2" s="159"/>
      <c r="BI2" s="159"/>
      <c r="BJ2" s="159" t="s">
        <v>7</v>
      </c>
      <c r="BK2" s="159"/>
      <c r="BL2" s="159"/>
      <c r="BM2" s="173"/>
      <c r="BN2" s="15"/>
    </row>
    <row r="3" spans="1:66" ht="20.100000000000001" customHeight="1" x14ac:dyDescent="0.45">
      <c r="A3" s="9"/>
      <c r="B3" s="163" t="s">
        <v>343</v>
      </c>
      <c r="C3" s="164"/>
      <c r="D3" s="164"/>
      <c r="E3" s="164"/>
      <c r="F3" s="164"/>
      <c r="G3" s="164"/>
      <c r="H3" s="164" t="str">
        <f ca="1">LEFT($X$3,FIND("_",$X$3)-1)</f>
        <v>マスタ</v>
      </c>
      <c r="I3" s="164"/>
      <c r="J3" s="164"/>
      <c r="K3" s="164"/>
      <c r="L3" s="164" t="s">
        <v>344</v>
      </c>
      <c r="M3" s="164"/>
      <c r="N3" s="164"/>
      <c r="O3" s="164"/>
      <c r="P3" s="164"/>
      <c r="Q3" s="164"/>
      <c r="R3" s="167" t="str">
        <f ca="1">MID($X$3,FIND("_",$X$3,FIND("_",$X$3)+1)+1,LEN($X$3)-FIND("_",$X$3,FIND("_",$X$3)+1))</f>
        <v>画面設計書</v>
      </c>
      <c r="S3" s="164"/>
      <c r="T3" s="164"/>
      <c r="U3" s="164"/>
      <c r="V3" s="164"/>
      <c r="W3" s="164"/>
      <c r="X3" s="168" t="str">
        <f ca="1">REPLACE(LEFT(CELL("filename",$B$2),FIND(".x",CELL("filename",$B$2))-1),1,FIND("[",CELL("filename",$B$2)),)</f>
        <v>マスタ_支払金額マスタ_画面設計書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5"/>
      <c r="AK3" s="168" t="str">
        <f ca="1">MID($X$3,FIND("_",$X$3)+1,FIND("_",$X$3,FIND("_",$X$3)+1)-FIND("_",$X$3)-1)</f>
        <v>支払金額マスタ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5"/>
      <c r="AX3" s="175">
        <v>45435</v>
      </c>
      <c r="AY3" s="164"/>
      <c r="AZ3" s="164"/>
      <c r="BA3" s="164"/>
      <c r="BB3" s="164" t="s">
        <v>345</v>
      </c>
      <c r="BC3" s="164"/>
      <c r="BD3" s="164"/>
      <c r="BE3" s="164"/>
      <c r="BF3" s="175">
        <v>45435</v>
      </c>
      <c r="BG3" s="164"/>
      <c r="BH3" s="164"/>
      <c r="BI3" s="164"/>
      <c r="BJ3" s="164" t="s">
        <v>345</v>
      </c>
      <c r="BK3" s="164"/>
      <c r="BL3" s="164"/>
      <c r="BM3" s="176"/>
      <c r="BN3" s="15"/>
    </row>
    <row r="4" spans="1:66" ht="20.100000000000001" customHeight="1" thickBot="1" x14ac:dyDescent="0.5">
      <c r="A4" s="9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0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2"/>
      <c r="AK4" s="170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2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4" t="s">
        <v>8</v>
      </c>
      <c r="D8" s="174"/>
      <c r="E8" s="174"/>
      <c r="F8" s="174"/>
      <c r="G8" s="174" t="s">
        <v>9</v>
      </c>
      <c r="H8" s="174"/>
      <c r="I8" s="174"/>
      <c r="J8" s="174"/>
      <c r="K8" s="174" t="s">
        <v>10</v>
      </c>
      <c r="L8" s="174"/>
      <c r="M8" s="174"/>
      <c r="N8" s="174"/>
      <c r="O8" s="174" t="s">
        <v>11</v>
      </c>
      <c r="P8" s="174"/>
      <c r="Q8" s="174"/>
      <c r="R8" s="174"/>
      <c r="S8" s="174"/>
      <c r="T8" s="174"/>
      <c r="U8" s="174"/>
      <c r="V8" s="174"/>
      <c r="W8" s="174"/>
      <c r="X8" s="174"/>
      <c r="Y8" s="174" t="s">
        <v>12</v>
      </c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8"/>
      <c r="BN8" s="15"/>
    </row>
    <row r="9" spans="1:66" ht="20.100000000000001" customHeight="1" x14ac:dyDescent="0.45">
      <c r="A9" s="9"/>
      <c r="B9" s="8"/>
      <c r="C9" s="177">
        <v>45435</v>
      </c>
      <c r="D9" s="178"/>
      <c r="E9" s="178"/>
      <c r="F9" s="179"/>
      <c r="G9" s="151" t="s">
        <v>19</v>
      </c>
      <c r="H9" s="152"/>
      <c r="I9" s="152"/>
      <c r="J9" s="153"/>
      <c r="K9" s="180" t="s">
        <v>345</v>
      </c>
      <c r="L9" s="178"/>
      <c r="M9" s="178"/>
      <c r="N9" s="179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7"/>
      <c r="D10" s="178"/>
      <c r="E10" s="178"/>
      <c r="F10" s="179"/>
      <c r="G10" s="151"/>
      <c r="H10" s="152"/>
      <c r="I10" s="152"/>
      <c r="J10" s="153"/>
      <c r="K10" s="180"/>
      <c r="L10" s="178"/>
      <c r="M10" s="178"/>
      <c r="N10" s="17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7"/>
      <c r="D11" s="178"/>
      <c r="E11" s="178"/>
      <c r="F11" s="179"/>
      <c r="G11" s="151"/>
      <c r="H11" s="152"/>
      <c r="I11" s="152"/>
      <c r="J11" s="153"/>
      <c r="K11" s="180"/>
      <c r="L11" s="178"/>
      <c r="M11" s="178"/>
      <c r="N11" s="17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7"/>
      <c r="D36" s="178"/>
      <c r="E36" s="178"/>
      <c r="F36" s="179"/>
      <c r="G36" s="151"/>
      <c r="H36" s="152"/>
      <c r="I36" s="152"/>
      <c r="J36" s="153"/>
      <c r="K36" s="180"/>
      <c r="L36" s="178"/>
      <c r="M36" s="178"/>
      <c r="N36" s="17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7"/>
      <c r="D37" s="178"/>
      <c r="E37" s="178"/>
      <c r="F37" s="179"/>
      <c r="G37" s="151"/>
      <c r="H37" s="152"/>
      <c r="I37" s="152"/>
      <c r="J37" s="153"/>
      <c r="K37" s="180"/>
      <c r="L37" s="178"/>
      <c r="M37" s="178"/>
      <c r="N37" s="17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7"/>
      <c r="D38" s="178"/>
      <c r="E38" s="178"/>
      <c r="F38" s="179"/>
      <c r="G38" s="151"/>
      <c r="H38" s="152"/>
      <c r="I38" s="152"/>
      <c r="J38" s="153"/>
      <c r="K38" s="180"/>
      <c r="L38" s="178"/>
      <c r="M38" s="178"/>
      <c r="N38" s="17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7"/>
      <c r="D39" s="178"/>
      <c r="E39" s="178"/>
      <c r="F39" s="179"/>
      <c r="G39" s="151"/>
      <c r="H39" s="152"/>
      <c r="I39" s="152"/>
      <c r="J39" s="153"/>
      <c r="K39" s="180"/>
      <c r="L39" s="178"/>
      <c r="M39" s="178"/>
      <c r="N39" s="17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7"/>
      <c r="D40" s="178"/>
      <c r="E40" s="178"/>
      <c r="F40" s="179"/>
      <c r="G40" s="151"/>
      <c r="H40" s="152"/>
      <c r="I40" s="152"/>
      <c r="J40" s="153"/>
      <c r="K40" s="180"/>
      <c r="L40" s="178"/>
      <c r="M40" s="178"/>
      <c r="N40" s="17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7"/>
      <c r="D41" s="178"/>
      <c r="E41" s="178"/>
      <c r="F41" s="179"/>
      <c r="G41" s="151"/>
      <c r="H41" s="152"/>
      <c r="I41" s="152"/>
      <c r="J41" s="153"/>
      <c r="K41" s="180"/>
      <c r="L41" s="178"/>
      <c r="M41" s="178"/>
      <c r="N41" s="17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7"/>
      <c r="D42" s="178"/>
      <c r="E42" s="178"/>
      <c r="F42" s="179"/>
      <c r="G42" s="151"/>
      <c r="H42" s="152"/>
      <c r="I42" s="152"/>
      <c r="J42" s="153"/>
      <c r="K42" s="180"/>
      <c r="L42" s="178"/>
      <c r="M42" s="178"/>
      <c r="N42" s="17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7"/>
      <c r="D43" s="178"/>
      <c r="E43" s="178"/>
      <c r="F43" s="179"/>
      <c r="G43" s="151"/>
      <c r="H43" s="152"/>
      <c r="I43" s="152"/>
      <c r="J43" s="153"/>
      <c r="K43" s="180"/>
      <c r="L43" s="178"/>
      <c r="M43" s="178"/>
      <c r="N43" s="17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7"/>
      <c r="D44" s="178"/>
      <c r="E44" s="178"/>
      <c r="F44" s="179"/>
      <c r="G44" s="151"/>
      <c r="H44" s="152"/>
      <c r="I44" s="152"/>
      <c r="J44" s="153"/>
      <c r="K44" s="180"/>
      <c r="L44" s="178"/>
      <c r="M44" s="178"/>
      <c r="N44" s="17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7"/>
      <c r="D45" s="178"/>
      <c r="E45" s="178"/>
      <c r="F45" s="179"/>
      <c r="G45" s="151"/>
      <c r="H45" s="152"/>
      <c r="I45" s="152"/>
      <c r="J45" s="153"/>
      <c r="K45" s="180"/>
      <c r="L45" s="178"/>
      <c r="M45" s="178"/>
      <c r="N45" s="17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7"/>
      <c r="D46" s="178"/>
      <c r="E46" s="178"/>
      <c r="F46" s="179"/>
      <c r="G46" s="151"/>
      <c r="H46" s="152"/>
      <c r="I46" s="152"/>
      <c r="J46" s="153"/>
      <c r="K46" s="180"/>
      <c r="L46" s="178"/>
      <c r="M46" s="178"/>
      <c r="N46" s="17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7"/>
      <c r="D47" s="178"/>
      <c r="E47" s="178"/>
      <c r="F47" s="179"/>
      <c r="G47" s="151"/>
      <c r="H47" s="152"/>
      <c r="I47" s="152"/>
      <c r="J47" s="153"/>
      <c r="K47" s="180"/>
      <c r="L47" s="178"/>
      <c r="M47" s="178"/>
      <c r="N47" s="17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129</v>
      </c>
      <c r="G38" s="8"/>
      <c r="I38" s="26" t="s">
        <v>128</v>
      </c>
      <c r="J38" s="8"/>
      <c r="K38" s="8"/>
      <c r="L38" s="26" t="s">
        <v>131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13</v>
      </c>
      <c r="D39" s="21" t="s">
        <v>283</v>
      </c>
      <c r="E39" s="39"/>
      <c r="F39" s="22" t="s">
        <v>13</v>
      </c>
      <c r="G39" s="109" t="s">
        <v>283</v>
      </c>
      <c r="H39" s="10"/>
      <c r="I39" s="22" t="s">
        <v>13</v>
      </c>
      <c r="J39" s="109" t="s">
        <v>283</v>
      </c>
      <c r="K39" s="40"/>
      <c r="L39" s="22" t="s">
        <v>13</v>
      </c>
      <c r="M39" s="109" t="s">
        <v>283</v>
      </c>
    </row>
    <row r="40" spans="1:25" ht="20.100000000000001" customHeight="1" x14ac:dyDescent="0.45">
      <c r="A40" s="8"/>
      <c r="B40" s="10"/>
      <c r="C40" s="19">
        <v>1</v>
      </c>
      <c r="D40" s="129" t="s">
        <v>305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9" t="s">
        <v>307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9" t="s">
        <v>308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9" t="s">
        <v>309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9" t="s">
        <v>310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9" t="s">
        <v>311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9" t="s">
        <v>312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9" t="s">
        <v>313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9" t="s">
        <v>314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9" t="s">
        <v>315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9" t="s">
        <v>316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9" t="s">
        <v>317</v>
      </c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9" t="s">
        <v>318</v>
      </c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9" t="s">
        <v>319</v>
      </c>
      <c r="E53" s="39"/>
      <c r="F53" s="19">
        <v>14</v>
      </c>
      <c r="G53" s="129"/>
      <c r="H53" s="18"/>
      <c r="I53" s="19">
        <v>14</v>
      </c>
      <c r="J53" s="129" t="s">
        <v>303</v>
      </c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134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230</v>
      </c>
      <c r="D8" s="26"/>
      <c r="E8" s="14"/>
      <c r="F8" s="14"/>
      <c r="G8" s="14"/>
      <c r="H8" s="8"/>
      <c r="I8" s="26" t="s">
        <v>231</v>
      </c>
      <c r="J8" s="26"/>
      <c r="K8" s="14"/>
      <c r="L8" s="14"/>
      <c r="M8" s="14"/>
      <c r="N8" s="8"/>
      <c r="O8" s="26" t="s">
        <v>232</v>
      </c>
      <c r="P8" s="26"/>
      <c r="Q8" s="8"/>
      <c r="T8" s="8"/>
      <c r="U8" s="8"/>
      <c r="V8" s="26" t="s">
        <v>233</v>
      </c>
      <c r="W8" s="26"/>
      <c r="X8"/>
      <c r="Y8"/>
      <c r="Z8"/>
      <c r="AA8"/>
      <c r="AB8" s="26" t="s">
        <v>234</v>
      </c>
      <c r="AC8" s="26"/>
      <c r="AD8"/>
      <c r="AE8"/>
      <c r="AF8"/>
      <c r="AG8"/>
      <c r="AH8" s="26" t="s">
        <v>235</v>
      </c>
      <c r="AI8" s="26"/>
      <c r="AJ8"/>
      <c r="AK8"/>
      <c r="AL8"/>
      <c r="AM8"/>
      <c r="AN8" s="26" t="s">
        <v>249</v>
      </c>
      <c r="AO8"/>
      <c r="AP8"/>
      <c r="AQ8"/>
      <c r="AR8" s="26" t="s">
        <v>236</v>
      </c>
      <c r="AS8"/>
      <c r="AT8"/>
      <c r="AU8"/>
      <c r="AV8" s="26" t="s">
        <v>237</v>
      </c>
      <c r="AW8" s="40"/>
      <c r="AX8" s="40"/>
      <c r="AY8" s="40"/>
      <c r="AZ8" s="26" t="s">
        <v>238</v>
      </c>
      <c r="BB8"/>
      <c r="BC8"/>
      <c r="BD8" s="26" t="s">
        <v>250</v>
      </c>
      <c r="BE8"/>
      <c r="BF8"/>
      <c r="BG8"/>
      <c r="BH8" s="26" t="s">
        <v>239</v>
      </c>
      <c r="BI8"/>
      <c r="BJ8"/>
      <c r="BK8"/>
      <c r="BL8" s="26" t="s">
        <v>240</v>
      </c>
      <c r="BM8"/>
      <c r="BN8"/>
      <c r="BO8"/>
      <c r="BP8" s="26" t="s">
        <v>241</v>
      </c>
      <c r="BQ8"/>
      <c r="BR8"/>
      <c r="BS8"/>
      <c r="BT8" s="26" t="s">
        <v>242</v>
      </c>
      <c r="BU8"/>
      <c r="BV8"/>
      <c r="BW8"/>
      <c r="BX8" s="26" t="s">
        <v>243</v>
      </c>
      <c r="BY8"/>
      <c r="BZ8"/>
      <c r="CA8"/>
      <c r="CB8" s="26" t="s">
        <v>244</v>
      </c>
      <c r="CC8"/>
      <c r="CD8"/>
      <c r="CE8"/>
      <c r="CF8" s="26" t="s">
        <v>251</v>
      </c>
      <c r="CG8"/>
      <c r="CH8"/>
      <c r="CI8"/>
      <c r="CJ8" s="26" t="s">
        <v>245</v>
      </c>
      <c r="CK8"/>
      <c r="CL8"/>
      <c r="CM8"/>
      <c r="CN8" s="26" t="s">
        <v>246</v>
      </c>
      <c r="CO8" s="14"/>
      <c r="CP8" s="14"/>
      <c r="CQ8"/>
      <c r="CR8" s="26" t="s">
        <v>247</v>
      </c>
      <c r="CS8"/>
      <c r="CT8"/>
      <c r="CU8"/>
      <c r="CV8"/>
      <c r="CW8" s="26" t="s">
        <v>252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13</v>
      </c>
      <c r="D9" s="99" t="s">
        <v>271</v>
      </c>
      <c r="E9" s="23" t="s">
        <v>21</v>
      </c>
      <c r="F9" s="104" t="s">
        <v>270</v>
      </c>
      <c r="G9" s="45" t="s">
        <v>37</v>
      </c>
      <c r="H9" s="103"/>
      <c r="I9" s="22" t="s">
        <v>13</v>
      </c>
      <c r="J9" s="99" t="s">
        <v>271</v>
      </c>
      <c r="K9" s="23" t="s">
        <v>21</v>
      </c>
      <c r="L9" s="104" t="s">
        <v>270</v>
      </c>
      <c r="M9" s="45" t="s">
        <v>37</v>
      </c>
      <c r="N9" s="39"/>
      <c r="O9" s="22" t="s">
        <v>13</v>
      </c>
      <c r="P9" s="99" t="s">
        <v>271</v>
      </c>
      <c r="Q9" s="23" t="s">
        <v>21</v>
      </c>
      <c r="R9" s="104" t="s">
        <v>270</v>
      </c>
      <c r="S9" s="23" t="s">
        <v>38</v>
      </c>
      <c r="T9" s="45" t="s">
        <v>37</v>
      </c>
      <c r="U9" s="40"/>
      <c r="V9" s="22" t="s">
        <v>13</v>
      </c>
      <c r="W9" s="99" t="s">
        <v>271</v>
      </c>
      <c r="X9" s="23" t="s">
        <v>21</v>
      </c>
      <c r="Y9" s="104" t="s">
        <v>270</v>
      </c>
      <c r="Z9" s="45" t="s">
        <v>37</v>
      </c>
      <c r="AA9"/>
      <c r="AB9" s="22" t="s">
        <v>13</v>
      </c>
      <c r="AC9" s="99" t="s">
        <v>271</v>
      </c>
      <c r="AD9" s="23" t="s">
        <v>21</v>
      </c>
      <c r="AE9" s="104" t="s">
        <v>270</v>
      </c>
      <c r="AF9" s="45" t="s">
        <v>37</v>
      </c>
      <c r="AG9"/>
      <c r="AH9" s="22" t="s">
        <v>13</v>
      </c>
      <c r="AI9" s="99" t="s">
        <v>271</v>
      </c>
      <c r="AJ9" s="23" t="s">
        <v>21</v>
      </c>
      <c r="AK9" s="104" t="s">
        <v>270</v>
      </c>
      <c r="AL9" s="45" t="s">
        <v>37</v>
      </c>
      <c r="AM9"/>
      <c r="AN9" s="123" t="s">
        <v>21</v>
      </c>
      <c r="AO9" s="104" t="s">
        <v>270</v>
      </c>
      <c r="AP9" s="45" t="s">
        <v>37</v>
      </c>
      <c r="AQ9"/>
      <c r="AR9" s="121" t="s">
        <v>21</v>
      </c>
      <c r="AS9" s="104" t="s">
        <v>270</v>
      </c>
      <c r="AT9" s="45" t="s">
        <v>37</v>
      </c>
      <c r="AU9"/>
      <c r="AV9" s="121" t="s">
        <v>21</v>
      </c>
      <c r="AW9" s="104" t="s">
        <v>270</v>
      </c>
      <c r="AX9" s="45" t="s">
        <v>37</v>
      </c>
      <c r="AY9"/>
      <c r="AZ9" s="121" t="s">
        <v>21</v>
      </c>
      <c r="BA9" s="104" t="s">
        <v>270</v>
      </c>
      <c r="BB9" s="45" t="s">
        <v>37</v>
      </c>
      <c r="BC9"/>
      <c r="BD9" s="121" t="s">
        <v>21</v>
      </c>
      <c r="BE9" s="104" t="s">
        <v>270</v>
      </c>
      <c r="BF9" s="45" t="s">
        <v>37</v>
      </c>
      <c r="BG9"/>
      <c r="BH9" s="121" t="s">
        <v>21</v>
      </c>
      <c r="BI9" s="104" t="s">
        <v>270</v>
      </c>
      <c r="BJ9" s="45" t="s">
        <v>37</v>
      </c>
      <c r="BK9"/>
      <c r="BL9" s="121" t="s">
        <v>21</v>
      </c>
      <c r="BM9" s="104" t="s">
        <v>270</v>
      </c>
      <c r="BN9" s="45" t="s">
        <v>37</v>
      </c>
      <c r="BO9"/>
      <c r="BP9" s="121" t="s">
        <v>21</v>
      </c>
      <c r="BQ9" s="104" t="s">
        <v>270</v>
      </c>
      <c r="BR9" s="45" t="s">
        <v>37</v>
      </c>
      <c r="BS9"/>
      <c r="BT9" s="121" t="s">
        <v>21</v>
      </c>
      <c r="BU9" s="104" t="s">
        <v>270</v>
      </c>
      <c r="BV9" s="45" t="s">
        <v>37</v>
      </c>
      <c r="BW9"/>
      <c r="BX9" s="23" t="s">
        <v>21</v>
      </c>
      <c r="BY9" s="104" t="s">
        <v>270</v>
      </c>
      <c r="BZ9" s="45" t="s">
        <v>37</v>
      </c>
      <c r="CA9"/>
      <c r="CB9" s="121" t="s">
        <v>21</v>
      </c>
      <c r="CC9" s="104" t="s">
        <v>270</v>
      </c>
      <c r="CD9" s="45" t="s">
        <v>37</v>
      </c>
      <c r="CE9"/>
      <c r="CF9" s="121" t="s">
        <v>21</v>
      </c>
      <c r="CG9" s="104" t="s">
        <v>270</v>
      </c>
      <c r="CH9" s="45" t="s">
        <v>37</v>
      </c>
      <c r="CI9"/>
      <c r="CJ9" s="121" t="s">
        <v>21</v>
      </c>
      <c r="CK9" s="104" t="s">
        <v>270</v>
      </c>
      <c r="CL9" s="45" t="s">
        <v>37</v>
      </c>
      <c r="CM9"/>
      <c r="CN9" s="121" t="s">
        <v>21</v>
      </c>
      <c r="CO9" s="104" t="s">
        <v>270</v>
      </c>
      <c r="CP9" s="45" t="s">
        <v>37</v>
      </c>
      <c r="CQ9"/>
      <c r="CR9" s="23" t="s">
        <v>21</v>
      </c>
      <c r="CS9" s="23" t="s">
        <v>38</v>
      </c>
      <c r="CT9" s="104" t="s">
        <v>270</v>
      </c>
      <c r="CU9" s="45" t="s">
        <v>37</v>
      </c>
      <c r="CV9"/>
      <c r="CW9" s="121" t="s">
        <v>21</v>
      </c>
      <c r="CX9" s="23" t="s">
        <v>38</v>
      </c>
      <c r="CY9" s="104" t="s">
        <v>270</v>
      </c>
      <c r="CZ9" s="45" t="s">
        <v>37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22</v>
      </c>
      <c r="I10" s="19">
        <v>1</v>
      </c>
      <c r="J10" s="96"/>
      <c r="K10" s="100"/>
      <c r="L10" s="105"/>
      <c r="M10" s="46" t="s">
        <v>22</v>
      </c>
      <c r="N10"/>
      <c r="O10" s="19">
        <v>1</v>
      </c>
      <c r="P10" s="96"/>
      <c r="Q10" s="100"/>
      <c r="R10" s="105"/>
      <c r="S10" s="105"/>
      <c r="T10" s="46" t="s">
        <v>22</v>
      </c>
      <c r="U10"/>
      <c r="V10" s="19">
        <v>1</v>
      </c>
      <c r="W10" s="96"/>
      <c r="X10" s="100"/>
      <c r="Y10" s="105"/>
      <c r="Z10" s="46" t="s">
        <v>22</v>
      </c>
      <c r="AA10"/>
      <c r="AB10" s="19">
        <f t="shared" ref="AB10:AB19" si="0">ROW()-9</f>
        <v>1</v>
      </c>
      <c r="AC10" s="96"/>
      <c r="AD10" s="100"/>
      <c r="AE10" s="105"/>
      <c r="AF10" s="46" t="s">
        <v>22</v>
      </c>
      <c r="AG10"/>
      <c r="AH10" s="19">
        <f t="shared" ref="AH10:AH19" si="1">ROW()-9</f>
        <v>1</v>
      </c>
      <c r="AI10" s="96"/>
      <c r="AJ10" s="100"/>
      <c r="AK10" s="105"/>
      <c r="AL10" s="46" t="s">
        <v>22</v>
      </c>
      <c r="AM10"/>
      <c r="AN10" s="124"/>
      <c r="AO10" s="107"/>
      <c r="AP10" s="47" t="s">
        <v>22</v>
      </c>
      <c r="AQ10"/>
      <c r="AR10" s="122"/>
      <c r="AS10" s="107"/>
      <c r="AT10" s="47" t="s">
        <v>22</v>
      </c>
      <c r="AU10"/>
      <c r="AV10" s="122"/>
      <c r="AW10" s="107"/>
      <c r="AX10" s="47" t="s">
        <v>22</v>
      </c>
      <c r="AY10"/>
      <c r="AZ10" s="122"/>
      <c r="BA10" s="107"/>
      <c r="BB10" s="47" t="s">
        <v>22</v>
      </c>
      <c r="BC10"/>
      <c r="BD10" s="122"/>
      <c r="BE10" s="107"/>
      <c r="BF10" s="47" t="s">
        <v>22</v>
      </c>
      <c r="BG10"/>
      <c r="BH10" s="122"/>
      <c r="BI10" s="107"/>
      <c r="BJ10" s="47" t="s">
        <v>22</v>
      </c>
      <c r="BK10"/>
      <c r="BL10" s="122"/>
      <c r="BM10" s="107"/>
      <c r="BN10" s="47" t="s">
        <v>22</v>
      </c>
      <c r="BO10"/>
      <c r="BP10" s="122"/>
      <c r="BQ10" s="107"/>
      <c r="BR10" s="47" t="s">
        <v>22</v>
      </c>
      <c r="BS10"/>
      <c r="BT10" s="122"/>
      <c r="BU10" s="107"/>
      <c r="BV10" s="47" t="s">
        <v>22</v>
      </c>
      <c r="BW10"/>
      <c r="BX10" s="102"/>
      <c r="BY10" s="107"/>
      <c r="BZ10" s="47" t="s">
        <v>22</v>
      </c>
      <c r="CA10"/>
      <c r="CB10" s="122"/>
      <c r="CC10" s="107"/>
      <c r="CD10" s="47" t="s">
        <v>22</v>
      </c>
      <c r="CE10"/>
      <c r="CF10" s="122"/>
      <c r="CG10" s="107"/>
      <c r="CH10" s="47" t="s">
        <v>22</v>
      </c>
      <c r="CI10"/>
      <c r="CJ10" s="122"/>
      <c r="CK10" s="107"/>
      <c r="CL10" s="47" t="s">
        <v>22</v>
      </c>
      <c r="CM10"/>
      <c r="CN10" s="122"/>
      <c r="CO10" s="107"/>
      <c r="CP10" s="47" t="s">
        <v>22</v>
      </c>
      <c r="CQ10"/>
      <c r="CR10" s="102"/>
      <c r="CS10" s="107"/>
      <c r="CT10" s="107"/>
      <c r="CU10" s="47" t="s">
        <v>22</v>
      </c>
      <c r="CV10"/>
      <c r="CW10" s="122"/>
      <c r="CX10" s="107"/>
      <c r="CY10" s="107"/>
      <c r="CZ10" s="47" t="s">
        <v>22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22</v>
      </c>
      <c r="I11" s="19">
        <v>2</v>
      </c>
      <c r="J11" s="96"/>
      <c r="K11" s="100"/>
      <c r="L11" s="105"/>
      <c r="M11" s="46" t="s">
        <v>22</v>
      </c>
      <c r="N11"/>
      <c r="O11" s="19">
        <v>2</v>
      </c>
      <c r="P11" s="96"/>
      <c r="Q11" s="100"/>
      <c r="R11" s="105"/>
      <c r="S11" s="105"/>
      <c r="T11" s="46" t="s">
        <v>22</v>
      </c>
      <c r="U11"/>
      <c r="V11" s="19">
        <v>2</v>
      </c>
      <c r="W11" s="96"/>
      <c r="X11" s="100"/>
      <c r="Y11" s="105"/>
      <c r="Z11" s="46" t="s">
        <v>22</v>
      </c>
      <c r="AA11"/>
      <c r="AB11" s="19">
        <f t="shared" si="0"/>
        <v>2</v>
      </c>
      <c r="AC11" s="96"/>
      <c r="AD11" s="100"/>
      <c r="AE11" s="105"/>
      <c r="AF11" s="46" t="s">
        <v>22</v>
      </c>
      <c r="AG11"/>
      <c r="AH11" s="19">
        <f t="shared" si="1"/>
        <v>2</v>
      </c>
      <c r="AI11" s="96"/>
      <c r="AJ11" s="100"/>
      <c r="AK11" s="105"/>
      <c r="AL11" s="46" t="s">
        <v>22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22</v>
      </c>
      <c r="I12" s="19">
        <v>3</v>
      </c>
      <c r="J12" s="96"/>
      <c r="K12" s="100"/>
      <c r="L12" s="105"/>
      <c r="M12" s="46" t="s">
        <v>22</v>
      </c>
      <c r="N12"/>
      <c r="O12" s="19">
        <v>3</v>
      </c>
      <c r="P12" s="96"/>
      <c r="Q12" s="100"/>
      <c r="R12" s="105"/>
      <c r="S12" s="105"/>
      <c r="T12" s="46" t="s">
        <v>22</v>
      </c>
      <c r="U12"/>
      <c r="V12" s="19">
        <v>3</v>
      </c>
      <c r="W12" s="96"/>
      <c r="X12" s="100"/>
      <c r="Y12" s="105"/>
      <c r="Z12" s="46" t="s">
        <v>22</v>
      </c>
      <c r="AA12"/>
      <c r="AB12" s="19">
        <f t="shared" si="0"/>
        <v>3</v>
      </c>
      <c r="AC12" s="96"/>
      <c r="AD12" s="100"/>
      <c r="AE12" s="105"/>
      <c r="AF12" s="46" t="s">
        <v>22</v>
      </c>
      <c r="AG12"/>
      <c r="AH12" s="19">
        <f t="shared" si="1"/>
        <v>3</v>
      </c>
      <c r="AI12" s="96"/>
      <c r="AJ12" s="100"/>
      <c r="AK12" s="105"/>
      <c r="AL12" s="46" t="s">
        <v>22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22</v>
      </c>
      <c r="I13" s="19">
        <v>4</v>
      </c>
      <c r="J13" s="96"/>
      <c r="K13" s="100"/>
      <c r="L13" s="106"/>
      <c r="M13" s="46" t="s">
        <v>22</v>
      </c>
      <c r="N13"/>
      <c r="O13" s="19">
        <v>4</v>
      </c>
      <c r="P13" s="96"/>
      <c r="Q13" s="100"/>
      <c r="R13" s="106"/>
      <c r="S13" s="105"/>
      <c r="T13" s="46" t="s">
        <v>22</v>
      </c>
      <c r="U13"/>
      <c r="V13" s="19">
        <v>4</v>
      </c>
      <c r="W13" s="96"/>
      <c r="X13" s="100"/>
      <c r="Y13" s="106"/>
      <c r="Z13" s="46" t="s">
        <v>22</v>
      </c>
      <c r="AA13"/>
      <c r="AB13" s="19">
        <f t="shared" si="0"/>
        <v>4</v>
      </c>
      <c r="AC13" s="96"/>
      <c r="AD13" s="100"/>
      <c r="AE13" s="106"/>
      <c r="AF13" s="46" t="s">
        <v>22</v>
      </c>
      <c r="AG13"/>
      <c r="AH13" s="19">
        <f t="shared" si="1"/>
        <v>4</v>
      </c>
      <c r="AI13" s="96"/>
      <c r="AJ13" s="100"/>
      <c r="AK13" s="106"/>
      <c r="AL13" s="46" t="s">
        <v>22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22</v>
      </c>
      <c r="I14" s="20">
        <v>5</v>
      </c>
      <c r="J14" s="98"/>
      <c r="K14" s="101"/>
      <c r="L14" s="106"/>
      <c r="M14" s="51" t="s">
        <v>22</v>
      </c>
      <c r="N14"/>
      <c r="O14" s="20">
        <v>5</v>
      </c>
      <c r="P14" s="98"/>
      <c r="Q14" s="101"/>
      <c r="R14" s="106"/>
      <c r="S14" s="106"/>
      <c r="T14" s="51" t="s">
        <v>22</v>
      </c>
      <c r="U14"/>
      <c r="V14" s="20">
        <v>5</v>
      </c>
      <c r="W14" s="98"/>
      <c r="X14" s="101"/>
      <c r="Y14" s="106"/>
      <c r="Z14" s="51" t="s">
        <v>22</v>
      </c>
      <c r="AA14"/>
      <c r="AB14" s="20">
        <f t="shared" si="0"/>
        <v>5</v>
      </c>
      <c r="AC14" s="98"/>
      <c r="AD14" s="101"/>
      <c r="AE14" s="106"/>
      <c r="AF14" s="51" t="s">
        <v>22</v>
      </c>
      <c r="AG14"/>
      <c r="AH14" s="20">
        <f t="shared" si="1"/>
        <v>5</v>
      </c>
      <c r="AI14" s="98"/>
      <c r="AJ14" s="101"/>
      <c r="AK14" s="106"/>
      <c r="AL14" s="51" t="s">
        <v>22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22</v>
      </c>
      <c r="I15" s="19">
        <v>6</v>
      </c>
      <c r="J15" s="96"/>
      <c r="K15" s="100"/>
      <c r="L15" s="106"/>
      <c r="M15" s="46" t="s">
        <v>22</v>
      </c>
      <c r="N15"/>
      <c r="O15" s="19">
        <v>6</v>
      </c>
      <c r="P15" s="96"/>
      <c r="Q15" s="100"/>
      <c r="R15" s="106"/>
      <c r="S15" s="105"/>
      <c r="T15" s="46" t="s">
        <v>22</v>
      </c>
      <c r="U15"/>
      <c r="V15" s="19">
        <v>6</v>
      </c>
      <c r="W15" s="96"/>
      <c r="X15" s="100"/>
      <c r="Y15" s="106"/>
      <c r="Z15" s="46" t="s">
        <v>22</v>
      </c>
      <c r="AA15"/>
      <c r="AB15" s="19">
        <f t="shared" si="0"/>
        <v>6</v>
      </c>
      <c r="AC15" s="96"/>
      <c r="AD15" s="100"/>
      <c r="AE15" s="106"/>
      <c r="AF15" s="46" t="s">
        <v>22</v>
      </c>
      <c r="AG15"/>
      <c r="AH15" s="19">
        <f t="shared" si="1"/>
        <v>6</v>
      </c>
      <c r="AI15" s="96"/>
      <c r="AJ15" s="100"/>
      <c r="AK15" s="106"/>
      <c r="AL15" s="46" t="s">
        <v>22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22</v>
      </c>
      <c r="I16" s="19">
        <v>7</v>
      </c>
      <c r="J16" s="96"/>
      <c r="K16" s="100"/>
      <c r="L16" s="106"/>
      <c r="M16" s="46" t="s">
        <v>22</v>
      </c>
      <c r="N16"/>
      <c r="O16" s="19">
        <v>7</v>
      </c>
      <c r="P16" s="96"/>
      <c r="Q16" s="100"/>
      <c r="R16" s="106"/>
      <c r="S16" s="105"/>
      <c r="T16" s="46" t="s">
        <v>22</v>
      </c>
      <c r="U16"/>
      <c r="V16" s="19">
        <v>7</v>
      </c>
      <c r="W16" s="96"/>
      <c r="X16" s="100"/>
      <c r="Y16" s="106"/>
      <c r="Z16" s="46" t="s">
        <v>22</v>
      </c>
      <c r="AA16"/>
      <c r="AB16" s="19">
        <f t="shared" si="0"/>
        <v>7</v>
      </c>
      <c r="AC16" s="96"/>
      <c r="AD16" s="100"/>
      <c r="AE16" s="106"/>
      <c r="AF16" s="46" t="s">
        <v>22</v>
      </c>
      <c r="AG16"/>
      <c r="AH16" s="19">
        <f t="shared" si="1"/>
        <v>7</v>
      </c>
      <c r="AI16" s="96"/>
      <c r="AJ16" s="100"/>
      <c r="AK16" s="106"/>
      <c r="AL16" s="46" t="s">
        <v>22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22</v>
      </c>
      <c r="I17" s="19">
        <v>8</v>
      </c>
      <c r="J17" s="96"/>
      <c r="K17" s="100"/>
      <c r="L17" s="106"/>
      <c r="M17" s="46" t="s">
        <v>22</v>
      </c>
      <c r="N17"/>
      <c r="O17" s="19">
        <v>8</v>
      </c>
      <c r="P17" s="96"/>
      <c r="Q17" s="100"/>
      <c r="R17" s="106"/>
      <c r="S17" s="105"/>
      <c r="T17" s="46" t="s">
        <v>22</v>
      </c>
      <c r="U17"/>
      <c r="V17" s="19">
        <v>8</v>
      </c>
      <c r="W17" s="96"/>
      <c r="X17" s="100"/>
      <c r="Y17" s="106"/>
      <c r="Z17" s="46" t="s">
        <v>22</v>
      </c>
      <c r="AA17"/>
      <c r="AB17" s="19">
        <f t="shared" si="0"/>
        <v>8</v>
      </c>
      <c r="AC17" s="96"/>
      <c r="AD17" s="100"/>
      <c r="AE17" s="106"/>
      <c r="AF17" s="46" t="s">
        <v>22</v>
      </c>
      <c r="AG17"/>
      <c r="AH17" s="19">
        <f t="shared" si="1"/>
        <v>8</v>
      </c>
      <c r="AI17" s="96"/>
      <c r="AJ17" s="100"/>
      <c r="AK17" s="106"/>
      <c r="AL17" s="46" t="s">
        <v>22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22</v>
      </c>
      <c r="I18" s="19">
        <v>9</v>
      </c>
      <c r="J18" s="96"/>
      <c r="K18" s="100"/>
      <c r="L18" s="106"/>
      <c r="M18" s="46" t="s">
        <v>22</v>
      </c>
      <c r="O18" s="19">
        <v>9</v>
      </c>
      <c r="P18" s="96"/>
      <c r="Q18" s="100"/>
      <c r="R18" s="106"/>
      <c r="S18" s="105"/>
      <c r="T18" s="46" t="s">
        <v>22</v>
      </c>
      <c r="V18" s="19">
        <v>9</v>
      </c>
      <c r="W18" s="96"/>
      <c r="X18" s="100"/>
      <c r="Y18" s="106"/>
      <c r="Z18" s="46" t="s">
        <v>22</v>
      </c>
      <c r="AB18" s="19">
        <f t="shared" si="0"/>
        <v>9</v>
      </c>
      <c r="AC18" s="96"/>
      <c r="AD18" s="100"/>
      <c r="AE18" s="106"/>
      <c r="AF18" s="46" t="s">
        <v>22</v>
      </c>
      <c r="AH18" s="19">
        <f t="shared" si="1"/>
        <v>9</v>
      </c>
      <c r="AI18" s="96"/>
      <c r="AJ18" s="100"/>
      <c r="AK18" s="106"/>
      <c r="AL18" s="46" t="s">
        <v>22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22</v>
      </c>
      <c r="I19" s="27">
        <v>10</v>
      </c>
      <c r="J19" s="97"/>
      <c r="K19" s="102"/>
      <c r="L19" s="107"/>
      <c r="M19" s="47" t="s">
        <v>22</v>
      </c>
      <c r="O19" s="27">
        <v>10</v>
      </c>
      <c r="P19" s="97"/>
      <c r="Q19" s="102"/>
      <c r="R19" s="107"/>
      <c r="S19" s="107"/>
      <c r="T19" s="47" t="s">
        <v>22</v>
      </c>
      <c r="V19" s="27">
        <v>10</v>
      </c>
      <c r="W19" s="97"/>
      <c r="X19" s="102"/>
      <c r="Y19" s="107"/>
      <c r="Z19" s="47" t="s">
        <v>22</v>
      </c>
      <c r="AB19" s="27">
        <f t="shared" si="0"/>
        <v>10</v>
      </c>
      <c r="AC19" s="97"/>
      <c r="AD19" s="102"/>
      <c r="AE19" s="107"/>
      <c r="AF19" s="47" t="s">
        <v>22</v>
      </c>
      <c r="AH19" s="27">
        <f t="shared" si="1"/>
        <v>10</v>
      </c>
      <c r="AI19" s="97"/>
      <c r="AJ19" s="102"/>
      <c r="AK19" s="107"/>
      <c r="AL19" s="47" t="s">
        <v>22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129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230</v>
      </c>
      <c r="D8" s="26"/>
      <c r="E8" s="14"/>
      <c r="F8" s="14"/>
      <c r="G8" s="8"/>
      <c r="H8" s="26" t="s">
        <v>240</v>
      </c>
      <c r="I8"/>
      <c r="J8"/>
      <c r="K8"/>
      <c r="L8" s="26" t="s">
        <v>241</v>
      </c>
      <c r="M8"/>
      <c r="N8"/>
      <c r="O8"/>
      <c r="P8" s="26" t="s">
        <v>242</v>
      </c>
      <c r="Q8"/>
      <c r="R8"/>
    </row>
    <row r="9" spans="1:61" s="6" customFormat="1" ht="76.2" thickTop="1" x14ac:dyDescent="0.45">
      <c r="A9" s="5"/>
      <c r="C9" s="22" t="s">
        <v>13</v>
      </c>
      <c r="D9" s="99" t="s">
        <v>271</v>
      </c>
      <c r="E9" s="23" t="s">
        <v>21</v>
      </c>
      <c r="F9" s="104" t="s">
        <v>36</v>
      </c>
      <c r="G9" s="44"/>
      <c r="H9" s="121" t="s">
        <v>21</v>
      </c>
      <c r="I9" s="104" t="s">
        <v>270</v>
      </c>
      <c r="J9" s="45" t="s">
        <v>37</v>
      </c>
      <c r="K9"/>
      <c r="L9" s="121" t="s">
        <v>21</v>
      </c>
      <c r="M9" s="104" t="s">
        <v>270</v>
      </c>
      <c r="N9" s="45" t="s">
        <v>37</v>
      </c>
      <c r="O9"/>
      <c r="P9" s="121" t="s">
        <v>21</v>
      </c>
      <c r="Q9" s="104" t="s">
        <v>270</v>
      </c>
      <c r="R9" s="45" t="s">
        <v>37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22</v>
      </c>
      <c r="K10"/>
      <c r="L10" s="122"/>
      <c r="M10" s="107"/>
      <c r="N10" s="47" t="s">
        <v>22</v>
      </c>
      <c r="O10"/>
      <c r="P10" s="122"/>
      <c r="Q10" s="107"/>
      <c r="R10" s="47" t="s">
        <v>22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128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230</v>
      </c>
      <c r="D8" s="26"/>
      <c r="H8" s="26" t="s">
        <v>231</v>
      </c>
      <c r="I8" s="26"/>
      <c r="P8" s="26" t="s">
        <v>232</v>
      </c>
      <c r="Q8" s="26"/>
      <c r="AA8" s="26" t="s">
        <v>233</v>
      </c>
      <c r="AB8" s="26"/>
      <c r="AC8" s="40"/>
      <c r="AD8" s="40"/>
      <c r="AE8" s="40"/>
      <c r="AF8" s="26" t="s">
        <v>234</v>
      </c>
      <c r="AG8" s="26"/>
      <c r="AH8" s="40"/>
      <c r="AI8" s="40"/>
      <c r="AJ8" s="40"/>
      <c r="AK8" s="26" t="s">
        <v>236</v>
      </c>
      <c r="AL8" s="40"/>
      <c r="AM8" s="40"/>
      <c r="AN8" s="40"/>
      <c r="AO8" s="40"/>
      <c r="AP8" s="8"/>
      <c r="AQ8" s="26" t="s">
        <v>237</v>
      </c>
      <c r="AV8" s="40"/>
      <c r="AW8" s="26" t="s">
        <v>238</v>
      </c>
      <c r="AX8" s="40"/>
      <c r="AY8" s="40"/>
      <c r="AZ8" s="26" t="s">
        <v>239</v>
      </c>
      <c r="BA8" s="40"/>
      <c r="BB8" s="40"/>
      <c r="BC8" s="26" t="s">
        <v>240</v>
      </c>
      <c r="BD8" s="40"/>
      <c r="BE8" s="26" t="s">
        <v>241</v>
      </c>
      <c r="BF8" s="40"/>
      <c r="BG8" s="26" t="s">
        <v>242</v>
      </c>
      <c r="BH8"/>
      <c r="BI8"/>
      <c r="BJ8" s="26" t="s">
        <v>243</v>
      </c>
      <c r="BK8" s="40"/>
      <c r="BL8"/>
      <c r="BM8" s="26" t="s">
        <v>244</v>
      </c>
      <c r="BN8" s="14"/>
      <c r="BO8" s="14"/>
      <c r="BP8" s="40"/>
      <c r="BQ8" s="40"/>
      <c r="BR8"/>
      <c r="BS8" s="26" t="s">
        <v>245</v>
      </c>
      <c r="BT8" s="14"/>
      <c r="BU8" s="14"/>
      <c r="BV8" s="40"/>
      <c r="BW8" s="40"/>
      <c r="BX8"/>
      <c r="BY8" s="26" t="s">
        <v>246</v>
      </c>
      <c r="BZ8" s="14"/>
      <c r="CA8" s="14"/>
      <c r="CB8" s="40"/>
      <c r="CC8" s="40"/>
      <c r="CD8"/>
      <c r="CE8" s="26" t="s">
        <v>247</v>
      </c>
      <c r="CF8"/>
      <c r="CG8"/>
      <c r="CH8"/>
      <c r="CI8"/>
      <c r="CJ8"/>
      <c r="CK8"/>
      <c r="CL8"/>
      <c r="CM8"/>
      <c r="CN8" s="26" t="s">
        <v>248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13</v>
      </c>
      <c r="D9" s="99" t="s">
        <v>271</v>
      </c>
      <c r="E9" s="23" t="s">
        <v>21</v>
      </c>
      <c r="F9" s="45" t="s">
        <v>26</v>
      </c>
      <c r="G9" s="7"/>
      <c r="H9" s="110" t="s">
        <v>13</v>
      </c>
      <c r="I9" s="99" t="s">
        <v>271</v>
      </c>
      <c r="J9" s="104" t="s">
        <v>21</v>
      </c>
      <c r="K9" s="23" t="s">
        <v>27</v>
      </c>
      <c r="L9" s="104" t="s">
        <v>28</v>
      </c>
      <c r="M9" s="104" t="s">
        <v>29</v>
      </c>
      <c r="N9" s="109" t="s">
        <v>30</v>
      </c>
      <c r="O9" s="7"/>
      <c r="P9" s="110" t="s">
        <v>13</v>
      </c>
      <c r="Q9" s="99" t="s">
        <v>271</v>
      </c>
      <c r="R9" s="23" t="s">
        <v>21</v>
      </c>
      <c r="S9" s="104" t="s">
        <v>27</v>
      </c>
      <c r="T9" s="104" t="s">
        <v>28</v>
      </c>
      <c r="U9" s="23" t="s">
        <v>29</v>
      </c>
      <c r="V9" s="43" t="s">
        <v>31</v>
      </c>
      <c r="W9" s="43" t="s">
        <v>32</v>
      </c>
      <c r="X9" s="43" t="s">
        <v>33</v>
      </c>
      <c r="Y9" s="45" t="s">
        <v>34</v>
      </c>
      <c r="Z9" s="7"/>
      <c r="AA9" s="110" t="s">
        <v>13</v>
      </c>
      <c r="AB9" s="99" t="s">
        <v>271</v>
      </c>
      <c r="AC9" s="23" t="s">
        <v>21</v>
      </c>
      <c r="AD9" s="45" t="s">
        <v>26</v>
      </c>
      <c r="AE9" s="7"/>
      <c r="AF9" s="110" t="s">
        <v>13</v>
      </c>
      <c r="AG9" s="99" t="s">
        <v>271</v>
      </c>
      <c r="AH9" s="23" t="s">
        <v>21</v>
      </c>
      <c r="AI9" s="45" t="s">
        <v>35</v>
      </c>
      <c r="AJ9" s="7"/>
      <c r="AK9" s="125" t="s">
        <v>21</v>
      </c>
      <c r="AL9" s="23" t="s">
        <v>27</v>
      </c>
      <c r="AM9" s="111" t="s">
        <v>28</v>
      </c>
      <c r="AN9" s="23" t="s">
        <v>29</v>
      </c>
      <c r="AO9" s="109" t="s">
        <v>30</v>
      </c>
      <c r="AP9" s="5"/>
      <c r="AQ9" s="121" t="s">
        <v>21</v>
      </c>
      <c r="AR9" s="23" t="s">
        <v>27</v>
      </c>
      <c r="AS9" s="111" t="s">
        <v>28</v>
      </c>
      <c r="AT9" s="23" t="s">
        <v>29</v>
      </c>
      <c r="AU9" s="109" t="s">
        <v>30</v>
      </c>
      <c r="AV9" s="40"/>
      <c r="AW9" s="121" t="s">
        <v>21</v>
      </c>
      <c r="AX9" s="109" t="s">
        <v>26</v>
      </c>
      <c r="AY9" s="114"/>
      <c r="AZ9" s="121" t="s">
        <v>21</v>
      </c>
      <c r="BA9" s="109" t="s">
        <v>26</v>
      </c>
      <c r="BB9" s="114"/>
      <c r="BC9" s="126" t="s">
        <v>21</v>
      </c>
      <c r="BD9" s="114"/>
      <c r="BE9" s="126" t="s">
        <v>21</v>
      </c>
      <c r="BF9" s="114"/>
      <c r="BG9" s="126" t="s">
        <v>21</v>
      </c>
      <c r="BH9" s="115"/>
      <c r="BI9" s="115"/>
      <c r="BJ9" s="121" t="s">
        <v>21</v>
      </c>
      <c r="BK9" s="23" t="s">
        <v>35</v>
      </c>
      <c r="BL9" s="116"/>
      <c r="BM9" s="23" t="s">
        <v>21</v>
      </c>
      <c r="BN9" s="23" t="s">
        <v>27</v>
      </c>
      <c r="BO9" s="23" t="s">
        <v>28</v>
      </c>
      <c r="BP9" s="23" t="s">
        <v>29</v>
      </c>
      <c r="BQ9" s="109" t="s">
        <v>30</v>
      </c>
      <c r="BR9" s="115"/>
      <c r="BS9" s="121" t="s">
        <v>21</v>
      </c>
      <c r="BT9" s="23" t="s">
        <v>27</v>
      </c>
      <c r="BU9" s="23" t="s">
        <v>28</v>
      </c>
      <c r="BV9" s="23" t="s">
        <v>29</v>
      </c>
      <c r="BW9" s="109" t="s">
        <v>30</v>
      </c>
      <c r="BX9" s="115"/>
      <c r="BY9" s="121" t="s">
        <v>21</v>
      </c>
      <c r="BZ9" s="23" t="s">
        <v>27</v>
      </c>
      <c r="CA9" s="23" t="s">
        <v>28</v>
      </c>
      <c r="CB9" s="23" t="s">
        <v>29</v>
      </c>
      <c r="CC9" s="109" t="s">
        <v>30</v>
      </c>
      <c r="CD9" s="115"/>
      <c r="CE9" s="121" t="s">
        <v>21</v>
      </c>
      <c r="CF9" s="23" t="s">
        <v>27</v>
      </c>
      <c r="CG9" s="23" t="s">
        <v>28</v>
      </c>
      <c r="CH9" s="23" t="s">
        <v>29</v>
      </c>
      <c r="CI9" s="43" t="s">
        <v>31</v>
      </c>
      <c r="CJ9" s="43" t="s">
        <v>32</v>
      </c>
      <c r="CK9" s="43" t="s">
        <v>33</v>
      </c>
      <c r="CL9" s="45" t="s">
        <v>34</v>
      </c>
      <c r="CM9"/>
      <c r="CN9" s="121" t="s">
        <v>21</v>
      </c>
      <c r="CO9" s="23" t="s">
        <v>27</v>
      </c>
      <c r="CP9" s="23" t="s">
        <v>28</v>
      </c>
      <c r="CQ9" s="23" t="s">
        <v>29</v>
      </c>
      <c r="CR9" s="43" t="s">
        <v>31</v>
      </c>
      <c r="CS9" s="43" t="s">
        <v>32</v>
      </c>
      <c r="CT9" s="43" t="s">
        <v>33</v>
      </c>
      <c r="CU9" s="45" t="s">
        <v>34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22</v>
      </c>
      <c r="W10" s="42" t="s">
        <v>22</v>
      </c>
      <c r="X10" s="42" t="s">
        <v>22</v>
      </c>
      <c r="Y10" s="46" t="s">
        <v>22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22</v>
      </c>
      <c r="CJ10" s="50" t="s">
        <v>22</v>
      </c>
      <c r="CK10" s="50" t="s">
        <v>22</v>
      </c>
      <c r="CL10" s="47" t="s">
        <v>22</v>
      </c>
      <c r="CM10"/>
      <c r="CN10" s="122"/>
      <c r="CO10" s="107"/>
      <c r="CP10" s="107"/>
      <c r="CQ10" s="107"/>
      <c r="CR10" s="50" t="s">
        <v>22</v>
      </c>
      <c r="CS10" s="50" t="s">
        <v>22</v>
      </c>
      <c r="CT10" s="50" t="s">
        <v>22</v>
      </c>
      <c r="CU10" s="47" t="s">
        <v>22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22</v>
      </c>
      <c r="W11" s="42" t="s">
        <v>22</v>
      </c>
      <c r="X11" s="42" t="s">
        <v>22</v>
      </c>
      <c r="Y11" s="46" t="s">
        <v>22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22</v>
      </c>
      <c r="W12" s="42" t="s">
        <v>22</v>
      </c>
      <c r="X12" s="42" t="s">
        <v>22</v>
      </c>
      <c r="Y12" s="46" t="s">
        <v>22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22</v>
      </c>
      <c r="W13" s="42" t="s">
        <v>22</v>
      </c>
      <c r="X13" s="42" t="s">
        <v>22</v>
      </c>
      <c r="Y13" s="46" t="s">
        <v>22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22</v>
      </c>
      <c r="W14" s="42" t="s">
        <v>22</v>
      </c>
      <c r="X14" s="42" t="s">
        <v>22</v>
      </c>
      <c r="Y14" s="46" t="s">
        <v>22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22</v>
      </c>
      <c r="W15" s="42" t="s">
        <v>22</v>
      </c>
      <c r="X15" s="42" t="s">
        <v>22</v>
      </c>
      <c r="Y15" s="46" t="s">
        <v>22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22</v>
      </c>
      <c r="W16" s="42" t="s">
        <v>22</v>
      </c>
      <c r="X16" s="42" t="s">
        <v>22</v>
      </c>
      <c r="Y16" s="46" t="s">
        <v>22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22</v>
      </c>
      <c r="W17" s="42" t="s">
        <v>22</v>
      </c>
      <c r="X17" s="42" t="s">
        <v>22</v>
      </c>
      <c r="Y17" s="46" t="s">
        <v>22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22</v>
      </c>
      <c r="W18" s="42" t="s">
        <v>22</v>
      </c>
      <c r="X18" s="42" t="s">
        <v>22</v>
      </c>
      <c r="Y18" s="46" t="s">
        <v>22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22</v>
      </c>
      <c r="W19" s="50" t="s">
        <v>22</v>
      </c>
      <c r="X19" s="50" t="s">
        <v>22</v>
      </c>
      <c r="Y19" s="47" t="s">
        <v>22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131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23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13</v>
      </c>
      <c r="D9" s="23" t="s">
        <v>21</v>
      </c>
      <c r="E9" s="23" t="s">
        <v>24</v>
      </c>
      <c r="F9" s="109" t="s">
        <v>25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135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135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135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135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135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135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135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135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135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135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5"/>
      <c r="S6" s="5"/>
      <c r="T6" s="5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132</v>
      </c>
      <c r="D38" s="14"/>
      <c r="E38" s="8"/>
      <c r="F38" s="26" t="s">
        <v>133</v>
      </c>
      <c r="G38" s="14"/>
      <c r="H38" s="8"/>
      <c r="I38" s="26" t="s">
        <v>131</v>
      </c>
      <c r="J38" s="14"/>
      <c r="K38" s="8"/>
    </row>
    <row r="39" spans="1:25" ht="20.100000000000001" customHeight="1" thickTop="1" x14ac:dyDescent="0.45">
      <c r="B39" s="8"/>
      <c r="C39" s="22" t="s">
        <v>13</v>
      </c>
      <c r="D39" s="25" t="s">
        <v>283</v>
      </c>
      <c r="E39" s="8"/>
      <c r="F39" s="22" t="s">
        <v>13</v>
      </c>
      <c r="G39" s="109" t="s">
        <v>283</v>
      </c>
      <c r="H39" s="8"/>
      <c r="I39" s="22" t="s">
        <v>13</v>
      </c>
      <c r="J39" s="109" t="s">
        <v>283</v>
      </c>
      <c r="K39" s="40"/>
    </row>
    <row r="40" spans="1:25" ht="20.100000000000001" customHeight="1" x14ac:dyDescent="0.45">
      <c r="C40" s="19">
        <v>1</v>
      </c>
      <c r="D40" s="132" t="s">
        <v>305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307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308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309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310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311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312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313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314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315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316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317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 t="s">
        <v>318</v>
      </c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 t="s">
        <v>319</v>
      </c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1.699218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21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132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230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231</v>
      </c>
      <c r="AF8" s="26"/>
      <c r="AG8" s="8"/>
      <c r="BH8" s="26" t="s">
        <v>232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233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234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235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236</v>
      </c>
      <c r="FB8" s="26" t="s">
        <v>237</v>
      </c>
      <c r="FM8" s="26" t="s">
        <v>238</v>
      </c>
      <c r="GJ8" s="26" t="s">
        <v>239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240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241</v>
      </c>
      <c r="IG8" s="8"/>
      <c r="JB8" s="26" t="s">
        <v>242</v>
      </c>
      <c r="JC8" s="8"/>
      <c r="JX8" s="26" t="s">
        <v>243</v>
      </c>
      <c r="JY8" s="8"/>
      <c r="KO8" s="26" t="s">
        <v>251</v>
      </c>
      <c r="KP8" s="8"/>
      <c r="KQ8" s="8"/>
    </row>
    <row r="9" spans="1:311" ht="126.6" thickTop="1" x14ac:dyDescent="0.45">
      <c r="B9" s="8"/>
      <c r="C9" s="22" t="s">
        <v>127</v>
      </c>
      <c r="D9" s="99" t="s">
        <v>271</v>
      </c>
      <c r="E9" s="23" t="s">
        <v>21</v>
      </c>
      <c r="F9" s="23" t="s">
        <v>100</v>
      </c>
      <c r="G9" s="23" t="s">
        <v>274</v>
      </c>
      <c r="H9" s="23" t="s">
        <v>105</v>
      </c>
      <c r="I9" s="43" t="s">
        <v>99</v>
      </c>
      <c r="J9" s="43" t="s">
        <v>104</v>
      </c>
      <c r="K9" s="43" t="s">
        <v>110</v>
      </c>
      <c r="L9" s="43" t="s">
        <v>103</v>
      </c>
      <c r="M9" s="43" t="s">
        <v>98</v>
      </c>
      <c r="N9" s="43" t="s">
        <v>109</v>
      </c>
      <c r="O9" s="23" t="s">
        <v>102</v>
      </c>
      <c r="P9" s="23" t="s">
        <v>92</v>
      </c>
      <c r="Q9" s="23" t="s">
        <v>126</v>
      </c>
      <c r="R9" s="23" t="s">
        <v>117</v>
      </c>
      <c r="S9" s="43" t="s">
        <v>125</v>
      </c>
      <c r="T9" s="43" t="s">
        <v>124</v>
      </c>
      <c r="U9" s="43" t="s">
        <v>123</v>
      </c>
      <c r="V9" s="43" t="s">
        <v>122</v>
      </c>
      <c r="W9" s="43" t="s">
        <v>91</v>
      </c>
      <c r="X9" s="43" t="s">
        <v>90</v>
      </c>
      <c r="Y9" s="43" t="s">
        <v>89</v>
      </c>
      <c r="Z9" s="23" t="s">
        <v>272</v>
      </c>
      <c r="AA9" s="23" t="s">
        <v>273</v>
      </c>
      <c r="AB9" s="23" t="s">
        <v>88</v>
      </c>
      <c r="AC9" s="109" t="s">
        <v>25</v>
      </c>
      <c r="AD9" s="8"/>
      <c r="AE9" s="22" t="s">
        <v>106</v>
      </c>
      <c r="AF9" s="99" t="s">
        <v>271</v>
      </c>
      <c r="AG9" s="23" t="s">
        <v>21</v>
      </c>
      <c r="AH9" s="23" t="s">
        <v>100</v>
      </c>
      <c r="AI9" s="23" t="s">
        <v>121</v>
      </c>
      <c r="AJ9" s="43" t="s">
        <v>99</v>
      </c>
      <c r="AK9" s="43" t="s">
        <v>104</v>
      </c>
      <c r="AL9" s="43" t="s">
        <v>110</v>
      </c>
      <c r="AM9" s="43" t="s">
        <v>103</v>
      </c>
      <c r="AN9" s="43" t="s">
        <v>98</v>
      </c>
      <c r="AO9" s="43" t="s">
        <v>120</v>
      </c>
      <c r="AP9" s="23" t="s">
        <v>102</v>
      </c>
      <c r="AQ9" s="23" t="s">
        <v>119</v>
      </c>
      <c r="AR9" s="111" t="s">
        <v>282</v>
      </c>
      <c r="AS9" s="23" t="s">
        <v>278</v>
      </c>
      <c r="AT9" s="23" t="s">
        <v>281</v>
      </c>
      <c r="AU9" s="23" t="s">
        <v>118</v>
      </c>
      <c r="AV9" s="23" t="s">
        <v>117</v>
      </c>
      <c r="AW9" s="23" t="s">
        <v>116</v>
      </c>
      <c r="AX9" s="23" t="s">
        <v>115</v>
      </c>
      <c r="AY9" s="23" t="s">
        <v>92</v>
      </c>
      <c r="AZ9" s="43" t="s">
        <v>91</v>
      </c>
      <c r="BA9" s="43" t="s">
        <v>90</v>
      </c>
      <c r="BB9" s="43" t="s">
        <v>89</v>
      </c>
      <c r="BC9" s="23" t="s">
        <v>272</v>
      </c>
      <c r="BD9" s="23" t="s">
        <v>273</v>
      </c>
      <c r="BE9" s="23" t="s">
        <v>88</v>
      </c>
      <c r="BF9" s="109" t="s">
        <v>25</v>
      </c>
      <c r="BH9" s="22" t="s">
        <v>87</v>
      </c>
      <c r="BI9" s="99" t="s">
        <v>271</v>
      </c>
      <c r="BJ9" s="23" t="s">
        <v>21</v>
      </c>
      <c r="BK9" s="23" t="s">
        <v>100</v>
      </c>
      <c r="BL9" s="23" t="s">
        <v>105</v>
      </c>
      <c r="BM9" s="43" t="s">
        <v>99</v>
      </c>
      <c r="BN9" s="43" t="s">
        <v>104</v>
      </c>
      <c r="BO9" s="43" t="s">
        <v>110</v>
      </c>
      <c r="BP9" s="43" t="s">
        <v>103</v>
      </c>
      <c r="BQ9" s="43" t="s">
        <v>98</v>
      </c>
      <c r="BR9" s="23" t="s">
        <v>114</v>
      </c>
      <c r="BS9" s="23" t="s">
        <v>113</v>
      </c>
      <c r="BT9" s="23" t="s">
        <v>92</v>
      </c>
      <c r="BU9" s="43" t="s">
        <v>91</v>
      </c>
      <c r="BV9" s="43" t="s">
        <v>90</v>
      </c>
      <c r="BW9" s="43" t="s">
        <v>89</v>
      </c>
      <c r="BX9" s="23" t="s">
        <v>272</v>
      </c>
      <c r="BY9" s="23" t="s">
        <v>273</v>
      </c>
      <c r="BZ9" s="23" t="s">
        <v>88</v>
      </c>
      <c r="CA9" s="109" t="s">
        <v>25</v>
      </c>
      <c r="CC9" s="22" t="s">
        <v>112</v>
      </c>
      <c r="CD9" s="99" t="s">
        <v>271</v>
      </c>
      <c r="CE9" s="23" t="s">
        <v>21</v>
      </c>
      <c r="CF9" s="23" t="s">
        <v>100</v>
      </c>
      <c r="CG9" s="23" t="s">
        <v>274</v>
      </c>
      <c r="CH9" s="23" t="s">
        <v>105</v>
      </c>
      <c r="CI9" s="23" t="s">
        <v>280</v>
      </c>
      <c r="CJ9" s="43" t="s">
        <v>99</v>
      </c>
      <c r="CK9" s="43" t="s">
        <v>104</v>
      </c>
      <c r="CL9" s="43" t="s">
        <v>110</v>
      </c>
      <c r="CM9" s="43" t="s">
        <v>103</v>
      </c>
      <c r="CN9" s="43" t="s">
        <v>98</v>
      </c>
      <c r="CO9" s="43" t="s">
        <v>109</v>
      </c>
      <c r="CP9" s="43" t="s">
        <v>108</v>
      </c>
      <c r="CQ9" s="23" t="s">
        <v>107</v>
      </c>
      <c r="CR9" s="23" t="s">
        <v>102</v>
      </c>
      <c r="CS9" s="23" t="s">
        <v>92</v>
      </c>
      <c r="CT9" s="43" t="s">
        <v>91</v>
      </c>
      <c r="CU9" s="43" t="s">
        <v>90</v>
      </c>
      <c r="CV9" s="43" t="s">
        <v>89</v>
      </c>
      <c r="CW9" s="23" t="s">
        <v>272</v>
      </c>
      <c r="CX9" s="23" t="s">
        <v>273</v>
      </c>
      <c r="CY9" s="23" t="s">
        <v>88</v>
      </c>
      <c r="CZ9" s="109" t="s">
        <v>25</v>
      </c>
      <c r="DB9" s="22" t="s">
        <v>106</v>
      </c>
      <c r="DC9" s="99" t="s">
        <v>271</v>
      </c>
      <c r="DD9" s="23" t="s">
        <v>21</v>
      </c>
      <c r="DE9" s="23" t="s">
        <v>100</v>
      </c>
      <c r="DF9" s="23" t="s">
        <v>105</v>
      </c>
      <c r="DG9" s="43" t="s">
        <v>99</v>
      </c>
      <c r="DH9" s="43" t="s">
        <v>104</v>
      </c>
      <c r="DI9" s="43" t="s">
        <v>103</v>
      </c>
      <c r="DJ9" s="43" t="s">
        <v>98</v>
      </c>
      <c r="DK9" s="43" t="s">
        <v>102</v>
      </c>
      <c r="DL9" s="23" t="s">
        <v>92</v>
      </c>
      <c r="DM9" s="43" t="s">
        <v>91</v>
      </c>
      <c r="DN9" s="43" t="s">
        <v>90</v>
      </c>
      <c r="DO9" s="43" t="s">
        <v>89</v>
      </c>
      <c r="DP9" s="23" t="s">
        <v>272</v>
      </c>
      <c r="DQ9" s="23" t="s">
        <v>273</v>
      </c>
      <c r="DR9" s="23" t="s">
        <v>88</v>
      </c>
      <c r="DS9" s="109" t="s">
        <v>25</v>
      </c>
      <c r="DU9" s="22" t="s">
        <v>101</v>
      </c>
      <c r="DV9" s="99" t="s">
        <v>271</v>
      </c>
      <c r="DW9" s="23" t="s">
        <v>21</v>
      </c>
      <c r="DX9" s="23" t="s">
        <v>100</v>
      </c>
      <c r="DY9" s="43" t="s">
        <v>99</v>
      </c>
      <c r="DZ9" s="43" t="s">
        <v>98</v>
      </c>
      <c r="EA9" s="43" t="s">
        <v>97</v>
      </c>
      <c r="EB9" s="43" t="s">
        <v>279</v>
      </c>
      <c r="EC9" s="43" t="s">
        <v>96</v>
      </c>
      <c r="ED9" s="23" t="s">
        <v>95</v>
      </c>
      <c r="EE9" s="23" t="s">
        <v>94</v>
      </c>
      <c r="EF9" s="23" t="s">
        <v>93</v>
      </c>
      <c r="EG9" s="23" t="s">
        <v>92</v>
      </c>
      <c r="EH9" s="43" t="s">
        <v>91</v>
      </c>
      <c r="EI9" s="43" t="s">
        <v>90</v>
      </c>
      <c r="EJ9" s="43" t="s">
        <v>89</v>
      </c>
      <c r="EK9" s="23" t="s">
        <v>272</v>
      </c>
      <c r="EL9" s="23" t="s">
        <v>273</v>
      </c>
      <c r="EM9" s="23" t="s">
        <v>88</v>
      </c>
      <c r="EN9" s="109" t="s">
        <v>25</v>
      </c>
      <c r="EP9" s="121" t="s">
        <v>21</v>
      </c>
      <c r="EQ9" s="23" t="s">
        <v>100</v>
      </c>
      <c r="ER9" s="23" t="s">
        <v>121</v>
      </c>
      <c r="ES9" s="43" t="s">
        <v>253</v>
      </c>
      <c r="ET9" s="23" t="s">
        <v>92</v>
      </c>
      <c r="EU9" s="43" t="s">
        <v>90</v>
      </c>
      <c r="EV9" s="43" t="s">
        <v>89</v>
      </c>
      <c r="EW9" s="23" t="s">
        <v>272</v>
      </c>
      <c r="EX9" s="23" t="s">
        <v>273</v>
      </c>
      <c r="EY9" s="23" t="s">
        <v>88</v>
      </c>
      <c r="EZ9" s="109" t="s">
        <v>25</v>
      </c>
      <c r="FB9" s="121" t="s">
        <v>21</v>
      </c>
      <c r="FC9" s="23" t="s">
        <v>100</v>
      </c>
      <c r="FD9" s="23" t="s">
        <v>121</v>
      </c>
      <c r="FE9" s="23" t="s">
        <v>92</v>
      </c>
      <c r="FF9" s="43" t="s">
        <v>90</v>
      </c>
      <c r="FG9" s="43" t="s">
        <v>89</v>
      </c>
      <c r="FH9" s="23" t="s">
        <v>272</v>
      </c>
      <c r="FI9" s="23" t="s">
        <v>273</v>
      </c>
      <c r="FJ9" s="23" t="s">
        <v>88</v>
      </c>
      <c r="FK9" s="109" t="s">
        <v>25</v>
      </c>
      <c r="FM9" s="121" t="s">
        <v>21</v>
      </c>
      <c r="FN9" s="23" t="s">
        <v>100</v>
      </c>
      <c r="FO9" s="23" t="s">
        <v>274</v>
      </c>
      <c r="FP9" s="23" t="s">
        <v>121</v>
      </c>
      <c r="FQ9" s="43" t="s">
        <v>99</v>
      </c>
      <c r="FR9" s="43" t="s">
        <v>104</v>
      </c>
      <c r="FS9" s="43" t="s">
        <v>110</v>
      </c>
      <c r="FT9" s="43" t="s">
        <v>103</v>
      </c>
      <c r="FU9" s="43" t="s">
        <v>98</v>
      </c>
      <c r="FV9" s="43" t="s">
        <v>109</v>
      </c>
      <c r="FW9" s="23" t="s">
        <v>102</v>
      </c>
      <c r="FX9" s="23" t="s">
        <v>92</v>
      </c>
      <c r="FY9" s="23" t="s">
        <v>254</v>
      </c>
      <c r="FZ9" s="23" t="s">
        <v>255</v>
      </c>
      <c r="GA9" s="23" t="s">
        <v>256</v>
      </c>
      <c r="GB9" s="43" t="s">
        <v>91</v>
      </c>
      <c r="GC9" s="43" t="s">
        <v>90</v>
      </c>
      <c r="GD9" s="43" t="s">
        <v>89</v>
      </c>
      <c r="GE9" s="23" t="s">
        <v>272</v>
      </c>
      <c r="GF9" s="23" t="s">
        <v>273</v>
      </c>
      <c r="GG9" s="23" t="s">
        <v>88</v>
      </c>
      <c r="GH9" s="109" t="s">
        <v>25</v>
      </c>
      <c r="GJ9" s="121" t="s">
        <v>21</v>
      </c>
      <c r="GK9" s="23" t="s">
        <v>100</v>
      </c>
      <c r="GL9" s="23" t="s">
        <v>274</v>
      </c>
      <c r="GM9" s="23" t="s">
        <v>105</v>
      </c>
      <c r="GN9" s="23" t="s">
        <v>111</v>
      </c>
      <c r="GO9" s="43" t="s">
        <v>99</v>
      </c>
      <c r="GP9" s="43" t="s">
        <v>104</v>
      </c>
      <c r="GQ9" s="43" t="s">
        <v>110</v>
      </c>
      <c r="GR9" s="43" t="s">
        <v>103</v>
      </c>
      <c r="GS9" s="43" t="s">
        <v>98</v>
      </c>
      <c r="GT9" s="43" t="s">
        <v>109</v>
      </c>
      <c r="GU9" s="43" t="s">
        <v>108</v>
      </c>
      <c r="GV9" s="23" t="s">
        <v>107</v>
      </c>
      <c r="GW9" s="23" t="s">
        <v>102</v>
      </c>
      <c r="GX9" s="23" t="s">
        <v>92</v>
      </c>
      <c r="GY9" s="23" t="s">
        <v>254</v>
      </c>
      <c r="GZ9" s="43" t="s">
        <v>91</v>
      </c>
      <c r="HA9" s="43" t="s">
        <v>90</v>
      </c>
      <c r="HB9" s="43" t="s">
        <v>89</v>
      </c>
      <c r="HC9" s="23" t="s">
        <v>272</v>
      </c>
      <c r="HD9" s="23" t="s">
        <v>273</v>
      </c>
      <c r="HE9" s="23" t="s">
        <v>88</v>
      </c>
      <c r="HF9" s="109" t="s">
        <v>25</v>
      </c>
      <c r="HH9" s="121" t="s">
        <v>21</v>
      </c>
      <c r="HI9" s="23" t="s">
        <v>100</v>
      </c>
      <c r="HJ9" s="24"/>
      <c r="HK9" s="23" t="s">
        <v>274</v>
      </c>
      <c r="HL9" s="23" t="s">
        <v>105</v>
      </c>
      <c r="HM9" s="43" t="s">
        <v>99</v>
      </c>
      <c r="HN9" s="43" t="s">
        <v>104</v>
      </c>
      <c r="HO9" s="43" t="s">
        <v>110</v>
      </c>
      <c r="HP9" s="43" t="s">
        <v>103</v>
      </c>
      <c r="HQ9" s="43" t="s">
        <v>98</v>
      </c>
      <c r="HR9" s="23" t="s">
        <v>102</v>
      </c>
      <c r="HS9" s="23" t="s">
        <v>92</v>
      </c>
      <c r="HT9" s="23" t="s">
        <v>126</v>
      </c>
      <c r="HU9" s="23" t="s">
        <v>117</v>
      </c>
      <c r="HV9" s="43" t="s">
        <v>125</v>
      </c>
      <c r="HW9" s="43" t="s">
        <v>123</v>
      </c>
      <c r="HX9" s="43" t="s">
        <v>91</v>
      </c>
      <c r="HY9" s="43" t="s">
        <v>90</v>
      </c>
      <c r="HZ9" s="43" t="s">
        <v>89</v>
      </c>
      <c r="IA9" s="23" t="s">
        <v>272</v>
      </c>
      <c r="IB9" s="23" t="s">
        <v>273</v>
      </c>
      <c r="IC9" s="23" t="s">
        <v>88</v>
      </c>
      <c r="ID9" s="109" t="s">
        <v>25</v>
      </c>
      <c r="IF9" s="121" t="s">
        <v>21</v>
      </c>
      <c r="IG9" s="23" t="s">
        <v>100</v>
      </c>
      <c r="IH9" s="23" t="s">
        <v>105</v>
      </c>
      <c r="II9" s="43" t="s">
        <v>99</v>
      </c>
      <c r="IJ9" s="43" t="s">
        <v>104</v>
      </c>
      <c r="IK9" s="43" t="s">
        <v>110</v>
      </c>
      <c r="IL9" s="43" t="s">
        <v>103</v>
      </c>
      <c r="IM9" s="43" t="s">
        <v>98</v>
      </c>
      <c r="IN9" s="23" t="s">
        <v>102</v>
      </c>
      <c r="IO9" s="23" t="s">
        <v>92</v>
      </c>
      <c r="IP9" s="23" t="s">
        <v>126</v>
      </c>
      <c r="IQ9" s="23" t="s">
        <v>117</v>
      </c>
      <c r="IR9" s="43" t="s">
        <v>125</v>
      </c>
      <c r="IS9" s="43" t="s">
        <v>123</v>
      </c>
      <c r="IT9" s="43" t="s">
        <v>91</v>
      </c>
      <c r="IU9" s="43" t="s">
        <v>90</v>
      </c>
      <c r="IV9" s="43" t="s">
        <v>89</v>
      </c>
      <c r="IW9" s="23" t="s">
        <v>272</v>
      </c>
      <c r="IX9" s="23" t="s">
        <v>273</v>
      </c>
      <c r="IY9" s="23" t="s">
        <v>88</v>
      </c>
      <c r="IZ9" s="109" t="s">
        <v>25</v>
      </c>
      <c r="JB9" s="121" t="s">
        <v>21</v>
      </c>
      <c r="JC9" s="23" t="s">
        <v>100</v>
      </c>
      <c r="JD9" s="23" t="s">
        <v>105</v>
      </c>
      <c r="JE9" s="43" t="s">
        <v>99</v>
      </c>
      <c r="JF9" s="43" t="s">
        <v>104</v>
      </c>
      <c r="JG9" s="43" t="s">
        <v>110</v>
      </c>
      <c r="JH9" s="43" t="s">
        <v>103</v>
      </c>
      <c r="JI9" s="43" t="s">
        <v>98</v>
      </c>
      <c r="JJ9" s="23" t="s">
        <v>102</v>
      </c>
      <c r="JK9" s="23" t="s">
        <v>92</v>
      </c>
      <c r="JL9" s="23" t="s">
        <v>126</v>
      </c>
      <c r="JM9" s="23" t="s">
        <v>117</v>
      </c>
      <c r="JN9" s="43" t="s">
        <v>125</v>
      </c>
      <c r="JO9" s="43" t="s">
        <v>123</v>
      </c>
      <c r="JP9" s="43" t="s">
        <v>91</v>
      </c>
      <c r="JQ9" s="43" t="s">
        <v>90</v>
      </c>
      <c r="JR9" s="43" t="s">
        <v>89</v>
      </c>
      <c r="JS9" s="23" t="s">
        <v>272</v>
      </c>
      <c r="JT9" s="23" t="s">
        <v>273</v>
      </c>
      <c r="JU9" s="23" t="s">
        <v>88</v>
      </c>
      <c r="JV9" s="109" t="s">
        <v>25</v>
      </c>
      <c r="JX9" s="121" t="s">
        <v>21</v>
      </c>
      <c r="JY9" s="23" t="s">
        <v>100</v>
      </c>
      <c r="JZ9" s="23" t="s">
        <v>105</v>
      </c>
      <c r="KA9" s="43" t="s">
        <v>99</v>
      </c>
      <c r="KB9" s="43" t="s">
        <v>104</v>
      </c>
      <c r="KC9" s="43" t="s">
        <v>103</v>
      </c>
      <c r="KD9" s="43" t="s">
        <v>98</v>
      </c>
      <c r="KE9" s="43" t="s">
        <v>102</v>
      </c>
      <c r="KF9" s="23" t="s">
        <v>92</v>
      </c>
      <c r="KG9" s="43" t="s">
        <v>91</v>
      </c>
      <c r="KH9" s="43" t="s">
        <v>90</v>
      </c>
      <c r="KI9" s="43" t="s">
        <v>89</v>
      </c>
      <c r="KJ9" s="23" t="s">
        <v>272</v>
      </c>
      <c r="KK9" s="23" t="s">
        <v>273</v>
      </c>
      <c r="KL9" s="23" t="s">
        <v>88</v>
      </c>
      <c r="KM9" s="109" t="s">
        <v>25</v>
      </c>
      <c r="KO9" s="121" t="s">
        <v>21</v>
      </c>
      <c r="KP9" s="23" t="s">
        <v>100</v>
      </c>
      <c r="KQ9" s="23" t="s">
        <v>274</v>
      </c>
      <c r="KR9" s="43" t="s">
        <v>103</v>
      </c>
      <c r="KS9" s="43" t="s">
        <v>98</v>
      </c>
      <c r="KT9" s="43" t="s">
        <v>108</v>
      </c>
      <c r="KU9" s="23" t="s">
        <v>107</v>
      </c>
      <c r="KV9" s="23" t="s">
        <v>92</v>
      </c>
      <c r="KW9" s="23" t="s">
        <v>254</v>
      </c>
      <c r="KX9" s="23" t="s">
        <v>88</v>
      </c>
      <c r="KY9" s="109" t="s">
        <v>25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333</v>
      </c>
      <c r="E10" s="100" t="s">
        <v>304</v>
      </c>
      <c r="F10" s="105" t="s">
        <v>40</v>
      </c>
      <c r="G10" s="105"/>
      <c r="H10" s="105"/>
      <c r="I10" s="42" t="s">
        <v>269</v>
      </c>
      <c r="J10" s="42"/>
      <c r="K10" s="42"/>
      <c r="L10" s="42"/>
      <c r="M10" s="42"/>
      <c r="N10" s="42"/>
      <c r="O10" s="105"/>
      <c r="P10" s="105"/>
      <c r="Q10" s="105" t="s">
        <v>346</v>
      </c>
      <c r="R10" s="105"/>
      <c r="S10" s="42" t="s">
        <v>346</v>
      </c>
      <c r="T10" s="42"/>
      <c r="U10" s="42"/>
      <c r="V10" s="42"/>
      <c r="W10" s="42" t="s">
        <v>346</v>
      </c>
      <c r="X10" s="42"/>
      <c r="Y10" s="42"/>
      <c r="Z10" s="100"/>
      <c r="AA10" s="100"/>
      <c r="AB10" s="118"/>
      <c r="AC10" s="120" t="s">
        <v>320</v>
      </c>
      <c r="AE10" s="19">
        <v>1</v>
      </c>
      <c r="AF10" s="96" t="s">
        <v>333</v>
      </c>
      <c r="AG10" s="100" t="s">
        <v>309</v>
      </c>
      <c r="AH10" s="105" t="s">
        <v>49</v>
      </c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 t="s">
        <v>321</v>
      </c>
      <c r="BH10" s="19">
        <v>1</v>
      </c>
      <c r="BI10" s="96" t="s">
        <v>333</v>
      </c>
      <c r="BJ10" s="100" t="s">
        <v>308</v>
      </c>
      <c r="BK10" s="105" t="s">
        <v>40</v>
      </c>
      <c r="BL10" s="105"/>
      <c r="BM10" s="42" t="s">
        <v>342</v>
      </c>
      <c r="BN10" s="42"/>
      <c r="BO10" s="42"/>
      <c r="BP10" s="42"/>
      <c r="BQ10" s="42"/>
      <c r="BR10" s="105" t="s">
        <v>46</v>
      </c>
      <c r="BS10" s="105"/>
      <c r="BT10" s="105"/>
      <c r="BU10" s="42"/>
      <c r="BV10" s="42" t="s">
        <v>269</v>
      </c>
      <c r="BW10" s="42"/>
      <c r="BX10" s="100"/>
      <c r="BY10" s="100"/>
      <c r="BZ10" s="118"/>
      <c r="CA10" s="120" t="s">
        <v>322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22</v>
      </c>
      <c r="CU10" s="42" t="s">
        <v>22</v>
      </c>
      <c r="CV10" s="42" t="s">
        <v>22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22</v>
      </c>
      <c r="DN10" s="42" t="s">
        <v>22</v>
      </c>
      <c r="DO10" s="42" t="s">
        <v>22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277</v>
      </c>
      <c r="EQ10" s="107" t="s">
        <v>49</v>
      </c>
      <c r="ER10" s="107" t="s">
        <v>50</v>
      </c>
      <c r="ES10" s="50" t="s">
        <v>269</v>
      </c>
      <c r="ET10" s="107"/>
      <c r="EU10" s="50" t="s">
        <v>22</v>
      </c>
      <c r="EV10" s="50" t="s">
        <v>22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22</v>
      </c>
      <c r="FG10" s="50" t="s">
        <v>22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22</v>
      </c>
      <c r="FR10" s="50" t="s">
        <v>22</v>
      </c>
      <c r="FS10" s="50" t="s">
        <v>22</v>
      </c>
      <c r="FT10" s="50" t="s">
        <v>22</v>
      </c>
      <c r="FU10" s="50" t="s">
        <v>22</v>
      </c>
      <c r="FV10" s="50" t="s">
        <v>22</v>
      </c>
      <c r="FW10" s="107"/>
      <c r="FX10" s="107"/>
      <c r="FY10" s="107"/>
      <c r="FZ10" s="107"/>
      <c r="GA10" s="107"/>
      <c r="GB10" s="50" t="s">
        <v>22</v>
      </c>
      <c r="GC10" s="50" t="s">
        <v>22</v>
      </c>
      <c r="GD10" s="50" t="s">
        <v>22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22</v>
      </c>
      <c r="GP10" s="50" t="s">
        <v>22</v>
      </c>
      <c r="GQ10" s="50" t="s">
        <v>22</v>
      </c>
      <c r="GR10" s="50" t="s">
        <v>22</v>
      </c>
      <c r="GS10" s="50" t="s">
        <v>22</v>
      </c>
      <c r="GT10" s="50" t="s">
        <v>22</v>
      </c>
      <c r="GU10" s="50" t="s">
        <v>22</v>
      </c>
      <c r="GV10" s="107"/>
      <c r="GW10" s="107"/>
      <c r="GX10" s="107"/>
      <c r="GY10" s="107"/>
      <c r="GZ10" s="50" t="s">
        <v>22</v>
      </c>
      <c r="HA10" s="50" t="s">
        <v>22</v>
      </c>
      <c r="HB10" s="50" t="s">
        <v>22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22</v>
      </c>
      <c r="HN10" s="50" t="s">
        <v>22</v>
      </c>
      <c r="HO10" s="50" t="s">
        <v>22</v>
      </c>
      <c r="HP10" s="50" t="s">
        <v>22</v>
      </c>
      <c r="HQ10" s="50" t="s">
        <v>22</v>
      </c>
      <c r="HR10" s="107"/>
      <c r="HS10" s="107"/>
      <c r="HT10" s="107"/>
      <c r="HU10" s="107"/>
      <c r="HV10" s="50" t="s">
        <v>22</v>
      </c>
      <c r="HW10" s="50" t="s">
        <v>22</v>
      </c>
      <c r="HX10" s="50" t="s">
        <v>22</v>
      </c>
      <c r="HY10" s="50" t="s">
        <v>22</v>
      </c>
      <c r="HZ10" s="50" t="s">
        <v>22</v>
      </c>
      <c r="IA10" s="102"/>
      <c r="IB10" s="102"/>
      <c r="IC10" s="119"/>
      <c r="ID10" s="112"/>
      <c r="IF10" s="122"/>
      <c r="IG10" s="107"/>
      <c r="IH10" s="107"/>
      <c r="II10" s="50" t="s">
        <v>22</v>
      </c>
      <c r="IJ10" s="50" t="s">
        <v>22</v>
      </c>
      <c r="IK10" s="50" t="s">
        <v>22</v>
      </c>
      <c r="IL10" s="50" t="s">
        <v>22</v>
      </c>
      <c r="IM10" s="50" t="s">
        <v>22</v>
      </c>
      <c r="IN10" s="107"/>
      <c r="IO10" s="107"/>
      <c r="IP10" s="107"/>
      <c r="IQ10" s="107"/>
      <c r="IR10" s="50" t="s">
        <v>22</v>
      </c>
      <c r="IS10" s="50" t="s">
        <v>22</v>
      </c>
      <c r="IT10" s="50" t="s">
        <v>22</v>
      </c>
      <c r="IU10" s="50" t="s">
        <v>22</v>
      </c>
      <c r="IV10" s="50" t="s">
        <v>22</v>
      </c>
      <c r="IW10" s="102"/>
      <c r="IX10" s="102"/>
      <c r="IY10" s="119"/>
      <c r="IZ10" s="112"/>
      <c r="JB10" s="122"/>
      <c r="JC10" s="107"/>
      <c r="JD10" s="107"/>
      <c r="JE10" s="50" t="s">
        <v>22</v>
      </c>
      <c r="JF10" s="50" t="s">
        <v>22</v>
      </c>
      <c r="JG10" s="50" t="s">
        <v>22</v>
      </c>
      <c r="JH10" s="50" t="s">
        <v>22</v>
      </c>
      <c r="JI10" s="50" t="s">
        <v>22</v>
      </c>
      <c r="JJ10" s="107"/>
      <c r="JK10" s="107"/>
      <c r="JL10" s="107"/>
      <c r="JM10" s="107"/>
      <c r="JN10" s="50" t="s">
        <v>22</v>
      </c>
      <c r="JO10" s="50" t="s">
        <v>22</v>
      </c>
      <c r="JP10" s="50" t="s">
        <v>22</v>
      </c>
      <c r="JQ10" s="50" t="s">
        <v>22</v>
      </c>
      <c r="JR10" s="50" t="s">
        <v>22</v>
      </c>
      <c r="JS10" s="102"/>
      <c r="JT10" s="102"/>
      <c r="JU10" s="119"/>
      <c r="JV10" s="112"/>
      <c r="JX10" s="122"/>
      <c r="JY10" s="107"/>
      <c r="JZ10" s="107"/>
      <c r="KA10" s="50" t="s">
        <v>22</v>
      </c>
      <c r="KB10" s="50" t="s">
        <v>22</v>
      </c>
      <c r="KC10" s="50" t="s">
        <v>22</v>
      </c>
      <c r="KD10" s="50" t="s">
        <v>22</v>
      </c>
      <c r="KE10" s="50" t="s">
        <v>22</v>
      </c>
      <c r="KF10" s="107"/>
      <c r="KG10" s="50" t="s">
        <v>22</v>
      </c>
      <c r="KH10" s="50" t="s">
        <v>22</v>
      </c>
      <c r="KI10" s="50" t="s">
        <v>22</v>
      </c>
      <c r="KJ10" s="102"/>
      <c r="KK10" s="102"/>
      <c r="KL10" s="119"/>
      <c r="KM10" s="112"/>
      <c r="KO10" s="122"/>
      <c r="KP10" s="107"/>
      <c r="KQ10" s="107"/>
      <c r="KR10" s="50" t="s">
        <v>22</v>
      </c>
      <c r="KS10" s="50" t="s">
        <v>22</v>
      </c>
      <c r="KT10" s="50" t="s">
        <v>22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334</v>
      </c>
      <c r="E11" s="100" t="s">
        <v>306</v>
      </c>
      <c r="F11" s="105" t="s">
        <v>40</v>
      </c>
      <c r="G11" s="105"/>
      <c r="H11" s="105"/>
      <c r="I11" s="42"/>
      <c r="J11" s="42"/>
      <c r="K11" s="42"/>
      <c r="L11" s="42"/>
      <c r="M11" s="42" t="s">
        <v>269</v>
      </c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 t="s">
        <v>334</v>
      </c>
      <c r="AG11" s="100" t="s">
        <v>310</v>
      </c>
      <c r="AH11" s="105" t="s">
        <v>49</v>
      </c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 t="s">
        <v>269</v>
      </c>
      <c r="BB11" s="42"/>
      <c r="BC11" s="100"/>
      <c r="BD11" s="100"/>
      <c r="BE11" s="118"/>
      <c r="BF11" s="120" t="s">
        <v>323</v>
      </c>
      <c r="BH11" s="19">
        <v>2</v>
      </c>
      <c r="BI11" s="96" t="s">
        <v>334</v>
      </c>
      <c r="BJ11" s="100" t="s">
        <v>317</v>
      </c>
      <c r="BK11" s="105" t="s">
        <v>40</v>
      </c>
      <c r="BL11" s="105"/>
      <c r="BM11" s="42" t="s">
        <v>269</v>
      </c>
      <c r="BN11" s="42"/>
      <c r="BO11" s="42"/>
      <c r="BP11" s="42"/>
      <c r="BQ11" s="42"/>
      <c r="BR11" s="105" t="s">
        <v>46</v>
      </c>
      <c r="BS11" s="105"/>
      <c r="BT11" s="105"/>
      <c r="BU11" s="42"/>
      <c r="BV11" s="42"/>
      <c r="BW11" s="42"/>
      <c r="BX11" s="100"/>
      <c r="BY11" s="100"/>
      <c r="BZ11" s="118"/>
      <c r="CA11" s="120" t="s">
        <v>324</v>
      </c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22</v>
      </c>
      <c r="CU11" s="42" t="s">
        <v>22</v>
      </c>
      <c r="CV11" s="42" t="s">
        <v>22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22</v>
      </c>
      <c r="DN11" s="42" t="s">
        <v>22</v>
      </c>
      <c r="DO11" s="42" t="s">
        <v>22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 t="s">
        <v>335</v>
      </c>
      <c r="AG12" s="100" t="s">
        <v>311</v>
      </c>
      <c r="AH12" s="105" t="s">
        <v>49</v>
      </c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 t="s">
        <v>269</v>
      </c>
      <c r="BB12" s="42"/>
      <c r="BC12" s="100"/>
      <c r="BD12" s="100"/>
      <c r="BE12" s="118"/>
      <c r="BF12" s="120" t="s">
        <v>325</v>
      </c>
      <c r="BH12" s="19">
        <v>3</v>
      </c>
      <c r="BI12" s="96" t="s">
        <v>335</v>
      </c>
      <c r="BJ12" s="100" t="s">
        <v>318</v>
      </c>
      <c r="BK12" s="105" t="s">
        <v>40</v>
      </c>
      <c r="BL12" s="105"/>
      <c r="BM12" s="42" t="s">
        <v>269</v>
      </c>
      <c r="BN12" s="42"/>
      <c r="BO12" s="42"/>
      <c r="BP12" s="42"/>
      <c r="BQ12" s="42"/>
      <c r="BR12" s="105" t="s">
        <v>46</v>
      </c>
      <c r="BS12" s="105"/>
      <c r="BT12" s="105"/>
      <c r="BU12" s="42"/>
      <c r="BV12" s="42"/>
      <c r="BW12" s="42"/>
      <c r="BX12" s="100"/>
      <c r="BY12" s="100"/>
      <c r="BZ12" s="118"/>
      <c r="CA12" s="120" t="s">
        <v>326</v>
      </c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22</v>
      </c>
      <c r="CU12" s="42" t="s">
        <v>22</v>
      </c>
      <c r="CV12" s="42" t="s">
        <v>22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22</v>
      </c>
      <c r="DN12" s="42" t="s">
        <v>22</v>
      </c>
      <c r="DO12" s="42" t="s">
        <v>22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 t="s">
        <v>336</v>
      </c>
      <c r="AG13" s="100" t="s">
        <v>312</v>
      </c>
      <c r="AH13" s="105" t="s">
        <v>49</v>
      </c>
      <c r="AI13" s="105"/>
      <c r="AJ13" s="42" t="s">
        <v>22</v>
      </c>
      <c r="AK13" s="42" t="s">
        <v>22</v>
      </c>
      <c r="AL13" s="42" t="s">
        <v>22</v>
      </c>
      <c r="AM13" s="42" t="s">
        <v>22</v>
      </c>
      <c r="AN13" s="42" t="s">
        <v>22</v>
      </c>
      <c r="AO13" s="42" t="s">
        <v>22</v>
      </c>
      <c r="AP13" s="105"/>
      <c r="AQ13" s="105"/>
      <c r="AR13" s="42" t="s">
        <v>22</v>
      </c>
      <c r="AS13" s="105"/>
      <c r="AT13" s="105"/>
      <c r="AU13" s="105"/>
      <c r="AV13" s="105"/>
      <c r="AW13" s="105"/>
      <c r="AX13" s="105"/>
      <c r="AY13" s="105"/>
      <c r="AZ13" s="42" t="s">
        <v>22</v>
      </c>
      <c r="BA13" s="42" t="s">
        <v>269</v>
      </c>
      <c r="BB13" s="42" t="s">
        <v>22</v>
      </c>
      <c r="BC13" s="100"/>
      <c r="BD13" s="100"/>
      <c r="BE13" s="118"/>
      <c r="BF13" s="120" t="s">
        <v>327</v>
      </c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22</v>
      </c>
      <c r="CU13" s="42" t="s">
        <v>22</v>
      </c>
      <c r="CV13" s="42" t="s">
        <v>22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22</v>
      </c>
      <c r="DN13" s="42" t="s">
        <v>22</v>
      </c>
      <c r="DO13" s="42" t="s">
        <v>22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 t="s">
        <v>337</v>
      </c>
      <c r="AG14" s="100" t="s">
        <v>313</v>
      </c>
      <c r="AH14" s="105" t="s">
        <v>49</v>
      </c>
      <c r="AI14" s="105"/>
      <c r="AJ14" s="42" t="s">
        <v>22</v>
      </c>
      <c r="AK14" s="42" t="s">
        <v>22</v>
      </c>
      <c r="AL14" s="42" t="s">
        <v>22</v>
      </c>
      <c r="AM14" s="42" t="s">
        <v>22</v>
      </c>
      <c r="AN14" s="42" t="s">
        <v>22</v>
      </c>
      <c r="AO14" s="42" t="s">
        <v>22</v>
      </c>
      <c r="AP14" s="105"/>
      <c r="AQ14" s="105"/>
      <c r="AR14" s="42" t="s">
        <v>22</v>
      </c>
      <c r="AS14" s="105"/>
      <c r="AT14" s="105"/>
      <c r="AU14" s="105"/>
      <c r="AV14" s="105"/>
      <c r="AW14" s="105"/>
      <c r="AX14" s="105"/>
      <c r="AY14" s="105"/>
      <c r="AZ14" s="42" t="s">
        <v>22</v>
      </c>
      <c r="BA14" s="42" t="s">
        <v>269</v>
      </c>
      <c r="BB14" s="42" t="s">
        <v>22</v>
      </c>
      <c r="BC14" s="100"/>
      <c r="BD14" s="100"/>
      <c r="BE14" s="118"/>
      <c r="BF14" s="120" t="s">
        <v>328</v>
      </c>
      <c r="BH14" s="19">
        <v>5</v>
      </c>
      <c r="BI14" s="98"/>
      <c r="BJ14" s="100"/>
      <c r="BK14" s="105"/>
      <c r="BL14" s="105"/>
      <c r="BM14" s="42" t="s">
        <v>22</v>
      </c>
      <c r="BN14" s="42" t="s">
        <v>22</v>
      </c>
      <c r="BO14" s="42" t="s">
        <v>22</v>
      </c>
      <c r="BP14" s="42" t="s">
        <v>22</v>
      </c>
      <c r="BQ14" s="42" t="s">
        <v>22</v>
      </c>
      <c r="BR14" s="105"/>
      <c r="BS14" s="105"/>
      <c r="BT14" s="105"/>
      <c r="BU14" s="42" t="s">
        <v>22</v>
      </c>
      <c r="BV14" s="42" t="s">
        <v>22</v>
      </c>
      <c r="BW14" s="42" t="s">
        <v>22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22</v>
      </c>
      <c r="CU14" s="42" t="s">
        <v>22</v>
      </c>
      <c r="CV14" s="42" t="s">
        <v>22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22</v>
      </c>
      <c r="DN14" s="42" t="s">
        <v>22</v>
      </c>
      <c r="DO14" s="42" t="s">
        <v>22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 t="s">
        <v>338</v>
      </c>
      <c r="AG15" s="100" t="s">
        <v>314</v>
      </c>
      <c r="AH15" s="105" t="s">
        <v>49</v>
      </c>
      <c r="AI15" s="105"/>
      <c r="AJ15" s="42" t="s">
        <v>22</v>
      </c>
      <c r="AK15" s="42" t="s">
        <v>22</v>
      </c>
      <c r="AL15" s="42" t="s">
        <v>22</v>
      </c>
      <c r="AM15" s="42" t="s">
        <v>22</v>
      </c>
      <c r="AN15" s="42" t="s">
        <v>22</v>
      </c>
      <c r="AO15" s="42" t="s">
        <v>22</v>
      </c>
      <c r="AP15" s="105"/>
      <c r="AQ15" s="105"/>
      <c r="AR15" s="42" t="s">
        <v>22</v>
      </c>
      <c r="AS15" s="105"/>
      <c r="AT15" s="105"/>
      <c r="AU15" s="105"/>
      <c r="AV15" s="105"/>
      <c r="AW15" s="105"/>
      <c r="AX15" s="105"/>
      <c r="AY15" s="105"/>
      <c r="AZ15" s="42" t="s">
        <v>22</v>
      </c>
      <c r="BA15" s="42" t="s">
        <v>269</v>
      </c>
      <c r="BB15" s="42" t="s">
        <v>22</v>
      </c>
      <c r="BC15" s="100"/>
      <c r="BD15" s="100"/>
      <c r="BE15" s="118"/>
      <c r="BF15" s="120" t="s">
        <v>329</v>
      </c>
      <c r="BH15" s="19">
        <v>6</v>
      </c>
      <c r="BI15" s="96"/>
      <c r="BJ15" s="100"/>
      <c r="BK15" s="105"/>
      <c r="BL15" s="105"/>
      <c r="BM15" s="42" t="s">
        <v>22</v>
      </c>
      <c r="BN15" s="42" t="s">
        <v>22</v>
      </c>
      <c r="BO15" s="42" t="s">
        <v>22</v>
      </c>
      <c r="BP15" s="42" t="s">
        <v>22</v>
      </c>
      <c r="BQ15" s="42" t="s">
        <v>22</v>
      </c>
      <c r="BR15" s="105"/>
      <c r="BS15" s="105"/>
      <c r="BT15" s="105"/>
      <c r="BU15" s="42" t="s">
        <v>22</v>
      </c>
      <c r="BV15" s="42" t="s">
        <v>22</v>
      </c>
      <c r="BW15" s="42" t="s">
        <v>22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22</v>
      </c>
      <c r="CU15" s="42" t="s">
        <v>22</v>
      </c>
      <c r="CV15" s="42" t="s">
        <v>22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22</v>
      </c>
      <c r="DN15" s="42" t="s">
        <v>22</v>
      </c>
      <c r="DO15" s="42" t="s">
        <v>22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 t="s">
        <v>339</v>
      </c>
      <c r="AG16" s="100" t="s">
        <v>315</v>
      </c>
      <c r="AH16" s="105" t="s">
        <v>49</v>
      </c>
      <c r="AI16" s="105"/>
      <c r="AJ16" s="42" t="s">
        <v>22</v>
      </c>
      <c r="AK16" s="42" t="s">
        <v>22</v>
      </c>
      <c r="AL16" s="42" t="s">
        <v>22</v>
      </c>
      <c r="AM16" s="42" t="s">
        <v>22</v>
      </c>
      <c r="AN16" s="42" t="s">
        <v>22</v>
      </c>
      <c r="AO16" s="42" t="s">
        <v>22</v>
      </c>
      <c r="AP16" s="105"/>
      <c r="AQ16" s="105"/>
      <c r="AR16" s="42" t="s">
        <v>22</v>
      </c>
      <c r="AS16" s="105"/>
      <c r="AT16" s="105"/>
      <c r="AU16" s="105"/>
      <c r="AV16" s="105"/>
      <c r="AW16" s="105"/>
      <c r="AX16" s="105"/>
      <c r="AY16" s="105"/>
      <c r="AZ16" s="42" t="s">
        <v>22</v>
      </c>
      <c r="BA16" s="42" t="s">
        <v>269</v>
      </c>
      <c r="BB16" s="42" t="s">
        <v>22</v>
      </c>
      <c r="BC16" s="100"/>
      <c r="BD16" s="100"/>
      <c r="BE16" s="118"/>
      <c r="BF16" s="120" t="s">
        <v>330</v>
      </c>
      <c r="BH16" s="19">
        <v>7</v>
      </c>
      <c r="BI16" s="96"/>
      <c r="BJ16" s="100"/>
      <c r="BK16" s="105"/>
      <c r="BL16" s="105"/>
      <c r="BM16" s="42" t="s">
        <v>22</v>
      </c>
      <c r="BN16" s="42" t="s">
        <v>22</v>
      </c>
      <c r="BO16" s="42" t="s">
        <v>22</v>
      </c>
      <c r="BP16" s="42" t="s">
        <v>22</v>
      </c>
      <c r="BQ16" s="42" t="s">
        <v>22</v>
      </c>
      <c r="BR16" s="105"/>
      <c r="BS16" s="105"/>
      <c r="BT16" s="105"/>
      <c r="BU16" s="42" t="s">
        <v>22</v>
      </c>
      <c r="BV16" s="42" t="s">
        <v>22</v>
      </c>
      <c r="BW16" s="42" t="s">
        <v>22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22</v>
      </c>
      <c r="CK16" s="42" t="s">
        <v>22</v>
      </c>
      <c r="CL16" s="42" t="s">
        <v>22</v>
      </c>
      <c r="CM16" s="42" t="s">
        <v>22</v>
      </c>
      <c r="CN16" s="42" t="s">
        <v>22</v>
      </c>
      <c r="CO16" s="42" t="s">
        <v>22</v>
      </c>
      <c r="CP16" s="42" t="s">
        <v>22</v>
      </c>
      <c r="CQ16" s="105"/>
      <c r="CR16" s="105"/>
      <c r="CS16" s="105"/>
      <c r="CT16" s="42" t="s">
        <v>22</v>
      </c>
      <c r="CU16" s="42" t="s">
        <v>22</v>
      </c>
      <c r="CV16" s="42" t="s">
        <v>22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22</v>
      </c>
      <c r="DN16" s="42" t="s">
        <v>22</v>
      </c>
      <c r="DO16" s="42" t="s">
        <v>22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 t="s">
        <v>340</v>
      </c>
      <c r="AG17" s="100" t="s">
        <v>316</v>
      </c>
      <c r="AH17" s="105" t="s">
        <v>49</v>
      </c>
      <c r="AI17" s="105"/>
      <c r="AJ17" s="42" t="s">
        <v>22</v>
      </c>
      <c r="AK17" s="42" t="s">
        <v>22</v>
      </c>
      <c r="AL17" s="42" t="s">
        <v>22</v>
      </c>
      <c r="AM17" s="42" t="s">
        <v>22</v>
      </c>
      <c r="AN17" s="42"/>
      <c r="AO17" s="42" t="s">
        <v>22</v>
      </c>
      <c r="AP17" s="105"/>
      <c r="AQ17" s="105"/>
      <c r="AR17" s="42" t="s">
        <v>22</v>
      </c>
      <c r="AS17" s="105"/>
      <c r="AT17" s="105"/>
      <c r="AU17" s="105"/>
      <c r="AV17" s="105"/>
      <c r="AW17" s="105"/>
      <c r="AX17" s="105"/>
      <c r="AY17" s="105"/>
      <c r="AZ17" s="42" t="s">
        <v>22</v>
      </c>
      <c r="BA17" s="42" t="s">
        <v>269</v>
      </c>
      <c r="BB17" s="42" t="s">
        <v>22</v>
      </c>
      <c r="BC17" s="100" t="s">
        <v>347</v>
      </c>
      <c r="BD17" s="100"/>
      <c r="BE17" s="118"/>
      <c r="BF17" s="120" t="s">
        <v>331</v>
      </c>
      <c r="BH17" s="19">
        <v>8</v>
      </c>
      <c r="BI17" s="96"/>
      <c r="BJ17" s="100"/>
      <c r="BK17" s="105"/>
      <c r="BL17" s="105"/>
      <c r="BM17" s="42" t="s">
        <v>22</v>
      </c>
      <c r="BN17" s="42" t="s">
        <v>22</v>
      </c>
      <c r="BO17" s="42" t="s">
        <v>22</v>
      </c>
      <c r="BP17" s="42" t="s">
        <v>22</v>
      </c>
      <c r="BQ17" s="42" t="s">
        <v>22</v>
      </c>
      <c r="BR17" s="105"/>
      <c r="BS17" s="105"/>
      <c r="BT17" s="105"/>
      <c r="BU17" s="42" t="s">
        <v>22</v>
      </c>
      <c r="BV17" s="42" t="s">
        <v>22</v>
      </c>
      <c r="BW17" s="42" t="s">
        <v>22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22</v>
      </c>
      <c r="CK17" s="42" t="s">
        <v>22</v>
      </c>
      <c r="CL17" s="42" t="s">
        <v>22</v>
      </c>
      <c r="CM17" s="42" t="s">
        <v>22</v>
      </c>
      <c r="CN17" s="42" t="s">
        <v>22</v>
      </c>
      <c r="CO17" s="42" t="s">
        <v>22</v>
      </c>
      <c r="CP17" s="42" t="s">
        <v>22</v>
      </c>
      <c r="CQ17" s="105"/>
      <c r="CR17" s="105"/>
      <c r="CS17" s="105"/>
      <c r="CT17" s="42" t="s">
        <v>22</v>
      </c>
      <c r="CU17" s="42" t="s">
        <v>22</v>
      </c>
      <c r="CV17" s="42" t="s">
        <v>22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22</v>
      </c>
      <c r="DH17" s="42" t="s">
        <v>22</v>
      </c>
      <c r="DI17" s="42" t="s">
        <v>22</v>
      </c>
      <c r="DJ17" s="42" t="s">
        <v>22</v>
      </c>
      <c r="DK17" s="42" t="s">
        <v>22</v>
      </c>
      <c r="DL17" s="105"/>
      <c r="DM17" s="42" t="s">
        <v>22</v>
      </c>
      <c r="DN17" s="42" t="s">
        <v>22</v>
      </c>
      <c r="DO17" s="42" t="s">
        <v>22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22</v>
      </c>
      <c r="DZ17" s="42" t="s">
        <v>22</v>
      </c>
      <c r="EA17" s="42" t="s">
        <v>22</v>
      </c>
      <c r="EB17" s="42"/>
      <c r="EC17" s="42" t="s">
        <v>22</v>
      </c>
      <c r="ED17" s="105"/>
      <c r="EE17" s="105"/>
      <c r="EF17" s="105"/>
      <c r="EG17" s="105"/>
      <c r="EH17" s="42" t="s">
        <v>22</v>
      </c>
      <c r="EI17" s="42" t="s">
        <v>22</v>
      </c>
      <c r="EJ17" s="42" t="s">
        <v>22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 t="s">
        <v>341</v>
      </c>
      <c r="AG18" s="100" t="s">
        <v>319</v>
      </c>
      <c r="AH18" s="105" t="s">
        <v>49</v>
      </c>
      <c r="AI18" s="105"/>
      <c r="AJ18" s="42" t="s">
        <v>22</v>
      </c>
      <c r="AK18" s="42" t="s">
        <v>22</v>
      </c>
      <c r="AL18" s="42" t="s">
        <v>22</v>
      </c>
      <c r="AM18" s="42" t="s">
        <v>22</v>
      </c>
      <c r="AN18" s="42" t="s">
        <v>22</v>
      </c>
      <c r="AO18" s="42" t="s">
        <v>22</v>
      </c>
      <c r="AP18" s="105"/>
      <c r="AQ18" s="105"/>
      <c r="AR18" s="42" t="s">
        <v>22</v>
      </c>
      <c r="AS18" s="105"/>
      <c r="AT18" s="105"/>
      <c r="AU18" s="105"/>
      <c r="AV18" s="105"/>
      <c r="AW18" s="105"/>
      <c r="AX18" s="105"/>
      <c r="AY18" s="105"/>
      <c r="AZ18" s="42" t="s">
        <v>22</v>
      </c>
      <c r="BA18" s="42" t="s">
        <v>269</v>
      </c>
      <c r="BB18" s="42" t="s">
        <v>22</v>
      </c>
      <c r="BC18" s="100"/>
      <c r="BD18" s="100"/>
      <c r="BE18" s="118"/>
      <c r="BF18" s="120" t="s">
        <v>332</v>
      </c>
      <c r="BH18" s="19">
        <v>9</v>
      </c>
      <c r="BI18" s="96"/>
      <c r="BJ18" s="100"/>
      <c r="BK18" s="105"/>
      <c r="BL18" s="105"/>
      <c r="BM18" s="42" t="s">
        <v>22</v>
      </c>
      <c r="BN18" s="42" t="s">
        <v>22</v>
      </c>
      <c r="BO18" s="42" t="s">
        <v>22</v>
      </c>
      <c r="BP18" s="42" t="s">
        <v>22</v>
      </c>
      <c r="BQ18" s="42" t="s">
        <v>22</v>
      </c>
      <c r="BR18" s="105"/>
      <c r="BS18" s="105"/>
      <c r="BT18" s="105"/>
      <c r="BU18" s="42" t="s">
        <v>22</v>
      </c>
      <c r="BV18" s="42" t="s">
        <v>22</v>
      </c>
      <c r="BW18" s="42" t="s">
        <v>22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22</v>
      </c>
      <c r="CK18" s="42" t="s">
        <v>22</v>
      </c>
      <c r="CL18" s="42" t="s">
        <v>22</v>
      </c>
      <c r="CM18" s="42" t="s">
        <v>22</v>
      </c>
      <c r="CN18" s="42" t="s">
        <v>22</v>
      </c>
      <c r="CO18" s="42" t="s">
        <v>22</v>
      </c>
      <c r="CP18" s="42" t="s">
        <v>22</v>
      </c>
      <c r="CQ18" s="105"/>
      <c r="CR18" s="105"/>
      <c r="CS18" s="105"/>
      <c r="CT18" s="42" t="s">
        <v>22</v>
      </c>
      <c r="CU18" s="42" t="s">
        <v>22</v>
      </c>
      <c r="CV18" s="42" t="s">
        <v>22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22</v>
      </c>
      <c r="DH18" s="42" t="s">
        <v>22</v>
      </c>
      <c r="DI18" s="42" t="s">
        <v>22</v>
      </c>
      <c r="DJ18" s="42" t="s">
        <v>22</v>
      </c>
      <c r="DK18" s="42" t="s">
        <v>22</v>
      </c>
      <c r="DL18" s="105"/>
      <c r="DM18" s="42" t="s">
        <v>22</v>
      </c>
      <c r="DN18" s="42" t="s">
        <v>22</v>
      </c>
      <c r="DO18" s="42" t="s">
        <v>22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22</v>
      </c>
      <c r="DZ18" s="42" t="s">
        <v>22</v>
      </c>
      <c r="EA18" s="42" t="s">
        <v>22</v>
      </c>
      <c r="EB18" s="42"/>
      <c r="EC18" s="42" t="s">
        <v>22</v>
      </c>
      <c r="ED18" s="105"/>
      <c r="EE18" s="105"/>
      <c r="EF18" s="105"/>
      <c r="EG18" s="105"/>
      <c r="EH18" s="42" t="s">
        <v>22</v>
      </c>
      <c r="EI18" s="42" t="s">
        <v>22</v>
      </c>
      <c r="EJ18" s="42" t="s">
        <v>22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22</v>
      </c>
      <c r="J19" s="50" t="s">
        <v>22</v>
      </c>
      <c r="K19" s="50" t="s">
        <v>22</v>
      </c>
      <c r="L19" s="50" t="s">
        <v>22</v>
      </c>
      <c r="M19" s="50" t="s">
        <v>22</v>
      </c>
      <c r="N19" s="50" t="s">
        <v>22</v>
      </c>
      <c r="O19" s="107"/>
      <c r="P19" s="107"/>
      <c r="Q19" s="107"/>
      <c r="R19" s="107"/>
      <c r="S19" s="50" t="s">
        <v>22</v>
      </c>
      <c r="T19" s="50" t="s">
        <v>22</v>
      </c>
      <c r="U19" s="50" t="s">
        <v>22</v>
      </c>
      <c r="V19" s="50" t="s">
        <v>22</v>
      </c>
      <c r="W19" s="50" t="s">
        <v>22</v>
      </c>
      <c r="X19" s="50" t="s">
        <v>22</v>
      </c>
      <c r="Y19" s="50" t="s">
        <v>22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22</v>
      </c>
      <c r="AK19" s="50" t="s">
        <v>22</v>
      </c>
      <c r="AL19" s="50" t="s">
        <v>22</v>
      </c>
      <c r="AM19" s="50" t="s">
        <v>22</v>
      </c>
      <c r="AN19" s="50" t="s">
        <v>22</v>
      </c>
      <c r="AO19" s="50" t="s">
        <v>22</v>
      </c>
      <c r="AP19" s="107"/>
      <c r="AQ19" s="107"/>
      <c r="AR19" s="50" t="s">
        <v>22</v>
      </c>
      <c r="AS19" s="107"/>
      <c r="AT19" s="107"/>
      <c r="AU19" s="107"/>
      <c r="AV19" s="107"/>
      <c r="AW19" s="107"/>
      <c r="AX19" s="107"/>
      <c r="AY19" s="107"/>
      <c r="AZ19" s="50" t="s">
        <v>22</v>
      </c>
      <c r="BA19" s="50"/>
      <c r="BB19" s="50" t="s">
        <v>22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22</v>
      </c>
      <c r="BN19" s="50" t="s">
        <v>22</v>
      </c>
      <c r="BO19" s="50" t="s">
        <v>22</v>
      </c>
      <c r="BP19" s="50" t="s">
        <v>22</v>
      </c>
      <c r="BQ19" s="50" t="s">
        <v>22</v>
      </c>
      <c r="BR19" s="107"/>
      <c r="BS19" s="107"/>
      <c r="BT19" s="107"/>
      <c r="BU19" s="50" t="s">
        <v>22</v>
      </c>
      <c r="BV19" s="50" t="s">
        <v>22</v>
      </c>
      <c r="BW19" s="50" t="s">
        <v>22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22</v>
      </c>
      <c r="CK19" s="50" t="s">
        <v>22</v>
      </c>
      <c r="CL19" s="50" t="s">
        <v>22</v>
      </c>
      <c r="CM19" s="50" t="s">
        <v>22</v>
      </c>
      <c r="CN19" s="50" t="s">
        <v>22</v>
      </c>
      <c r="CO19" s="50" t="s">
        <v>22</v>
      </c>
      <c r="CP19" s="50" t="s">
        <v>22</v>
      </c>
      <c r="CQ19" s="107"/>
      <c r="CR19" s="107"/>
      <c r="CS19" s="107"/>
      <c r="CT19" s="50" t="s">
        <v>22</v>
      </c>
      <c r="CU19" s="50" t="s">
        <v>22</v>
      </c>
      <c r="CV19" s="50" t="s">
        <v>22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22</v>
      </c>
      <c r="DH19" s="50" t="s">
        <v>22</v>
      </c>
      <c r="DI19" s="50" t="s">
        <v>22</v>
      </c>
      <c r="DJ19" s="50" t="s">
        <v>22</v>
      </c>
      <c r="DK19" s="50" t="s">
        <v>22</v>
      </c>
      <c r="DL19" s="107"/>
      <c r="DM19" s="50" t="s">
        <v>22</v>
      </c>
      <c r="DN19" s="50" t="s">
        <v>22</v>
      </c>
      <c r="DO19" s="50" t="s">
        <v>22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22</v>
      </c>
      <c r="DZ19" s="50" t="s">
        <v>22</v>
      </c>
      <c r="EA19" s="50" t="s">
        <v>22</v>
      </c>
      <c r="EB19" s="50"/>
      <c r="EC19" s="50" t="s">
        <v>22</v>
      </c>
      <c r="ED19" s="107"/>
      <c r="EE19" s="107"/>
      <c r="EF19" s="107"/>
      <c r="EG19" s="107"/>
      <c r="EH19" s="50" t="s">
        <v>22</v>
      </c>
      <c r="EI19" s="50" t="s">
        <v>22</v>
      </c>
      <c r="EJ19" s="50" t="s">
        <v>22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S10:Y19 CJ10:CP19 BM10:BQ19 DG10:DK19 CT10:CV19 DY10:EC19 DM10:DO19 EH10:EJ19 EU10:EV10 ES10 FQ10:FV10 FF10:FG10 GO10:GU10 GB10:GD10 HM10:HQ10 GZ10:HB10 II10:IM10 HV10:HZ10 JE10:JI10 IR10:IV10 KA10:KE10 JN10:JR10 KR10:KT10 AZ10:BB19 BU10:BW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F10:F19 AH10:AH19 CF10:CF19 DE10:DE19 DX10:DX19 FC10 EQ10 FN10 GK10 HI10:HJ10 IG10 JC10 JY10 BK10:BK19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23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13</v>
      </c>
      <c r="D9" s="23" t="s">
        <v>21</v>
      </c>
      <c r="E9" s="23" t="s">
        <v>24</v>
      </c>
      <c r="F9" s="109" t="s">
        <v>25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22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22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22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22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22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22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22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22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22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22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298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295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284</v>
      </c>
      <c r="D9" s="23" t="s">
        <v>276</v>
      </c>
      <c r="E9" s="111" t="s">
        <v>12</v>
      </c>
      <c r="F9" s="43" t="s">
        <v>64</v>
      </c>
      <c r="G9" s="43" t="s">
        <v>285</v>
      </c>
      <c r="H9" s="43" t="s">
        <v>286</v>
      </c>
      <c r="I9" s="43" t="s">
        <v>287</v>
      </c>
      <c r="J9" s="43" t="s">
        <v>196</v>
      </c>
      <c r="K9" s="43" t="s">
        <v>288</v>
      </c>
      <c r="L9" s="43" t="s">
        <v>171</v>
      </c>
      <c r="M9" s="43" t="s">
        <v>289</v>
      </c>
      <c r="N9" s="43" t="s">
        <v>290</v>
      </c>
      <c r="O9" s="43" t="s">
        <v>291</v>
      </c>
      <c r="P9" s="43" t="s">
        <v>292</v>
      </c>
      <c r="Q9" s="43" t="s">
        <v>293</v>
      </c>
      <c r="R9" s="45" t="s">
        <v>294</v>
      </c>
      <c r="S9"/>
      <c r="T9" s="22" t="s">
        <v>284</v>
      </c>
      <c r="U9" s="23" t="s">
        <v>276</v>
      </c>
      <c r="V9" s="111" t="s">
        <v>12</v>
      </c>
      <c r="W9" s="43" t="s">
        <v>64</v>
      </c>
      <c r="X9" s="43" t="s">
        <v>285</v>
      </c>
      <c r="Y9" s="43" t="s">
        <v>286</v>
      </c>
      <c r="Z9" s="43" t="s">
        <v>287</v>
      </c>
      <c r="AA9" s="43" t="s">
        <v>196</v>
      </c>
      <c r="AB9" s="43" t="s">
        <v>288</v>
      </c>
      <c r="AC9" s="43" t="s">
        <v>171</v>
      </c>
      <c r="AD9" s="43" t="s">
        <v>289</v>
      </c>
      <c r="AE9" s="43" t="s">
        <v>290</v>
      </c>
      <c r="AF9" s="43" t="s">
        <v>291</v>
      </c>
      <c r="AG9" s="43" t="s">
        <v>292</v>
      </c>
      <c r="AH9" s="43" t="s">
        <v>293</v>
      </c>
      <c r="AI9" s="45" t="s">
        <v>294</v>
      </c>
      <c r="AJ9"/>
      <c r="AK9" s="22" t="s">
        <v>284</v>
      </c>
      <c r="AL9" s="23" t="s">
        <v>276</v>
      </c>
      <c r="AM9" s="111" t="s">
        <v>12</v>
      </c>
      <c r="AN9" s="43" t="s">
        <v>64</v>
      </c>
      <c r="AO9" s="43" t="s">
        <v>285</v>
      </c>
      <c r="AP9" s="43" t="s">
        <v>286</v>
      </c>
      <c r="AQ9" s="43" t="s">
        <v>287</v>
      </c>
      <c r="AR9" s="43" t="s">
        <v>196</v>
      </c>
      <c r="AS9" s="43" t="s">
        <v>288</v>
      </c>
      <c r="AT9" s="43" t="s">
        <v>171</v>
      </c>
      <c r="AU9" s="43" t="s">
        <v>289</v>
      </c>
      <c r="AV9" s="43" t="s">
        <v>290</v>
      </c>
      <c r="AW9" s="43" t="s">
        <v>291</v>
      </c>
      <c r="AX9" s="43" t="s">
        <v>292</v>
      </c>
      <c r="AY9" s="43" t="s">
        <v>293</v>
      </c>
      <c r="AZ9" s="45" t="s">
        <v>294</v>
      </c>
    </row>
    <row r="10" spans="1:52" ht="20.100000000000001" customHeight="1" x14ac:dyDescent="0.45">
      <c r="A10" s="5"/>
      <c r="B10" s="5"/>
      <c r="C10" s="19">
        <v>1</v>
      </c>
      <c r="D10" s="105" t="s">
        <v>22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348</v>
      </c>
      <c r="V10" s="146" t="s">
        <v>349</v>
      </c>
      <c r="X10" s="42"/>
      <c r="Y10" s="42" t="s">
        <v>354</v>
      </c>
      <c r="Z10" s="42" t="s">
        <v>269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22</v>
      </c>
      <c r="AM10" s="134"/>
      <c r="AO10" s="42" t="s">
        <v>269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22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350</v>
      </c>
      <c r="V11" s="146" t="s">
        <v>351</v>
      </c>
      <c r="W11" s="42"/>
      <c r="X11" s="42"/>
      <c r="Y11" s="42" t="s">
        <v>269</v>
      </c>
      <c r="Z11" s="42" t="s">
        <v>269</v>
      </c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22</v>
      </c>
      <c r="AM11" s="134"/>
      <c r="AN11" s="42"/>
      <c r="AO11" s="42" t="s">
        <v>269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22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352</v>
      </c>
      <c r="V12" s="146" t="s">
        <v>353</v>
      </c>
      <c r="W12" s="42"/>
      <c r="X12" s="42"/>
      <c r="Y12" s="42" t="s">
        <v>269</v>
      </c>
      <c r="Z12" s="42" t="s">
        <v>269</v>
      </c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22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22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22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22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22</v>
      </c>
      <c r="E14" s="134"/>
      <c r="F14" s="42" t="s">
        <v>22</v>
      </c>
      <c r="G14" s="42" t="s">
        <v>22</v>
      </c>
      <c r="H14" s="42" t="s">
        <v>22</v>
      </c>
      <c r="I14" s="42" t="s">
        <v>22</v>
      </c>
      <c r="J14" s="42" t="s">
        <v>22</v>
      </c>
      <c r="K14" s="42" t="s">
        <v>22</v>
      </c>
      <c r="L14" s="42" t="s">
        <v>22</v>
      </c>
      <c r="M14" s="42" t="s">
        <v>22</v>
      </c>
      <c r="N14" s="42" t="s">
        <v>22</v>
      </c>
      <c r="O14" s="42" t="s">
        <v>22</v>
      </c>
      <c r="P14" s="42" t="s">
        <v>22</v>
      </c>
      <c r="Q14" s="42" t="s">
        <v>22</v>
      </c>
      <c r="R14" s="46" t="s">
        <v>22</v>
      </c>
      <c r="T14" s="19">
        <v>5</v>
      </c>
      <c r="U14" s="105" t="s">
        <v>22</v>
      </c>
      <c r="V14" s="134"/>
      <c r="W14" s="42" t="s">
        <v>22</v>
      </c>
      <c r="X14" s="42" t="s">
        <v>22</v>
      </c>
      <c r="Y14" s="42" t="s">
        <v>22</v>
      </c>
      <c r="Z14" s="42" t="s">
        <v>22</v>
      </c>
      <c r="AA14" s="42" t="s">
        <v>22</v>
      </c>
      <c r="AB14" s="42" t="s">
        <v>22</v>
      </c>
      <c r="AC14" s="42" t="s">
        <v>22</v>
      </c>
      <c r="AD14" s="42" t="s">
        <v>22</v>
      </c>
      <c r="AE14" s="42" t="s">
        <v>22</v>
      </c>
      <c r="AF14" s="42" t="s">
        <v>22</v>
      </c>
      <c r="AG14" s="42" t="s">
        <v>22</v>
      </c>
      <c r="AH14" s="42" t="s">
        <v>22</v>
      </c>
      <c r="AI14" s="46" t="s">
        <v>22</v>
      </c>
      <c r="AK14" s="19">
        <v>5</v>
      </c>
      <c r="AL14" s="105" t="s">
        <v>22</v>
      </c>
      <c r="AM14" s="134"/>
      <c r="AN14" s="42" t="s">
        <v>22</v>
      </c>
      <c r="AO14" s="42" t="s">
        <v>22</v>
      </c>
      <c r="AP14" s="42" t="s">
        <v>22</v>
      </c>
      <c r="AQ14" s="42" t="s">
        <v>22</v>
      </c>
      <c r="AR14" s="42" t="s">
        <v>22</v>
      </c>
      <c r="AS14" s="42" t="s">
        <v>22</v>
      </c>
      <c r="AT14" s="42" t="s">
        <v>22</v>
      </c>
      <c r="AU14" s="42" t="s">
        <v>22</v>
      </c>
      <c r="AV14" s="42" t="s">
        <v>22</v>
      </c>
      <c r="AW14" s="42" t="s">
        <v>22</v>
      </c>
      <c r="AX14" s="42" t="s">
        <v>22</v>
      </c>
      <c r="AY14" s="42" t="s">
        <v>22</v>
      </c>
      <c r="AZ14" s="46" t="s">
        <v>22</v>
      </c>
    </row>
    <row r="15" spans="1:52" ht="20.100000000000001" customHeight="1" x14ac:dyDescent="0.45">
      <c r="A15" s="5"/>
      <c r="B15" s="5"/>
      <c r="C15" s="19">
        <v>6</v>
      </c>
      <c r="D15" s="105" t="s">
        <v>22</v>
      </c>
      <c r="E15" s="134"/>
      <c r="F15" s="42" t="s">
        <v>22</v>
      </c>
      <c r="G15" s="42" t="s">
        <v>22</v>
      </c>
      <c r="H15" s="42" t="s">
        <v>22</v>
      </c>
      <c r="I15" s="42" t="s">
        <v>22</v>
      </c>
      <c r="J15" s="42" t="s">
        <v>22</v>
      </c>
      <c r="K15" s="42" t="s">
        <v>22</v>
      </c>
      <c r="L15" s="42" t="s">
        <v>22</v>
      </c>
      <c r="M15" s="42" t="s">
        <v>22</v>
      </c>
      <c r="N15" s="42" t="s">
        <v>22</v>
      </c>
      <c r="O15" s="42" t="s">
        <v>22</v>
      </c>
      <c r="P15" s="42" t="s">
        <v>22</v>
      </c>
      <c r="Q15" s="42" t="s">
        <v>22</v>
      </c>
      <c r="R15" s="46" t="s">
        <v>22</v>
      </c>
      <c r="T15" s="19">
        <v>6</v>
      </c>
      <c r="U15" s="105" t="s">
        <v>22</v>
      </c>
      <c r="V15" s="134"/>
      <c r="W15" s="42" t="s">
        <v>22</v>
      </c>
      <c r="X15" s="42" t="s">
        <v>22</v>
      </c>
      <c r="Y15" s="42" t="s">
        <v>22</v>
      </c>
      <c r="Z15" s="42" t="s">
        <v>22</v>
      </c>
      <c r="AA15" s="42" t="s">
        <v>22</v>
      </c>
      <c r="AB15" s="42" t="s">
        <v>22</v>
      </c>
      <c r="AC15" s="42" t="s">
        <v>22</v>
      </c>
      <c r="AD15" s="42" t="s">
        <v>22</v>
      </c>
      <c r="AE15" s="42" t="s">
        <v>22</v>
      </c>
      <c r="AF15" s="42" t="s">
        <v>22</v>
      </c>
      <c r="AG15" s="42" t="s">
        <v>22</v>
      </c>
      <c r="AH15" s="42" t="s">
        <v>22</v>
      </c>
      <c r="AI15" s="46" t="s">
        <v>22</v>
      </c>
      <c r="AK15" s="19">
        <v>6</v>
      </c>
      <c r="AL15" s="105" t="s">
        <v>22</v>
      </c>
      <c r="AM15" s="134"/>
      <c r="AN15" s="42" t="s">
        <v>22</v>
      </c>
      <c r="AO15" s="42" t="s">
        <v>22</v>
      </c>
      <c r="AP15" s="42" t="s">
        <v>22</v>
      </c>
      <c r="AQ15" s="42" t="s">
        <v>22</v>
      </c>
      <c r="AR15" s="42" t="s">
        <v>22</v>
      </c>
      <c r="AS15" s="42" t="s">
        <v>22</v>
      </c>
      <c r="AT15" s="42" t="s">
        <v>22</v>
      </c>
      <c r="AU15" s="42" t="s">
        <v>22</v>
      </c>
      <c r="AV15" s="42" t="s">
        <v>22</v>
      </c>
      <c r="AW15" s="42" t="s">
        <v>22</v>
      </c>
      <c r="AX15" s="42" t="s">
        <v>22</v>
      </c>
      <c r="AY15" s="42" t="s">
        <v>22</v>
      </c>
      <c r="AZ15" s="46" t="s">
        <v>22</v>
      </c>
    </row>
    <row r="16" spans="1:52" ht="20.100000000000001" customHeight="1" x14ac:dyDescent="0.45">
      <c r="A16" s="5"/>
      <c r="B16" s="5"/>
      <c r="C16" s="19">
        <v>7</v>
      </c>
      <c r="D16" s="105" t="s">
        <v>22</v>
      </c>
      <c r="E16" s="134"/>
      <c r="F16" s="42" t="s">
        <v>22</v>
      </c>
      <c r="G16" s="42" t="s">
        <v>22</v>
      </c>
      <c r="H16" s="42" t="s">
        <v>22</v>
      </c>
      <c r="I16" s="42" t="s">
        <v>22</v>
      </c>
      <c r="J16" s="42" t="s">
        <v>22</v>
      </c>
      <c r="K16" s="42" t="s">
        <v>22</v>
      </c>
      <c r="L16" s="42" t="s">
        <v>22</v>
      </c>
      <c r="M16" s="42" t="s">
        <v>22</v>
      </c>
      <c r="N16" s="42" t="s">
        <v>22</v>
      </c>
      <c r="O16" s="42" t="s">
        <v>22</v>
      </c>
      <c r="P16" s="42" t="s">
        <v>22</v>
      </c>
      <c r="Q16" s="42" t="s">
        <v>22</v>
      </c>
      <c r="R16" s="46" t="s">
        <v>22</v>
      </c>
      <c r="T16" s="19">
        <v>7</v>
      </c>
      <c r="U16" s="105" t="s">
        <v>22</v>
      </c>
      <c r="V16" s="134"/>
      <c r="W16" s="42" t="s">
        <v>22</v>
      </c>
      <c r="X16" s="42" t="s">
        <v>22</v>
      </c>
      <c r="Y16" s="42" t="s">
        <v>22</v>
      </c>
      <c r="Z16" s="42" t="s">
        <v>22</v>
      </c>
      <c r="AA16" s="42" t="s">
        <v>22</v>
      </c>
      <c r="AB16" s="42" t="s">
        <v>22</v>
      </c>
      <c r="AC16" s="42" t="s">
        <v>22</v>
      </c>
      <c r="AD16" s="42" t="s">
        <v>22</v>
      </c>
      <c r="AE16" s="42" t="s">
        <v>22</v>
      </c>
      <c r="AF16" s="42" t="s">
        <v>22</v>
      </c>
      <c r="AG16" s="42" t="s">
        <v>22</v>
      </c>
      <c r="AH16" s="42" t="s">
        <v>22</v>
      </c>
      <c r="AI16" s="46" t="s">
        <v>22</v>
      </c>
      <c r="AK16" s="19">
        <v>7</v>
      </c>
      <c r="AL16" s="105" t="s">
        <v>22</v>
      </c>
      <c r="AM16" s="134"/>
      <c r="AN16" s="42" t="s">
        <v>22</v>
      </c>
      <c r="AO16" s="42" t="s">
        <v>22</v>
      </c>
      <c r="AP16" s="42" t="s">
        <v>22</v>
      </c>
      <c r="AQ16" s="42" t="s">
        <v>22</v>
      </c>
      <c r="AR16" s="42" t="s">
        <v>22</v>
      </c>
      <c r="AS16" s="42" t="s">
        <v>22</v>
      </c>
      <c r="AT16" s="42" t="s">
        <v>22</v>
      </c>
      <c r="AU16" s="42" t="s">
        <v>22</v>
      </c>
      <c r="AV16" s="42" t="s">
        <v>22</v>
      </c>
      <c r="AW16" s="42" t="s">
        <v>22</v>
      </c>
      <c r="AX16" s="42" t="s">
        <v>22</v>
      </c>
      <c r="AY16" s="42" t="s">
        <v>22</v>
      </c>
      <c r="AZ16" s="46" t="s">
        <v>22</v>
      </c>
    </row>
    <row r="17" spans="1:52" ht="20.100000000000001" customHeight="1" x14ac:dyDescent="0.45">
      <c r="A17" s="5"/>
      <c r="B17" s="40"/>
      <c r="C17" s="19">
        <v>8</v>
      </c>
      <c r="D17" s="105" t="s">
        <v>22</v>
      </c>
      <c r="E17" s="134"/>
      <c r="F17" s="42" t="s">
        <v>22</v>
      </c>
      <c r="G17" s="42" t="s">
        <v>22</v>
      </c>
      <c r="H17" s="42" t="s">
        <v>22</v>
      </c>
      <c r="I17" s="42" t="s">
        <v>22</v>
      </c>
      <c r="J17" s="42" t="s">
        <v>22</v>
      </c>
      <c r="K17" s="42" t="s">
        <v>22</v>
      </c>
      <c r="L17" s="42" t="s">
        <v>22</v>
      </c>
      <c r="M17" s="42" t="s">
        <v>22</v>
      </c>
      <c r="N17" s="42" t="s">
        <v>22</v>
      </c>
      <c r="O17" s="42" t="s">
        <v>22</v>
      </c>
      <c r="P17" s="42" t="s">
        <v>22</v>
      </c>
      <c r="Q17" s="42" t="s">
        <v>22</v>
      </c>
      <c r="R17" s="46" t="s">
        <v>22</v>
      </c>
      <c r="T17" s="19">
        <v>8</v>
      </c>
      <c r="U17" s="105" t="s">
        <v>22</v>
      </c>
      <c r="V17" s="134"/>
      <c r="W17" s="42" t="s">
        <v>22</v>
      </c>
      <c r="X17" s="42" t="s">
        <v>22</v>
      </c>
      <c r="Y17" s="42" t="s">
        <v>22</v>
      </c>
      <c r="Z17" s="42" t="s">
        <v>22</v>
      </c>
      <c r="AA17" s="42" t="s">
        <v>22</v>
      </c>
      <c r="AB17" s="42" t="s">
        <v>22</v>
      </c>
      <c r="AC17" s="42" t="s">
        <v>22</v>
      </c>
      <c r="AD17" s="42" t="s">
        <v>22</v>
      </c>
      <c r="AE17" s="42" t="s">
        <v>22</v>
      </c>
      <c r="AF17" s="42" t="s">
        <v>22</v>
      </c>
      <c r="AG17" s="42" t="s">
        <v>22</v>
      </c>
      <c r="AH17" s="42" t="s">
        <v>22</v>
      </c>
      <c r="AI17" s="46" t="s">
        <v>22</v>
      </c>
      <c r="AK17" s="19">
        <v>8</v>
      </c>
      <c r="AL17" s="105" t="s">
        <v>22</v>
      </c>
      <c r="AM17" s="134"/>
      <c r="AN17" s="42" t="s">
        <v>22</v>
      </c>
      <c r="AO17" s="42" t="s">
        <v>22</v>
      </c>
      <c r="AP17" s="42" t="s">
        <v>22</v>
      </c>
      <c r="AQ17" s="42" t="s">
        <v>22</v>
      </c>
      <c r="AR17" s="42" t="s">
        <v>22</v>
      </c>
      <c r="AS17" s="42" t="s">
        <v>22</v>
      </c>
      <c r="AT17" s="42" t="s">
        <v>22</v>
      </c>
      <c r="AU17" s="42" t="s">
        <v>22</v>
      </c>
      <c r="AV17" s="42" t="s">
        <v>22</v>
      </c>
      <c r="AW17" s="42" t="s">
        <v>22</v>
      </c>
      <c r="AX17" s="42" t="s">
        <v>22</v>
      </c>
      <c r="AY17" s="42" t="s">
        <v>22</v>
      </c>
      <c r="AZ17" s="46" t="s">
        <v>22</v>
      </c>
    </row>
    <row r="18" spans="1:52" ht="20.100000000000001" customHeight="1" x14ac:dyDescent="0.45">
      <c r="B18" s="40"/>
      <c r="C18" s="19">
        <v>9</v>
      </c>
      <c r="D18" s="105" t="s">
        <v>22</v>
      </c>
      <c r="E18" s="134"/>
      <c r="F18" s="42" t="s">
        <v>22</v>
      </c>
      <c r="G18" s="42" t="s">
        <v>22</v>
      </c>
      <c r="H18" s="42" t="s">
        <v>22</v>
      </c>
      <c r="I18" s="42" t="s">
        <v>22</v>
      </c>
      <c r="J18" s="42" t="s">
        <v>22</v>
      </c>
      <c r="K18" s="42" t="s">
        <v>22</v>
      </c>
      <c r="L18" s="42" t="s">
        <v>22</v>
      </c>
      <c r="M18" s="42" t="s">
        <v>22</v>
      </c>
      <c r="N18" s="42" t="s">
        <v>22</v>
      </c>
      <c r="O18" s="42" t="s">
        <v>22</v>
      </c>
      <c r="P18" s="42" t="s">
        <v>22</v>
      </c>
      <c r="Q18" s="42" t="s">
        <v>22</v>
      </c>
      <c r="R18" s="46" t="s">
        <v>22</v>
      </c>
      <c r="T18" s="19">
        <v>9</v>
      </c>
      <c r="U18" s="105" t="s">
        <v>22</v>
      </c>
      <c r="V18" s="134"/>
      <c r="W18" s="42" t="s">
        <v>22</v>
      </c>
      <c r="X18" s="42" t="s">
        <v>22</v>
      </c>
      <c r="Y18" s="42" t="s">
        <v>22</v>
      </c>
      <c r="Z18" s="42" t="s">
        <v>22</v>
      </c>
      <c r="AA18" s="42" t="s">
        <v>22</v>
      </c>
      <c r="AB18" s="42" t="s">
        <v>22</v>
      </c>
      <c r="AC18" s="42" t="s">
        <v>22</v>
      </c>
      <c r="AD18" s="42" t="s">
        <v>22</v>
      </c>
      <c r="AE18" s="42" t="s">
        <v>22</v>
      </c>
      <c r="AF18" s="42" t="s">
        <v>22</v>
      </c>
      <c r="AG18" s="42" t="s">
        <v>22</v>
      </c>
      <c r="AH18" s="42" t="s">
        <v>22</v>
      </c>
      <c r="AI18" s="46" t="s">
        <v>22</v>
      </c>
      <c r="AK18" s="19">
        <v>9</v>
      </c>
      <c r="AL18" s="105" t="s">
        <v>22</v>
      </c>
      <c r="AM18" s="134"/>
      <c r="AN18" s="42" t="s">
        <v>22</v>
      </c>
      <c r="AO18" s="42" t="s">
        <v>22</v>
      </c>
      <c r="AP18" s="42" t="s">
        <v>22</v>
      </c>
      <c r="AQ18" s="42" t="s">
        <v>22</v>
      </c>
      <c r="AR18" s="42" t="s">
        <v>22</v>
      </c>
      <c r="AS18" s="42" t="s">
        <v>22</v>
      </c>
      <c r="AT18" s="42" t="s">
        <v>22</v>
      </c>
      <c r="AU18" s="42" t="s">
        <v>22</v>
      </c>
      <c r="AV18" s="42" t="s">
        <v>22</v>
      </c>
      <c r="AW18" s="42" t="s">
        <v>22</v>
      </c>
      <c r="AX18" s="42" t="s">
        <v>22</v>
      </c>
      <c r="AY18" s="42" t="s">
        <v>22</v>
      </c>
      <c r="AZ18" s="46" t="s">
        <v>22</v>
      </c>
    </row>
    <row r="19" spans="1:52" ht="20.100000000000001" customHeight="1" thickBot="1" x14ac:dyDescent="0.5">
      <c r="A19"/>
      <c r="B19" s="40"/>
      <c r="C19" s="27">
        <v>10</v>
      </c>
      <c r="D19" s="107" t="s">
        <v>22</v>
      </c>
      <c r="E19" s="117"/>
      <c r="F19" s="50" t="s">
        <v>22</v>
      </c>
      <c r="G19" s="50" t="s">
        <v>22</v>
      </c>
      <c r="H19" s="50" t="s">
        <v>22</v>
      </c>
      <c r="I19" s="50" t="s">
        <v>22</v>
      </c>
      <c r="J19" s="50" t="s">
        <v>22</v>
      </c>
      <c r="K19" s="50" t="s">
        <v>22</v>
      </c>
      <c r="L19" s="50" t="s">
        <v>22</v>
      </c>
      <c r="M19" s="50" t="s">
        <v>22</v>
      </c>
      <c r="N19" s="50" t="s">
        <v>22</v>
      </c>
      <c r="O19" s="50" t="s">
        <v>22</v>
      </c>
      <c r="P19" s="50" t="s">
        <v>22</v>
      </c>
      <c r="Q19" s="50" t="s">
        <v>22</v>
      </c>
      <c r="R19" s="47" t="s">
        <v>22</v>
      </c>
      <c r="T19" s="27">
        <v>10</v>
      </c>
      <c r="U19" s="107" t="s">
        <v>22</v>
      </c>
      <c r="V19" s="117"/>
      <c r="W19" s="50" t="s">
        <v>22</v>
      </c>
      <c r="X19" s="50" t="s">
        <v>22</v>
      </c>
      <c r="Y19" s="50" t="s">
        <v>22</v>
      </c>
      <c r="Z19" s="50" t="s">
        <v>22</v>
      </c>
      <c r="AA19" s="50" t="s">
        <v>22</v>
      </c>
      <c r="AB19" s="50" t="s">
        <v>22</v>
      </c>
      <c r="AC19" s="50" t="s">
        <v>22</v>
      </c>
      <c r="AD19" s="50" t="s">
        <v>22</v>
      </c>
      <c r="AE19" s="50" t="s">
        <v>22</v>
      </c>
      <c r="AF19" s="50" t="s">
        <v>22</v>
      </c>
      <c r="AG19" s="50" t="s">
        <v>22</v>
      </c>
      <c r="AH19" s="50" t="s">
        <v>22</v>
      </c>
      <c r="AI19" s="47" t="s">
        <v>22</v>
      </c>
      <c r="AK19" s="27">
        <v>10</v>
      </c>
      <c r="AL19" s="107" t="s">
        <v>22</v>
      </c>
      <c r="AM19" s="117"/>
      <c r="AN19" s="50" t="s">
        <v>22</v>
      </c>
      <c r="AO19" s="50" t="s">
        <v>22</v>
      </c>
      <c r="AP19" s="50" t="s">
        <v>22</v>
      </c>
      <c r="AQ19" s="50" t="s">
        <v>22</v>
      </c>
      <c r="AR19" s="50" t="s">
        <v>22</v>
      </c>
      <c r="AS19" s="50" t="s">
        <v>22</v>
      </c>
      <c r="AT19" s="50" t="s">
        <v>22</v>
      </c>
      <c r="AU19" s="50" t="s">
        <v>22</v>
      </c>
      <c r="AV19" s="50" t="s">
        <v>22</v>
      </c>
      <c r="AW19" s="50" t="s">
        <v>22</v>
      </c>
      <c r="AX19" s="50" t="s">
        <v>22</v>
      </c>
      <c r="AY19" s="50" t="s">
        <v>22</v>
      </c>
      <c r="AZ19" s="47" t="s">
        <v>22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299</v>
      </c>
    </row>
    <row r="3" spans="2:7" ht="18.600000000000001" thickTop="1" x14ac:dyDescent="0.45">
      <c r="B3" s="22" t="s">
        <v>300</v>
      </c>
      <c r="C3" s="136" t="s">
        <v>259</v>
      </c>
      <c r="D3" s="136" t="s">
        <v>276</v>
      </c>
      <c r="E3" s="137" t="s">
        <v>301</v>
      </c>
      <c r="F3" s="137" t="s">
        <v>25</v>
      </c>
      <c r="G3" s="138" t="s">
        <v>302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136</v>
      </c>
      <c r="C1" s="54" t="s">
        <v>137</v>
      </c>
    </row>
    <row r="2" spans="1:26" s="55" customFormat="1" ht="16.8" thickTop="1" x14ac:dyDescent="0.4">
      <c r="A2" s="181" t="s">
        <v>138</v>
      </c>
      <c r="B2" s="184" t="s">
        <v>139</v>
      </c>
      <c r="C2" s="56" t="s">
        <v>140</v>
      </c>
      <c r="D2" s="56" t="s">
        <v>141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2"/>
      <c r="B3" s="185"/>
      <c r="C3" s="61" t="s">
        <v>142</v>
      </c>
      <c r="D3" s="61" t="s">
        <v>143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2"/>
      <c r="B4" s="185"/>
      <c r="C4" s="61" t="s">
        <v>144</v>
      </c>
      <c r="D4" s="61" t="s">
        <v>145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2"/>
      <c r="B5" s="185"/>
      <c r="C5" s="61" t="s">
        <v>146</v>
      </c>
      <c r="D5" s="61" t="s">
        <v>147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3"/>
      <c r="B6" s="186"/>
      <c r="C6" s="68" t="s">
        <v>148</v>
      </c>
      <c r="D6" s="68" t="s">
        <v>149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7" t="s">
        <v>150</v>
      </c>
      <c r="B7" s="73" t="s">
        <v>151</v>
      </c>
      <c r="C7" s="74" t="s">
        <v>152</v>
      </c>
      <c r="D7" s="75" t="s">
        <v>153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2"/>
      <c r="B8" s="188" t="s">
        <v>154</v>
      </c>
      <c r="C8" s="80" t="s">
        <v>155</v>
      </c>
      <c r="D8" s="56" t="s">
        <v>156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2"/>
      <c r="B9" s="185"/>
      <c r="C9" s="83" t="s">
        <v>157</v>
      </c>
      <c r="D9" s="61" t="s">
        <v>158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2"/>
      <c r="B10" s="186"/>
      <c r="C10" s="85" t="s">
        <v>159</v>
      </c>
      <c r="D10" s="68" t="s">
        <v>160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2"/>
      <c r="B11" s="184" t="s">
        <v>161</v>
      </c>
      <c r="C11" s="56" t="s">
        <v>162</v>
      </c>
      <c r="D11" s="56" t="s">
        <v>163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2"/>
      <c r="B12" s="185"/>
      <c r="C12" s="61" t="s">
        <v>164</v>
      </c>
      <c r="D12" s="61" t="s">
        <v>165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2"/>
      <c r="B13" s="186"/>
      <c r="C13" s="68" t="s">
        <v>166</v>
      </c>
      <c r="D13" s="68" t="s">
        <v>167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2"/>
      <c r="B14" s="188" t="s">
        <v>168</v>
      </c>
      <c r="C14" s="80" t="s">
        <v>169</v>
      </c>
      <c r="D14" s="56" t="s">
        <v>170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2"/>
      <c r="B15" s="185"/>
      <c r="C15" s="83" t="s">
        <v>171</v>
      </c>
      <c r="D15" s="61" t="s">
        <v>172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2"/>
      <c r="B16" s="186"/>
      <c r="C16" s="85" t="s">
        <v>173</v>
      </c>
      <c r="D16" s="68" t="s">
        <v>174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2"/>
      <c r="B17" s="184" t="s">
        <v>175</v>
      </c>
      <c r="C17" s="56" t="s">
        <v>176</v>
      </c>
      <c r="D17" s="56" t="s">
        <v>177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2"/>
      <c r="B18" s="185"/>
      <c r="C18" s="61" t="s">
        <v>178</v>
      </c>
      <c r="D18" s="61" t="s">
        <v>179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2"/>
      <c r="B19" s="186"/>
      <c r="C19" s="68" t="s">
        <v>180</v>
      </c>
      <c r="D19" s="68" t="s">
        <v>181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2"/>
      <c r="B20" s="184" t="s">
        <v>182</v>
      </c>
      <c r="C20" s="56" t="s">
        <v>183</v>
      </c>
      <c r="D20" s="56" t="s">
        <v>184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2"/>
      <c r="B21" s="186"/>
      <c r="C21" s="88" t="s">
        <v>155</v>
      </c>
      <c r="D21" s="88" t="s">
        <v>185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2"/>
      <c r="B22" s="184" t="s">
        <v>186</v>
      </c>
      <c r="C22" s="56" t="s">
        <v>183</v>
      </c>
      <c r="D22" s="56" t="s">
        <v>187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3"/>
      <c r="B23" s="186"/>
      <c r="C23" s="68" t="s">
        <v>155</v>
      </c>
      <c r="D23" s="68" t="s">
        <v>188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189</v>
      </c>
      <c r="B24" s="92" t="s">
        <v>190</v>
      </c>
      <c r="C24" s="92" t="s">
        <v>191</v>
      </c>
      <c r="D24" s="92" t="s">
        <v>192</v>
      </c>
      <c r="E24" s="92" t="s">
        <v>193</v>
      </c>
      <c r="F24" s="92" t="s">
        <v>194</v>
      </c>
      <c r="G24" s="92" t="s">
        <v>195</v>
      </c>
      <c r="H24" s="92" t="s">
        <v>196</v>
      </c>
      <c r="I24" s="92" t="s">
        <v>197</v>
      </c>
      <c r="J24" s="92" t="s">
        <v>198</v>
      </c>
      <c r="K24" s="92" t="s">
        <v>199</v>
      </c>
      <c r="L24" s="92" t="s">
        <v>200</v>
      </c>
      <c r="M24" s="92" t="s">
        <v>201</v>
      </c>
      <c r="N24" s="92" t="s">
        <v>202</v>
      </c>
      <c r="O24" s="92" t="s">
        <v>203</v>
      </c>
      <c r="P24" s="93" t="s">
        <v>204</v>
      </c>
      <c r="Q24" s="93" t="s">
        <v>205</v>
      </c>
      <c r="R24" s="93" t="s">
        <v>65</v>
      </c>
      <c r="S24" s="93" t="s">
        <v>206</v>
      </c>
      <c r="T24" s="93" t="s">
        <v>207</v>
      </c>
      <c r="U24" s="93" t="s">
        <v>208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209</v>
      </c>
      <c r="B25" s="93" t="s">
        <v>210</v>
      </c>
      <c r="C25" s="93" t="s">
        <v>211</v>
      </c>
      <c r="D25" s="93" t="s">
        <v>212</v>
      </c>
      <c r="E25" s="93" t="s">
        <v>213</v>
      </c>
      <c r="F25" s="93" t="s">
        <v>214</v>
      </c>
      <c r="G25" s="93" t="s">
        <v>215</v>
      </c>
      <c r="H25" s="93" t="s">
        <v>216</v>
      </c>
      <c r="I25" s="93" t="s">
        <v>217</v>
      </c>
      <c r="J25" s="93" t="s">
        <v>218</v>
      </c>
      <c r="K25" s="93" t="s">
        <v>219</v>
      </c>
      <c r="L25" s="93" t="s">
        <v>220</v>
      </c>
      <c r="M25" s="93" t="s">
        <v>221</v>
      </c>
      <c r="N25" s="93" t="s">
        <v>222</v>
      </c>
      <c r="O25" s="93" t="s">
        <v>223</v>
      </c>
      <c r="P25" s="93" t="s">
        <v>224</v>
      </c>
      <c r="Q25" s="93" t="s">
        <v>225</v>
      </c>
      <c r="R25" s="93" t="s">
        <v>226</v>
      </c>
      <c r="S25" s="93" t="s">
        <v>227</v>
      </c>
      <c r="T25" s="93" t="s">
        <v>228</v>
      </c>
      <c r="U25" s="93" t="s">
        <v>229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39</v>
      </c>
      <c r="C1" t="s">
        <v>39</v>
      </c>
      <c r="E1" t="s">
        <v>40</v>
      </c>
      <c r="G1" t="s">
        <v>41</v>
      </c>
      <c r="I1" t="s">
        <v>41</v>
      </c>
      <c r="M1" t="s">
        <v>42</v>
      </c>
      <c r="O1" t="s">
        <v>43</v>
      </c>
      <c r="Q1" t="s">
        <v>44</v>
      </c>
      <c r="S1" t="s">
        <v>45</v>
      </c>
      <c r="U1" t="s">
        <v>46</v>
      </c>
      <c r="W1" t="s">
        <v>47</v>
      </c>
      <c r="Y1" t="s">
        <v>72</v>
      </c>
      <c r="AA1" t="s">
        <v>75</v>
      </c>
      <c r="AC1" t="s">
        <v>77</v>
      </c>
      <c r="AE1" t="s">
        <v>79</v>
      </c>
      <c r="AG1" t="s">
        <v>82</v>
      </c>
    </row>
    <row r="2" spans="1:33" x14ac:dyDescent="0.45">
      <c r="A2" t="s">
        <v>48</v>
      </c>
      <c r="C2" t="s">
        <v>48</v>
      </c>
      <c r="E2" t="s">
        <v>49</v>
      </c>
      <c r="G2" t="s">
        <v>50</v>
      </c>
      <c r="I2" t="s">
        <v>50</v>
      </c>
      <c r="K2" t="s">
        <v>51</v>
      </c>
      <c r="M2" t="s">
        <v>52</v>
      </c>
      <c r="O2" t="s">
        <v>53</v>
      </c>
      <c r="Q2" t="s">
        <v>54</v>
      </c>
      <c r="S2" t="s">
        <v>55</v>
      </c>
      <c r="U2" t="s">
        <v>56</v>
      </c>
      <c r="W2" t="s">
        <v>57</v>
      </c>
      <c r="Y2" t="s">
        <v>73</v>
      </c>
      <c r="AA2" t="s">
        <v>76</v>
      </c>
      <c r="AC2" t="s">
        <v>78</v>
      </c>
      <c r="AE2" t="s">
        <v>80</v>
      </c>
      <c r="AG2" t="s">
        <v>83</v>
      </c>
    </row>
    <row r="3" spans="1:33" x14ac:dyDescent="0.45">
      <c r="A3" t="s">
        <v>58</v>
      </c>
      <c r="C3" t="s">
        <v>58</v>
      </c>
      <c r="I3" t="s">
        <v>59</v>
      </c>
      <c r="O3" t="s">
        <v>60</v>
      </c>
      <c r="Q3" t="s">
        <v>61</v>
      </c>
      <c r="S3" t="s">
        <v>62</v>
      </c>
      <c r="U3" t="s">
        <v>63</v>
      </c>
      <c r="W3" t="s">
        <v>64</v>
      </c>
      <c r="Y3" t="s">
        <v>74</v>
      </c>
      <c r="AE3" t="s">
        <v>81</v>
      </c>
      <c r="AG3" t="s">
        <v>63</v>
      </c>
    </row>
    <row r="4" spans="1:33" x14ac:dyDescent="0.45">
      <c r="A4" t="s">
        <v>65</v>
      </c>
      <c r="C4" t="s">
        <v>65</v>
      </c>
      <c r="O4" t="s">
        <v>66</v>
      </c>
      <c r="Q4" t="s">
        <v>67</v>
      </c>
      <c r="S4" t="s">
        <v>68</v>
      </c>
      <c r="AG4" t="s">
        <v>84</v>
      </c>
    </row>
    <row r="5" spans="1:33" x14ac:dyDescent="0.45">
      <c r="A5" t="s">
        <v>69</v>
      </c>
      <c r="C5" t="s">
        <v>69</v>
      </c>
      <c r="S5" t="s">
        <v>70</v>
      </c>
      <c r="AG5" t="s">
        <v>85</v>
      </c>
    </row>
    <row r="6" spans="1:33" x14ac:dyDescent="0.45">
      <c r="C6" t="s">
        <v>71</v>
      </c>
      <c r="AG6" t="s">
        <v>46</v>
      </c>
    </row>
    <row r="7" spans="1:33" x14ac:dyDescent="0.45">
      <c r="C7" t="s">
        <v>17</v>
      </c>
      <c r="AG7" t="s">
        <v>86</v>
      </c>
    </row>
    <row r="8" spans="1:33" x14ac:dyDescent="0.45">
      <c r="AG8" t="s">
        <v>56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2025-05-24T04:14:40Z</dcterms:modified>
</cp:coreProperties>
</file>