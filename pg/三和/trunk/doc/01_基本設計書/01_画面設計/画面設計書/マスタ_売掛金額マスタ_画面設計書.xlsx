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<sst xmlns="http://schemas.openxmlformats.org/spreadsheetml/2006/main" count="1678" uniqueCount="365">
  <si>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</si>
  <si>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</si>
  <si>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</si>
  <si>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</si>
  <si>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</si>
  <si>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</si>
  <si>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</si>
  <si>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</si>
  <si>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</si>
  <si>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</si>
  <si>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</si>
  <si>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</si>
  <si>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</si>
  <si>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</si>
  <si>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</si>
  <si>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</si>
  <si>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</si>
  <si>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</si>
  <si>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</si>
  <si>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</si>
  <si>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</si>
  <si>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</si>
  <si>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</si>
  <si>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</si>
  <si>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</si>
  <si>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</si>
  <si>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</si>
  <si>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</si>
  <si>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</si>
  <si>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</si>
  <si>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</si>
  <si>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</si>
  <si>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</si>
  <si>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</si>
  <si>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</si>
  <si>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</si>
  <si>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</si>
  <si>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</si>
  <si>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</si>
  <si>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</si>
  <si>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</si>
  <si>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</si>
  <si>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</si>
  <si>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</si>
  <si>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</si>
  <si>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</si>
  <si>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</si>
  <si>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</si>
  <si>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</si>
  <si>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</si>
  <si>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</si>
  <si>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</si>
  <si>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</si>
  <si>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</si>
  <si>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</si>
  <si>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</si>
  <si>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</si>
  <si>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</si>
  <si>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</si>
  <si>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</si>
  <si>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</si>
  <si>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</si>
  <si>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</si>
  <si>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</si>
  <si>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</si>
  <si>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</si>
  <si>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</si>
  <si>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</si>
  <si>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</si>
  <si>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</si>
  <si>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</si>
  <si>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</si>
  <si>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</si>
  <si>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</si>
  <si>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</si>
  <si>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</si>
  <si>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</si>
  <si>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</si>
  <si>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</si>
  <si>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</si>
  <si>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</si>
  <si>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</si>
  <si>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</si>
  <si>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</si>
  <si>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</si>
  <si>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</si>
  <si>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</si>
  <si>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</si>
  <si>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</si>
  <si>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</si>
  <si>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</si>
  <si>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</si>
  <si>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</si>
  <si>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</si>
  <si>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</si>
  <si>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</si>
  <si>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</si>
  <si>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</si>
  <si>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</si>
  <si>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</si>
  <si>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</si>
  <si>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</si>
  <si>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</si>
  <si>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</si>
  <si>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</si>
  <si>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</si>
  <si>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</si>
  <si>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</si>
  <si>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</si>
  <si>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</si>
  <si>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</si>
  <si>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</si>
  <si>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</si>
  <si>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</si>
  <si>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</si>
  <si>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</si>
  <si>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</si>
  <si>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</si>
  <si>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</si>
  <si>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</si>
  <si>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</si>
  <si>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</si>
  <si>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</si>
  <si>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</si>
  <si>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</si>
  <si>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</si>
  <si>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</si>
  <si>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</si>
  <si>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</si>
  <si>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</si>
  <si>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</si>
  <si>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</si>
  <si>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</si>
  <si>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</si>
  <si>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</si>
  <si>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</si>
  <si>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</si>
  <si>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</si>
  <si>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</si>
  <si>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</si>
  <si>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</si>
  <si>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</si>
  <si>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</si>
  <si>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</si>
  <si>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</si>
  <si>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</si>
  <si>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</si>
  <si>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</si>
  <si>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</si>
  <si>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</si>
  <si>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</si>
  <si>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</si>
  <si>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</si>
  <si>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</si>
  <si>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</si>
  <si>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</si>
  <si>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</si>
  <si>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</si>
  <si>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</si>
  <si>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</si>
  <si>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</si>
  <si>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</si>
  <si>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</si>
  <si>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</si>
  <si>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</si>
  <si>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</si>
  <si>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</si>
  <si>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</si>
  <si>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</si>
  <si>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</si>
  <si>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</si>
  <si>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</si>
  <si>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</si>
  <si>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</si>
  <si>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</si>
  <si>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</si>
  <si>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</si>
  <si>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</si>
  <si>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</si>
  <si>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</si>
  <si>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</si>
  <si>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</si>
  <si>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</si>
  <si>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</si>
  <si>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</si>
  <si>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</si>
  <si>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</si>
  <si>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</si>
  <si>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</si>
  <si>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</si>
  <si>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</si>
  <si>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</si>
  <si>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</si>
  <si>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</si>
  <si>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</si>
  <si>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</si>
  <si>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</si>
  <si>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</si>
  <si>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</si>
  <si>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</si>
  <si>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</si>
  <si>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</si>
  <si>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</si>
  <si>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</si>
  <si>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</si>
  <si>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</si>
  <si>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</si>
  <si>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</si>
  <si>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</si>
  <si>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</si>
  <si>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</si>
  <si>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</si>
  <si>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</si>
  <si>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</si>
  <si>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</si>
  <si>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</si>
  <si>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</si>
  <si>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</si>
  <si>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</si>
  <si>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</si>
  <si>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</si>
  <si>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</si>
  <si>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</si>
  <si>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</si>
  <si>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</si>
  <si>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</si>
  <si>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</si>
  <si>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</si>
  <si>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</si>
  <si>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</si>
  <si>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</si>
  <si>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</si>
  <si>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</si>
  <si>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</si>
  <si>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</si>
  <si>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</si>
  <si>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</si>
  <si>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</si>
  <si>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</si>
  <si>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</si>
  <si>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</si>
  <si>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</si>
  <si>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</si>
  <si>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</si>
  <si>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</si>
  <si>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</si>
  <si>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</si>
  <si>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</si>
  <si>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</si>
  <si>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</si>
  <si>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</si>
  <si>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</si>
  <si>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</si>
  <si>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</si>
  <si>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</si>
  <si>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</si>
  <si>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</si>
  <si>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</si>
  <si>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</si>
  <si>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</si>
  <si>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</si>
  <si>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</si>
  <si>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</si>
  <si>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</si>
  <si>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</si>
  <si>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</si>
  <si>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</si>
  <si>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</si>
  <si>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</si>
  <si>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</si>
  <si>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</si>
  <si>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</si>
  <si>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</si>
  <si>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</si>
  <si>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</si>
  <si>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</si>
  <si>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</si>
  <si>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</si>
  <si>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</si>
  <si>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</si>
  <si>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</si>
  <si>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</si>
  <si>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</si>
  <si>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</si>
  <si>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</si>
  <si>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</si>
  <si>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</si>
  <si>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</si>
  <si>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</si>
  <si>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</si>
  <si>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</si>
  <si>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</si>
  <si>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</si>
  <si>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</si>
  <si>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</si>
  <si>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</si>
  <si>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</si>
  <si>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</si>
  <si>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</si>
  <si>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</si>
  <si>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</si>
  <si>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j</t>
    <phoneticPr fontId="2"/>
  </si>
  <si>
    <t>前月残高</t>
  </si>
  <si>
    <t>調整金額</t>
  </si>
  <si>
    <t>返品金額</t>
  </si>
  <si>
    <t>訂正金額</t>
  </si>
  <si>
    <t>消費税額</t>
  </si>
  <si>
    <t>当月残高</t>
  </si>
  <si>
    <t>伝票枚数</t>
  </si>
  <si>
    <t>得意先CD</t>
    <rPh sb="0" eb="3">
      <t>トクイサキ</t>
    </rPh>
    <phoneticPr fontId="2"/>
  </si>
  <si>
    <t>得意先名</t>
    <rPh sb="0" eb="3">
      <t>トクイサキ</t>
    </rPh>
    <rPh sb="3" eb="4">
      <t>メイ</t>
    </rPh>
    <phoneticPr fontId="2"/>
  </si>
  <si>
    <t>売掛日付</t>
    <rPh sb="0" eb="2">
      <t>ウリカケ</t>
    </rPh>
    <phoneticPr fontId="2"/>
  </si>
  <si>
    <t>入金金額</t>
    <rPh sb="0" eb="2">
      <t>ニュウキン</t>
    </rPh>
    <phoneticPr fontId="2"/>
  </si>
  <si>
    <t>売上金額</t>
    <rPh sb="0" eb="2">
      <t>ウリアゲ</t>
    </rPh>
    <phoneticPr fontId="2"/>
  </si>
  <si>
    <t>売掛開始日付</t>
    <rPh sb="0" eb="2">
      <t>ウリカケ</t>
    </rPh>
    <phoneticPr fontId="2"/>
  </si>
  <si>
    <t>売掛終了日付</t>
    <rPh sb="0" eb="2">
      <t>ウリカケ</t>
    </rPh>
    <phoneticPr fontId="2"/>
  </si>
  <si>
    <t>得意先CD</t>
    <rPh sb="0" eb="3">
      <t>トクイサキ</t>
    </rPh>
    <phoneticPr fontId="2"/>
  </si>
  <si>
    <t>得意先名</t>
    <rPh sb="0" eb="2">
      <t>トクイ</t>
    </rPh>
    <phoneticPr fontId="2"/>
  </si>
  <si>
    <t>前月残高</t>
    <phoneticPr fontId="2"/>
  </si>
  <si>
    <t>入金金額</t>
    <rPh sb="0" eb="2">
      <t>ニュウキン</t>
    </rPh>
    <phoneticPr fontId="2"/>
  </si>
  <si>
    <t>売上金額</t>
    <rPh sb="0" eb="2">
      <t>ウリアゲ</t>
    </rPh>
    <phoneticPr fontId="2"/>
  </si>
  <si>
    <t>TM売掛金額_得意先CD</t>
    <phoneticPr fontId="2"/>
  </si>
  <si>
    <t>TM売掛金額_前月残高</t>
    <phoneticPr fontId="2"/>
  </si>
  <si>
    <t>TM売掛金額_入金金額</t>
    <phoneticPr fontId="2"/>
  </si>
  <si>
    <t>TM売掛金額_売掛開始日付</t>
    <phoneticPr fontId="2"/>
  </si>
  <si>
    <t>TM売掛金額_調整金額</t>
    <phoneticPr fontId="2"/>
  </si>
  <si>
    <t>TM売掛金額_売掛終了日付</t>
    <phoneticPr fontId="2"/>
  </si>
  <si>
    <t>TM売掛金額_売上金額</t>
    <phoneticPr fontId="2"/>
  </si>
  <si>
    <t>TM売掛金額_返品金額</t>
    <phoneticPr fontId="2"/>
  </si>
  <si>
    <t>TM売掛金額_訂正金額</t>
    <phoneticPr fontId="2"/>
  </si>
  <si>
    <t>TM売掛金額_消費税額</t>
    <phoneticPr fontId="2"/>
  </si>
  <si>
    <t>TM売掛金額_当月残高</t>
    <phoneticPr fontId="2"/>
  </si>
  <si>
    <t>TM売掛金額_伝票枚数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</si>
  <si>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</si>
  <si>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</si>
  <si>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</si>
  <si>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</si>
  <si>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</si>
  <si>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</si>
  <si>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</si>
  <si>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</si>
  <si>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</si>
  <si>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C</t>
    <phoneticPr fontId="2"/>
  </si>
  <si>
    <t>売掛日付</t>
    <rPh sb="0" eb="2">
      <t>ウリカケ</t>
    </rPh>
    <rPh sb="2" eb="4">
      <t>ヒヅケ</t>
    </rPh>
    <phoneticPr fontId="2"/>
  </si>
  <si>
    <t>非課税金額</t>
    <rPh sb="0" eb="3">
      <t>ヒカゼイ</t>
    </rPh>
    <rPh sb="3" eb="5">
      <t>キンガク</t>
    </rPh>
    <phoneticPr fontId="2"/>
  </si>
  <si>
    <t>J</t>
    <phoneticPr fontId="2"/>
  </si>
  <si>
    <t>TM売掛金額_非課税金額</t>
    <rPh sb="7" eb="12">
      <t>ヒカゼイキンガク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</si>
  <si>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</si>
  <si>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</si>
  <si>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</si>
  <si>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</si>
  <si>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</si>
  <si>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売掛開始日付From</t>
    <rPh sb="0" eb="2">
      <t>ウリカケ</t>
    </rPh>
    <rPh sb="2" eb="4">
      <t>カイシ</t>
    </rPh>
    <phoneticPr fontId="2"/>
  </si>
  <si>
    <t>売掛開始日付To</t>
    <rPh sb="0" eb="2">
      <t>ウリカケ</t>
    </rPh>
    <rPh sb="2" eb="4">
      <t>カイシ</t>
    </rPh>
    <phoneticPr fontId="2"/>
  </si>
  <si>
    <t>TM売掛金額_売掛日付</t>
  </si>
  <si>
    <t>〇</t>
    <phoneticPr fontId="2"/>
  </si>
  <si>
    <t>　主キー設定</t>
    <phoneticPr fontId="2"/>
  </si>
  <si>
    <t>$(document).on('change', '#Results_ClassA, #Results_ClassD', function () {
    var A = $('#Results_ClassA').val();
    var B = $('#Results_ClassD').val();
   $p.set($('#Results_Class100'), A + '__' + B);
})</t>
    <phoneticPr fontId="2"/>
  </si>
  <si>
    <t>当月残高計算</t>
  </si>
  <si>
    <t>let Zan  //当月残高
$p.on('change', 'NumA', function () { //前月残高
    A = $p.getControl('NumA').val();
    B = parseInt(String(A).replace(/[^0-9]/g, ''), 10);
    $p.set($p.getControl('NumA'), EN(B)); 
    NUM();
})
$p.on('change', 'NumB', function () { //前月残高
    A = $p.getControl('NumB').val();
    B = parseInt(String(A).replace(/[^0-9]/g, ''), 10);
    $p.set($p.getControl('NumB'), EN(B));
    NUM();
})
$p.on('change', 'NumC', function () { //前月残高
    A = $p.getControl('NumC').val();
    B = parseInt(String(A).replace(/[^0-9]/g, ''), 10);
    $p.set($p.getControl('NumC'), EN(B));
    NUM();
})
$p.on('change', 'NumD', function () { //前月残高
    A = $p.getControl('NumD').val();
    B = parseInt(String(A).replace(/[^0-9]/g, ''), 10);
    $p.set($p.getControl('NumD'), EN(B));
    NUM();
})
$p.on('change', 'NumE', function () { //前月残高
    A = $p.getControl('NumE').val();
    B = parseInt(String(A).replace(/[^0-9]/g, ''), 10);
    $p.set($p.getControl('NumE'), EN(B));
    NUM();
})
$p.on('change', 'NumE', function () { //前月残高
    A = $p.getControl('NumE').val();
    B = parseInt(String(A).replace(/[^0-9]/g, ''), 10);
    $p.set($p.getControl('NumE'), EN(B));
    NUM();
})
$p.on('change', 'NumF', function () { //前月残高
    A = $p.getControl('NumF').val();
    B = parseInt(String(A).replace(/[^0-9]/g, ''), 10);
    $p.set($p.getControl('NumF'), EN(B));
    NUM();
})
$p.on('change', 'NumG', function () { //前月残高
    A = $p.getControl('NumG').val();
    B = parseInt(String(A).replace(/[^0-9]/g, ''), 10);
    $p.set($p.getControl('NumG'), EN(B));
    NUM();
})
//取得した合計金額を数値に変換して計算する関数
function NUM() {
    A = $p.getControl('NumA').val();
    B = $p.getControl('NumB').val();
    C = $p.getControl('NumC').val();
    D = $p.getControl('NumD').val();
    E = $p.getControl('NumE').val();
    F = $p.getControl('NumF').val();
    G = $p.getControl('NumG').val();
    A1 = parseInt(String(A).replace(/[^0-9]/g, ''), 10);
    B1 = parseInt(String(B).replace(/[^0-9]/g, ''), 10);
    C1 = parseInt(String(C).replace(/[^0-9]/g, ''), 10);
    D1 = parseInt(String(D).replace(/[^0-9]/g, ''), 10);
    E1 = parseInt(String(E).replace(/[^0-9]/g, ''), 10);
    F1 = parseInt(String(F).replace(/[^0-9]/g, ''), 10);
    G1 = parseInt(String(G).replace(/[^0-9]/g, ''), 10);
    let H
    //当月残高=前月残高-入金金額-調整金額+売上金額+返品金額+訂正金額+消費税額
    H = A1 - B1 - C1 + D1 + E1 + F1 + G1;
    $p.set($p.getControl('NumH'), EN(H)); //(A)小計
}
//\マークと３桁区切りのカンマを追加する関数
function EN(x) {
    x = '\xA5' + Math.round(x).toLocaleString();
    return x;
}</t>
    <phoneticPr fontId="2"/>
  </si>
  <si>
    <t>　sdt_disabled</t>
    <phoneticPr fontId="2"/>
  </si>
  <si>
    <t>// =================================================
// フィールドCSSに'sdt_disabled'クラスが設定されているフィールドを
// disabledにします。
// $p.set()は稼働しますが、手動での操作を制限します。
// -------------------------------------------------
// 引数：disabledにするかreadonlyにするか
// =================================================
function setDisabled(type){
  //該当の入力エリアをdisabled / readonlyにする
  $('.sdt_disabled input').prop(type, true); // 一般的なinput要素
  $('.sdt_disabled input[type="number"]').prop(type, true); // 数値用のinput要素
  $('.sdt_disabled textarea').prop(type, true); // textarea要素
  $('.sdt_disabled select').prop(type, true); // select要素
  // selectはreadonlyが効かないのでoptionをdisabledにする
  // $('.sdt_disabled option').prop('disabled', true);
  // $('.sdt_disabled option:selected').prop('disabled', false);
  //コントロールアイコンを削除する
  $('.sdt_disabled div.field-control div.ui-icon').remove();
}
$p.events.on_editor_load = function () {
  setDisabled('disabled');
}</t>
    <phoneticPr fontId="2"/>
  </si>
  <si>
    <t>　日付変更</t>
    <phoneticPr fontId="2"/>
  </si>
  <si>
    <t>$p.on('change', 'DateC', function () { //売掛日付
    AA()
})
//日付を1日に変更する関数
function AA(){
    let Date=$p.getControl("DateC").val()
    let parts = Date.split("/");
    parts[2] = 1;
    let newDate = parts.join("/");
    $p.set($p.getControl('DateC'), newDate)
}</t>
    <phoneticPr fontId="2"/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</si>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</sst>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266700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1610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23</xdr:col>
      <xdr:colOff>132130</xdr:colOff>
      <xdr:row>30</xdr:row>
      <xdr:rowOff>144780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4099590" cy="61798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137160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374724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83820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274320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20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18</xdr:col>
      <xdr:colOff>99983</xdr:colOff>
      <xdr:row>36</xdr:row>
      <xdr:rowOff>160688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0646063" cy="77044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40</xdr:col>
          <xdr:colOff>53340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8" t="s">
        <v>256</v>
      </c>
      <c r="D8" s="149"/>
      <c r="E8" s="148" t="s">
        <v>257</v>
      </c>
      <c r="F8" s="158"/>
      <c r="G8" s="158"/>
      <c r="H8" s="158"/>
      <c r="I8" s="158"/>
      <c r="J8" s="158"/>
      <c r="K8" s="158"/>
      <c r="L8" s="158"/>
      <c r="M8" s="158"/>
      <c r="N8" s="149"/>
      <c r="O8" s="148" t="s">
        <v>258</v>
      </c>
      <c r="P8" s="158"/>
      <c r="Q8" s="149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0">
        <f>ROW()-8</f>
        <v>1</v>
      </c>
      <c r="D9" s="151"/>
      <c r="E9" s="152" t="s">
        <v>17</v>
      </c>
      <c r="F9" s="153"/>
      <c r="G9" s="153"/>
      <c r="H9" s="153"/>
      <c r="I9" s="153"/>
      <c r="J9" s="153"/>
      <c r="K9" s="153"/>
      <c r="L9" s="153"/>
      <c r="M9" s="153"/>
      <c r="N9" s="154"/>
      <c r="O9" s="155" t="str">
        <f>HYPERLINK("#"&amp;E9&amp;"!A1","リンク")</f>
        <v>リンク</v>
      </c>
      <c r="P9" s="156"/>
      <c r="Q9" s="157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0">
        <f t="shared" ref="C10:C18" si="0">ROW()-8</f>
        <v>2</v>
      </c>
      <c r="D10" s="151"/>
      <c r="E10" s="152" t="s">
        <v>259</v>
      </c>
      <c r="F10" s="153"/>
      <c r="G10" s="153"/>
      <c r="H10" s="153"/>
      <c r="I10" s="153"/>
      <c r="J10" s="153"/>
      <c r="K10" s="153"/>
      <c r="L10" s="153"/>
      <c r="M10" s="153"/>
      <c r="N10" s="154"/>
      <c r="O10" s="155" t="str">
        <f t="shared" ref="O10:O15" si="1">HYPERLINK("#"&amp;E10&amp;"!A1","リンク")</f>
        <v>リンク</v>
      </c>
      <c r="P10" s="156"/>
      <c r="Q10" s="157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0">
        <f t="shared" si="0"/>
        <v>3</v>
      </c>
      <c r="D11" s="151"/>
      <c r="E11" s="152" t="s">
        <v>260</v>
      </c>
      <c r="F11" s="153"/>
      <c r="G11" s="153"/>
      <c r="H11" s="153"/>
      <c r="I11" s="153"/>
      <c r="J11" s="153"/>
      <c r="K11" s="153"/>
      <c r="L11" s="153"/>
      <c r="M11" s="153"/>
      <c r="N11" s="154"/>
      <c r="O11" s="155" t="str">
        <f t="shared" si="1"/>
        <v>リンク</v>
      </c>
      <c r="P11" s="156"/>
      <c r="Q11" s="15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0">
        <f t="shared" si="0"/>
        <v>4</v>
      </c>
      <c r="D12" s="151"/>
      <c r="E12" s="152" t="s">
        <v>261</v>
      </c>
      <c r="F12" s="153"/>
      <c r="G12" s="153"/>
      <c r="H12" s="153"/>
      <c r="I12" s="153"/>
      <c r="J12" s="153"/>
      <c r="K12" s="153"/>
      <c r="L12" s="153"/>
      <c r="M12" s="153"/>
      <c r="N12" s="154"/>
      <c r="O12" s="155" t="str">
        <f t="shared" si="1"/>
        <v>リンク</v>
      </c>
      <c r="P12" s="156"/>
      <c r="Q12" s="157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0">
        <f t="shared" si="0"/>
        <v>5</v>
      </c>
      <c r="D13" s="151"/>
      <c r="E13" s="152" t="s">
        <v>263</v>
      </c>
      <c r="F13" s="153"/>
      <c r="G13" s="153"/>
      <c r="H13" s="153"/>
      <c r="I13" s="153"/>
      <c r="J13" s="153"/>
      <c r="K13" s="153"/>
      <c r="L13" s="153"/>
      <c r="M13" s="153"/>
      <c r="N13" s="154"/>
      <c r="O13" s="155" t="str">
        <f t="shared" si="1"/>
        <v>リンク</v>
      </c>
      <c r="P13" s="156"/>
      <c r="Q13" s="157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0">
        <f t="shared" si="0"/>
        <v>6</v>
      </c>
      <c r="D14" s="151"/>
      <c r="E14" s="152" t="s">
        <v>264</v>
      </c>
      <c r="F14" s="153"/>
      <c r="G14" s="153"/>
      <c r="H14" s="153"/>
      <c r="I14" s="153"/>
      <c r="J14" s="153"/>
      <c r="K14" s="153"/>
      <c r="L14" s="153"/>
      <c r="M14" s="153"/>
      <c r="N14" s="154"/>
      <c r="O14" s="155" t="str">
        <f t="shared" si="1"/>
        <v>リンク</v>
      </c>
      <c r="P14" s="156"/>
      <c r="Q14" s="157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0">
        <f t="shared" si="0"/>
        <v>7</v>
      </c>
      <c r="D15" s="151"/>
      <c r="E15" s="152" t="s">
        <v>262</v>
      </c>
      <c r="F15" s="153"/>
      <c r="G15" s="153"/>
      <c r="H15" s="153"/>
      <c r="I15" s="153"/>
      <c r="J15" s="153"/>
      <c r="K15" s="153"/>
      <c r="L15" s="153"/>
      <c r="M15" s="153"/>
      <c r="N15" s="154"/>
      <c r="O15" s="155" t="str">
        <f t="shared" si="1"/>
        <v>リンク</v>
      </c>
      <c r="P15" s="156"/>
      <c r="Q15" s="157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0">
        <f t="shared" si="0"/>
        <v>8</v>
      </c>
      <c r="D16" s="151"/>
      <c r="E16" s="152" t="s">
        <v>265</v>
      </c>
      <c r="F16" s="153"/>
      <c r="G16" s="153"/>
      <c r="H16" s="153"/>
      <c r="I16" s="153"/>
      <c r="J16" s="153"/>
      <c r="K16" s="153"/>
      <c r="L16" s="153"/>
      <c r="M16" s="153"/>
      <c r="N16" s="154"/>
      <c r="O16" s="155" t="str">
        <f>HYPERLINK("#"&amp;E16&amp;"!A1","リンク")</f>
        <v>リンク</v>
      </c>
      <c r="P16" s="156"/>
      <c r="Q16" s="157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0">
        <f t="shared" si="0"/>
        <v>9</v>
      </c>
      <c r="D17" s="151"/>
      <c r="E17" s="152" t="s">
        <v>266</v>
      </c>
      <c r="F17" s="153"/>
      <c r="G17" s="153"/>
      <c r="H17" s="153"/>
      <c r="I17" s="153"/>
      <c r="J17" s="153"/>
      <c r="K17" s="153"/>
      <c r="L17" s="153"/>
      <c r="M17" s="153"/>
      <c r="N17" s="154"/>
      <c r="O17" s="155" t="str">
        <f>HYPERLINK("#"&amp;E17&amp;"!A1","リンク")</f>
        <v>リンク</v>
      </c>
      <c r="P17" s="156"/>
      <c r="Q17" s="157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0">
        <f t="shared" si="0"/>
        <v>10</v>
      </c>
      <c r="D18" s="151"/>
      <c r="E18" s="152" t="s">
        <v>294</v>
      </c>
      <c r="F18" s="153"/>
      <c r="G18" s="153"/>
      <c r="H18" s="153"/>
      <c r="I18" s="153"/>
      <c r="J18" s="153"/>
      <c r="K18" s="153"/>
      <c r="L18" s="153"/>
      <c r="M18" s="153"/>
      <c r="N18" s="154"/>
      <c r="O18" s="155" t="str">
        <f>HYPERLINK("#"&amp;E18&amp;"!A1","リンク")</f>
        <v>リンク</v>
      </c>
      <c r="P18" s="156"/>
      <c r="Q18" s="157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9" t="s">
        <v>0</v>
      </c>
      <c r="C2" s="160"/>
      <c r="D2" s="160"/>
      <c r="E2" s="160"/>
      <c r="F2" s="160"/>
      <c r="G2" s="160"/>
      <c r="H2" s="160" t="s">
        <v>350</v>
      </c>
      <c r="I2" s="160"/>
      <c r="J2" s="160"/>
      <c r="K2" s="160"/>
      <c r="L2" s="160" t="s">
        <v>349</v>
      </c>
      <c r="M2" s="160"/>
      <c r="N2" s="160"/>
      <c r="O2" s="160"/>
      <c r="P2" s="160"/>
      <c r="Q2" s="160"/>
      <c r="R2" s="160" t="s">
        <v>1</v>
      </c>
      <c r="S2" s="160"/>
      <c r="T2" s="160"/>
      <c r="U2" s="160"/>
      <c r="V2" s="160"/>
      <c r="W2" s="160"/>
      <c r="X2" s="161" t="s">
        <v>2</v>
      </c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K2" s="161" t="s">
        <v>15</v>
      </c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3"/>
      <c r="AX2" s="160" t="s">
        <v>4</v>
      </c>
      <c r="AY2" s="160"/>
      <c r="AZ2" s="160"/>
      <c r="BA2" s="160"/>
      <c r="BB2" s="160" t="s">
        <v>3</v>
      </c>
      <c r="BC2" s="160"/>
      <c r="BD2" s="160"/>
      <c r="BE2" s="160"/>
      <c r="BF2" s="160" t="s">
        <v>5</v>
      </c>
      <c r="BG2" s="160"/>
      <c r="BH2" s="160"/>
      <c r="BI2" s="160"/>
      <c r="BJ2" s="160" t="s">
        <v>6</v>
      </c>
      <c r="BK2" s="160"/>
      <c r="BL2" s="160"/>
      <c r="BM2" s="174"/>
      <c r="BN2" s="15"/>
    </row>
    <row r="3" spans="1:66" ht="20.100000000000001" customHeight="1" x14ac:dyDescent="0.45">
      <c r="A3" s="9"/>
      <c r="B3" s="164" t="s">
        <v>347</v>
      </c>
      <c r="C3" s="165"/>
      <c r="D3" s="165"/>
      <c r="E3" s="165"/>
      <c r="F3" s="165"/>
      <c r="G3" s="165"/>
      <c r="H3" s="165" t="str">
        <f ca="1">LEFT($X$3,FIND("_",$X$3)-1)</f>
        <v>マスタ</v>
      </c>
      <c r="I3" s="165"/>
      <c r="J3" s="165"/>
      <c r="K3" s="165"/>
      <c r="L3" s="165" t="s">
        <v>348</v>
      </c>
      <c r="M3" s="165"/>
      <c r="N3" s="165"/>
      <c r="O3" s="165"/>
      <c r="P3" s="165"/>
      <c r="Q3" s="165"/>
      <c r="R3" s="168" t="str">
        <f ca="1">MID($X$3,FIND("_",$X$3,FIND("_",$X$3)+1)+1,LEN($X$3)-FIND("_",$X$3,FIND("_",$X$3)+1))</f>
        <v>画面設計書</v>
      </c>
      <c r="S3" s="165"/>
      <c r="T3" s="165"/>
      <c r="U3" s="165"/>
      <c r="V3" s="165"/>
      <c r="W3" s="165"/>
      <c r="X3" s="169" t="str">
        <f ca="1">REPLACE(LEFT(CELL("filename",$B$2),FIND(".x",CELL("filename",$B$2))-1),1,FIND("[",CELL("filename",$B$2)),)</f>
        <v>マスタ_売掛金額マスタ_画面設計書</v>
      </c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66"/>
      <c r="AK3" s="169" t="str">
        <f ca="1">MID($X$3,FIND("_",$X$3)+1,FIND("_",$X$3,FIND("_",$X$3)+1)-FIND("_",$X$3)-1)</f>
        <v>売掛金額マスタ</v>
      </c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66"/>
      <c r="AX3" s="176">
        <v>45443</v>
      </c>
      <c r="AY3" s="165"/>
      <c r="AZ3" s="165"/>
      <c r="BA3" s="165"/>
      <c r="BB3" s="165" t="s">
        <v>351</v>
      </c>
      <c r="BC3" s="165"/>
      <c r="BD3" s="165"/>
      <c r="BE3" s="165"/>
      <c r="BF3" s="176">
        <v>45443</v>
      </c>
      <c r="BG3" s="165"/>
      <c r="BH3" s="165"/>
      <c r="BI3" s="165"/>
      <c r="BJ3" s="165" t="s">
        <v>351</v>
      </c>
      <c r="BK3" s="165"/>
      <c r="BL3" s="165"/>
      <c r="BM3" s="177"/>
      <c r="BN3" s="15"/>
    </row>
    <row r="4" spans="1:66" ht="20.100000000000001" customHeight="1" thickBot="1" x14ac:dyDescent="0.5">
      <c r="A4" s="9"/>
      <c r="B4" s="16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71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3"/>
      <c r="AK4" s="171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3"/>
      <c r="AX4" s="167"/>
      <c r="AY4" s="167"/>
      <c r="AZ4" s="167"/>
      <c r="BA4" s="167"/>
      <c r="BB4" s="167"/>
      <c r="BC4" s="167"/>
      <c r="BD4" s="167"/>
      <c r="BE4" s="167"/>
      <c r="BF4" s="167"/>
      <c r="BG4" s="167"/>
      <c r="BH4" s="167"/>
      <c r="BI4" s="167"/>
      <c r="BJ4" s="167"/>
      <c r="BK4" s="167"/>
      <c r="BL4" s="167"/>
      <c r="BM4" s="16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5" t="s">
        <v>7</v>
      </c>
      <c r="D8" s="175"/>
      <c r="E8" s="175"/>
      <c r="F8" s="175"/>
      <c r="G8" s="175" t="s">
        <v>8</v>
      </c>
      <c r="H8" s="175"/>
      <c r="I8" s="175"/>
      <c r="J8" s="175"/>
      <c r="K8" s="175" t="s">
        <v>9</v>
      </c>
      <c r="L8" s="175"/>
      <c r="M8" s="175"/>
      <c r="N8" s="175"/>
      <c r="O8" s="175" t="s">
        <v>10</v>
      </c>
      <c r="P8" s="175"/>
      <c r="Q8" s="175"/>
      <c r="R8" s="175"/>
      <c r="S8" s="175"/>
      <c r="T8" s="175"/>
      <c r="U8" s="175"/>
      <c r="V8" s="175"/>
      <c r="W8" s="175"/>
      <c r="X8" s="175"/>
      <c r="Y8" s="175" t="s">
        <v>11</v>
      </c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5"/>
      <c r="BB8" s="175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8"/>
      <c r="BN8" s="15"/>
    </row>
    <row r="9" spans="1:66" ht="20.100000000000001" customHeight="1" x14ac:dyDescent="0.45">
      <c r="A9" s="9"/>
      <c r="B9" s="8"/>
      <c r="C9" s="178">
        <v>45443</v>
      </c>
      <c r="D9" s="179"/>
      <c r="E9" s="179"/>
      <c r="F9" s="180"/>
      <c r="G9" s="152" t="s">
        <v>18</v>
      </c>
      <c r="H9" s="153"/>
      <c r="I9" s="153"/>
      <c r="J9" s="154"/>
      <c r="K9" s="181" t="s">
        <v>351</v>
      </c>
      <c r="L9" s="179"/>
      <c r="M9" s="179"/>
      <c r="N9" s="18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8"/>
      <c r="D10" s="179"/>
      <c r="E10" s="179"/>
      <c r="F10" s="180"/>
      <c r="G10" s="152"/>
      <c r="H10" s="153"/>
      <c r="I10" s="153"/>
      <c r="J10" s="154"/>
      <c r="K10" s="181"/>
      <c r="L10" s="179"/>
      <c r="M10" s="179"/>
      <c r="N10" s="18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8"/>
      <c r="D11" s="179"/>
      <c r="E11" s="179"/>
      <c r="F11" s="180"/>
      <c r="G11" s="152"/>
      <c r="H11" s="153"/>
      <c r="I11" s="153"/>
      <c r="J11" s="154"/>
      <c r="K11" s="181"/>
      <c r="L11" s="179"/>
      <c r="M11" s="179"/>
      <c r="N11" s="18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8"/>
      <c r="D36" s="179"/>
      <c r="E36" s="179"/>
      <c r="F36" s="180"/>
      <c r="G36" s="152"/>
      <c r="H36" s="153"/>
      <c r="I36" s="153"/>
      <c r="J36" s="154"/>
      <c r="K36" s="181"/>
      <c r="L36" s="179"/>
      <c r="M36" s="179"/>
      <c r="N36" s="18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8"/>
      <c r="D37" s="179"/>
      <c r="E37" s="179"/>
      <c r="F37" s="180"/>
      <c r="G37" s="152"/>
      <c r="H37" s="153"/>
      <c r="I37" s="153"/>
      <c r="J37" s="154"/>
      <c r="K37" s="181"/>
      <c r="L37" s="179"/>
      <c r="M37" s="179"/>
      <c r="N37" s="18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8"/>
      <c r="D38" s="179"/>
      <c r="E38" s="179"/>
      <c r="F38" s="180"/>
      <c r="G38" s="152"/>
      <c r="H38" s="153"/>
      <c r="I38" s="153"/>
      <c r="J38" s="154"/>
      <c r="K38" s="181"/>
      <c r="L38" s="179"/>
      <c r="M38" s="179"/>
      <c r="N38" s="18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8"/>
      <c r="D39" s="179"/>
      <c r="E39" s="179"/>
      <c r="F39" s="180"/>
      <c r="G39" s="152"/>
      <c r="H39" s="153"/>
      <c r="I39" s="153"/>
      <c r="J39" s="154"/>
      <c r="K39" s="181"/>
      <c r="L39" s="179"/>
      <c r="M39" s="179"/>
      <c r="N39" s="18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8"/>
      <c r="D40" s="179"/>
      <c r="E40" s="179"/>
      <c r="F40" s="180"/>
      <c r="G40" s="152"/>
      <c r="H40" s="153"/>
      <c r="I40" s="153"/>
      <c r="J40" s="154"/>
      <c r="K40" s="181"/>
      <c r="L40" s="179"/>
      <c r="M40" s="179"/>
      <c r="N40" s="18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8"/>
      <c r="D41" s="179"/>
      <c r="E41" s="179"/>
      <c r="F41" s="180"/>
      <c r="G41" s="152"/>
      <c r="H41" s="153"/>
      <c r="I41" s="153"/>
      <c r="J41" s="154"/>
      <c r="K41" s="181"/>
      <c r="L41" s="179"/>
      <c r="M41" s="179"/>
      <c r="N41" s="18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8"/>
      <c r="D42" s="179"/>
      <c r="E42" s="179"/>
      <c r="F42" s="180"/>
      <c r="G42" s="152"/>
      <c r="H42" s="153"/>
      <c r="I42" s="153"/>
      <c r="J42" s="154"/>
      <c r="K42" s="181"/>
      <c r="L42" s="179"/>
      <c r="M42" s="179"/>
      <c r="N42" s="18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8"/>
      <c r="D43" s="179"/>
      <c r="E43" s="179"/>
      <c r="F43" s="180"/>
      <c r="G43" s="152"/>
      <c r="H43" s="153"/>
      <c r="I43" s="153"/>
      <c r="J43" s="154"/>
      <c r="K43" s="181"/>
      <c r="L43" s="179"/>
      <c r="M43" s="179"/>
      <c r="N43" s="18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8"/>
      <c r="D44" s="179"/>
      <c r="E44" s="179"/>
      <c r="F44" s="180"/>
      <c r="G44" s="152"/>
      <c r="H44" s="153"/>
      <c r="I44" s="153"/>
      <c r="J44" s="154"/>
      <c r="K44" s="181"/>
      <c r="L44" s="179"/>
      <c r="M44" s="179"/>
      <c r="N44" s="18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8"/>
      <c r="D45" s="179"/>
      <c r="E45" s="179"/>
      <c r="F45" s="180"/>
      <c r="G45" s="152"/>
      <c r="H45" s="153"/>
      <c r="I45" s="153"/>
      <c r="J45" s="154"/>
      <c r="K45" s="181"/>
      <c r="L45" s="179"/>
      <c r="M45" s="179"/>
      <c r="N45" s="18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8"/>
      <c r="D46" s="179"/>
      <c r="E46" s="179"/>
      <c r="F46" s="180"/>
      <c r="G46" s="152"/>
      <c r="H46" s="153"/>
      <c r="I46" s="153"/>
      <c r="J46" s="154"/>
      <c r="K46" s="181"/>
      <c r="L46" s="179"/>
      <c r="M46" s="179"/>
      <c r="N46" s="18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8"/>
      <c r="D47" s="179"/>
      <c r="E47" s="179"/>
      <c r="F47" s="180"/>
      <c r="G47" s="152"/>
      <c r="H47" s="153"/>
      <c r="I47" s="153"/>
      <c r="J47" s="154"/>
      <c r="K47" s="181"/>
      <c r="L47" s="179"/>
      <c r="M47" s="179"/>
      <c r="N47" s="18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309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310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311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302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312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303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313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304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305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306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 t="s">
        <v>307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 t="s">
        <v>314</v>
      </c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 t="s">
        <v>315</v>
      </c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 t="s">
        <v>308</v>
      </c>
      <c r="E53" s="39"/>
      <c r="F53" s="19">
        <v>14</v>
      </c>
      <c r="G53" s="129"/>
      <c r="H53" s="18"/>
      <c r="I53" s="19">
        <v>14</v>
      </c>
      <c r="J53" s="129" t="s">
        <v>301</v>
      </c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69921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69921875" style="7" bestFit="1" customWidth="1"/>
    <col min="11" max="11" width="13.09765625" style="7" customWidth="1"/>
    <col min="12" max="15" width="3.69921875" style="7" customWidth="1"/>
    <col min="16" max="16" width="5.69921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69921875" style="7" bestFit="1" customWidth="1"/>
    <col min="24" max="24" width="16.69921875" style="7" customWidth="1"/>
    <col min="25" max="28" width="3.69921875" style="7" customWidth="1"/>
    <col min="29" max="29" width="5.69921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69921875" style="7" bestFit="1" customWidth="1"/>
    <col min="36" max="36" width="21.19921875" style="7" customWidth="1"/>
    <col min="37" max="39" width="3.69921875" style="7" customWidth="1"/>
    <col min="40" max="40" width="15.69921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19921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19921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69921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>
      <selection activeCell="F31" sqref="F3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19921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69921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69921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69921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69921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69921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69921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69921875" style="7" bestFit="1" customWidth="1"/>
    <col min="5" max="5" width="30.69921875" style="7" customWidth="1"/>
    <col min="6" max="6" width="89.69921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5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5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5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5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5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5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5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5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5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5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5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5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5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5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5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5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5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5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5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5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5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5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5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5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5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5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5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309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310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311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302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312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303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313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304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305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306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307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344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 t="s">
        <v>314</v>
      </c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 t="s">
        <v>315</v>
      </c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 t="s">
        <v>308</v>
      </c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69921875" style="7" bestFit="1" customWidth="1"/>
    <col min="5" max="5" width="9" style="7" bestFit="1" customWidth="1"/>
    <col min="6" max="6" width="5.69921875" style="7" bestFit="1" customWidth="1"/>
    <col min="7" max="7" width="8.69921875" style="7" bestFit="1" customWidth="1"/>
    <col min="8" max="8" width="5.69921875" style="7" bestFit="1" customWidth="1"/>
    <col min="9" max="14" width="3.69921875" style="7" customWidth="1"/>
    <col min="15" max="15" width="5.69921875" style="7" bestFit="1" customWidth="1"/>
    <col min="16" max="16" width="14.59765625" style="7" bestFit="1" customWidth="1"/>
    <col min="17" max="17" width="8.69921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1.69921875" style="7" bestFit="1" customWidth="1"/>
    <col min="30" max="31" width="3.59765625" style="7"/>
    <col min="32" max="32" width="5.69921875" style="7" bestFit="1" customWidth="1"/>
    <col min="33" max="33" width="8.69921875" style="7" bestFit="1" customWidth="1"/>
    <col min="34" max="34" width="4.19921875" style="7" bestFit="1" customWidth="1"/>
    <col min="35" max="35" width="5.69921875" style="7" bestFit="1" customWidth="1"/>
    <col min="36" max="41" width="3.59765625" style="7"/>
    <col min="42" max="42" width="5.69921875" style="7" bestFit="1" customWidth="1"/>
    <col min="43" max="43" width="4.19921875" style="7" bestFit="1" customWidth="1"/>
    <col min="44" max="44" width="8.19921875" style="7" bestFit="1" customWidth="1"/>
    <col min="45" max="45" width="4.19921875" style="7" bestFit="1" customWidth="1"/>
    <col min="46" max="46" width="12.09765625" style="7" bestFit="1" customWidth="1"/>
    <col min="47" max="47" width="10.19921875" style="7" bestFit="1" customWidth="1"/>
    <col min="48" max="48" width="11.19921875" style="7" bestFit="1" customWidth="1"/>
    <col min="49" max="51" width="4.19921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21" style="7" bestFit="1" customWidth="1"/>
    <col min="59" max="60" width="3.59765625" style="7"/>
    <col min="61" max="61" width="5.69921875" style="7" bestFit="1" customWidth="1"/>
    <col min="62" max="62" width="12.3984375" style="7" bestFit="1" customWidth="1"/>
    <col min="63" max="63" width="4.19921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69921875" style="7" bestFit="1" customWidth="1"/>
    <col min="72" max="72" width="4.19921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25" style="7" bestFit="1" customWidth="1"/>
    <col min="80" max="81" width="3.59765625" style="7"/>
    <col min="82" max="83" width="5.69921875" style="7" bestFit="1" customWidth="1"/>
    <col min="84" max="84" width="4.19921875" style="7" bestFit="1" customWidth="1"/>
    <col min="85" max="85" width="8.69921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69921875" style="7" bestFit="1" customWidth="1"/>
    <col min="96" max="96" width="5.69921875" style="7" bestFit="1" customWidth="1"/>
    <col min="97" max="97" width="4.19921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19921875" style="7" bestFit="1" customWidth="1"/>
    <col min="105" max="106" width="3.59765625" style="7"/>
    <col min="107" max="108" width="5.69921875" style="7" bestFit="1" customWidth="1"/>
    <col min="109" max="109" width="4.19921875" style="7" bestFit="1" customWidth="1"/>
    <col min="110" max="110" width="5.69921875" style="7" bestFit="1" customWidth="1"/>
    <col min="111" max="115" width="3.59765625" style="7"/>
    <col min="116" max="116" width="4.19921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19921875" style="7" bestFit="1" customWidth="1"/>
    <col min="124" max="125" width="3.59765625" style="7"/>
    <col min="126" max="127" width="5.69921875" style="7" bestFit="1" customWidth="1"/>
    <col min="128" max="128" width="4.19921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19921875" style="7" bestFit="1" customWidth="1"/>
    <col min="137" max="137" width="4.19921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19921875" style="7" bestFit="1" customWidth="1"/>
    <col min="145" max="145" width="0" style="7" hidden="1" customWidth="1"/>
    <col min="146" max="146" width="5.69921875" style="7" hidden="1" customWidth="1"/>
    <col min="147" max="147" width="4.19921875" style="7" hidden="1" customWidth="1"/>
    <col min="148" max="148" width="5.69921875" style="7" hidden="1" customWidth="1"/>
    <col min="149" max="149" width="0" style="7" hidden="1" customWidth="1"/>
    <col min="150" max="150" width="4.19921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19921875" style="7" hidden="1" customWidth="1"/>
    <col min="157" max="157" width="0" style="7" hidden="1" customWidth="1"/>
    <col min="158" max="158" width="5.69921875" style="7" hidden="1" customWidth="1"/>
    <col min="159" max="159" width="4.19921875" style="7" hidden="1" customWidth="1"/>
    <col min="160" max="160" width="5.69921875" style="7" hidden="1" customWidth="1"/>
    <col min="161" max="161" width="4.19921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19921875" style="7" hidden="1" customWidth="1"/>
    <col min="168" max="168" width="0" style="7" hidden="1" customWidth="1"/>
    <col min="169" max="169" width="5.69921875" style="7" hidden="1" customWidth="1"/>
    <col min="170" max="170" width="4.19921875" style="7" hidden="1" customWidth="1"/>
    <col min="171" max="171" width="8.69921875" style="7" hidden="1" customWidth="1"/>
    <col min="172" max="172" width="5.69921875" style="7" hidden="1" customWidth="1"/>
    <col min="173" max="178" width="0" style="7" hidden="1" customWidth="1"/>
    <col min="179" max="179" width="5.69921875" style="7" hidden="1" customWidth="1"/>
    <col min="180" max="180" width="4.19921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19921875" style="7" hidden="1" customWidth="1"/>
    <col min="191" max="191" width="0" style="7" hidden="1" customWidth="1"/>
    <col min="192" max="192" width="5.69921875" style="7" hidden="1" customWidth="1"/>
    <col min="193" max="193" width="4.19921875" style="7" hidden="1" customWidth="1"/>
    <col min="194" max="194" width="8.69921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69921875" style="7" hidden="1" customWidth="1"/>
    <col min="205" max="205" width="5.69921875" style="7" hidden="1" customWidth="1"/>
    <col min="206" max="206" width="4.19921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19921875" style="7" hidden="1" customWidth="1"/>
    <col min="215" max="215" width="0" style="7" hidden="1" customWidth="1"/>
    <col min="216" max="216" width="5.69921875" style="7" hidden="1" customWidth="1"/>
    <col min="217" max="217" width="4.19921875" style="7" hidden="1" customWidth="1"/>
    <col min="218" max="218" width="0" style="7" hidden="1" customWidth="1"/>
    <col min="219" max="219" width="8.69921875" style="7" hidden="1" customWidth="1"/>
    <col min="220" max="220" width="5.69921875" style="7" hidden="1" customWidth="1"/>
    <col min="221" max="225" width="0" style="7" hidden="1" customWidth="1"/>
    <col min="226" max="226" width="5.69921875" style="7" hidden="1" customWidth="1"/>
    <col min="227" max="227" width="4.19921875" style="7" hidden="1" customWidth="1"/>
    <col min="228" max="228" width="8.69921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19921875" style="7" hidden="1" customWidth="1"/>
    <col min="239" max="239" width="0" style="7" hidden="1" customWidth="1"/>
    <col min="240" max="240" width="5.69921875" style="7" hidden="1" customWidth="1"/>
    <col min="241" max="241" width="4.19921875" style="7" hidden="1" customWidth="1"/>
    <col min="242" max="242" width="5.69921875" style="7" hidden="1" customWidth="1"/>
    <col min="243" max="247" width="0" style="7" hidden="1" customWidth="1"/>
    <col min="248" max="248" width="5.69921875" style="7" hidden="1" customWidth="1"/>
    <col min="249" max="249" width="4.19921875" style="7" hidden="1" customWidth="1"/>
    <col min="250" max="250" width="8.69921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19921875" style="7" hidden="1" customWidth="1"/>
    <col min="261" max="261" width="0" style="7" hidden="1" customWidth="1"/>
    <col min="262" max="262" width="5.69921875" style="7" hidden="1" customWidth="1"/>
    <col min="263" max="263" width="4.19921875" style="7" hidden="1" customWidth="1"/>
    <col min="264" max="264" width="5.69921875" style="7" hidden="1" customWidth="1"/>
    <col min="265" max="269" width="0" style="7" hidden="1" customWidth="1"/>
    <col min="270" max="270" width="5.69921875" style="7" hidden="1" customWidth="1"/>
    <col min="271" max="271" width="4.19921875" style="7" hidden="1" customWidth="1"/>
    <col min="272" max="272" width="8.69921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19921875" style="7" hidden="1" customWidth="1"/>
    <col min="283" max="283" width="0" style="7" hidden="1" customWidth="1"/>
    <col min="284" max="284" width="5.69921875" style="7" hidden="1" customWidth="1"/>
    <col min="285" max="285" width="4.19921875" style="7" hidden="1" customWidth="1"/>
    <col min="286" max="286" width="5.69921875" style="7" hidden="1" customWidth="1"/>
    <col min="287" max="291" width="0" style="7" hidden="1" customWidth="1"/>
    <col min="292" max="292" width="4.19921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19921875" style="7" hidden="1" customWidth="1"/>
    <col min="300" max="300" width="0" style="7" hidden="1" customWidth="1"/>
    <col min="301" max="301" width="5.69921875" style="7" hidden="1" customWidth="1"/>
    <col min="302" max="302" width="4.19921875" style="7" hidden="1" customWidth="1"/>
    <col min="303" max="303" width="8.69921875" style="7" hidden="1" customWidth="1"/>
    <col min="304" max="306" width="0" style="7" hidden="1" customWidth="1"/>
    <col min="307" max="307" width="10.69921875" style="7" hidden="1" customWidth="1"/>
    <col min="308" max="308" width="4.19921875" style="7" hidden="1" customWidth="1"/>
    <col min="309" max="309" width="7.69921875" style="7" hidden="1" customWidth="1"/>
    <col min="310" max="310" width="12.5" style="7" hidden="1" customWidth="1"/>
    <col min="311" max="311" width="4.19921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333</v>
      </c>
      <c r="E10" s="100" t="s">
        <v>316</v>
      </c>
      <c r="F10" s="105" t="s">
        <v>38</v>
      </c>
      <c r="G10" s="105"/>
      <c r="H10" s="105"/>
      <c r="I10" s="42" t="s">
        <v>267</v>
      </c>
      <c r="J10" s="42"/>
      <c r="K10" s="42"/>
      <c r="L10" s="42"/>
      <c r="M10" s="42"/>
      <c r="N10" s="42"/>
      <c r="O10" s="105"/>
      <c r="P10" s="105"/>
      <c r="Q10" s="42" t="s">
        <v>267</v>
      </c>
      <c r="R10" s="105"/>
      <c r="S10" s="42" t="s">
        <v>267</v>
      </c>
      <c r="T10" s="42"/>
      <c r="U10" s="42"/>
      <c r="V10" s="42"/>
      <c r="W10" s="42" t="s">
        <v>267</v>
      </c>
      <c r="X10" s="42" t="s">
        <v>267</v>
      </c>
      <c r="Y10" s="42"/>
      <c r="Z10" s="100"/>
      <c r="AA10" s="100"/>
      <c r="AB10" s="118"/>
      <c r="AC10" s="120" t="s">
        <v>321</v>
      </c>
      <c r="AE10" s="19">
        <v>1</v>
      </c>
      <c r="AF10" s="96" t="s">
        <v>333</v>
      </c>
      <c r="AG10" s="100" t="s">
        <v>318</v>
      </c>
      <c r="AH10" s="105" t="s">
        <v>47</v>
      </c>
      <c r="AI10" s="105"/>
      <c r="AJ10" s="42"/>
      <c r="AK10" s="42"/>
      <c r="AL10" s="42"/>
      <c r="AM10" s="42"/>
      <c r="AN10" s="42"/>
      <c r="AO10" s="42"/>
      <c r="AP10" s="105"/>
      <c r="AQ10" s="105" t="s">
        <v>52</v>
      </c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 t="s">
        <v>322</v>
      </c>
      <c r="BH10" s="19">
        <v>1</v>
      </c>
      <c r="BI10" s="96" t="s">
        <v>333</v>
      </c>
      <c r="BJ10" s="100" t="s">
        <v>352</v>
      </c>
      <c r="BK10" s="105" t="s">
        <v>38</v>
      </c>
      <c r="BL10" s="105"/>
      <c r="BM10" s="42" t="s">
        <v>267</v>
      </c>
      <c r="BN10" s="42"/>
      <c r="BO10" s="42"/>
      <c r="BP10" s="42"/>
      <c r="BQ10" s="42"/>
      <c r="BR10" s="105" t="s">
        <v>44</v>
      </c>
      <c r="BS10" s="105"/>
      <c r="BT10" s="105"/>
      <c r="BU10" s="42"/>
      <c r="BV10" s="42"/>
      <c r="BW10" s="42"/>
      <c r="BX10" s="100"/>
      <c r="BY10" s="100"/>
      <c r="BZ10" s="118"/>
      <c r="CA10" s="120" t="s">
        <v>324</v>
      </c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334</v>
      </c>
      <c r="E11" s="100" t="s">
        <v>317</v>
      </c>
      <c r="F11" s="105" t="s">
        <v>38</v>
      </c>
      <c r="G11" s="105"/>
      <c r="H11" s="105"/>
      <c r="I11" s="42"/>
      <c r="J11" s="42"/>
      <c r="K11" s="42"/>
      <c r="L11" s="42"/>
      <c r="M11" s="42" t="s">
        <v>267</v>
      </c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/>
      <c r="Y11" s="42"/>
      <c r="Z11" s="100"/>
      <c r="AA11" s="100"/>
      <c r="AB11" s="118"/>
      <c r="AC11" s="120"/>
      <c r="AE11" s="19">
        <v>2</v>
      </c>
      <c r="AF11" s="96" t="s">
        <v>334</v>
      </c>
      <c r="AG11" s="100" t="s">
        <v>319</v>
      </c>
      <c r="AH11" s="105" t="s">
        <v>47</v>
      </c>
      <c r="AI11" s="105"/>
      <c r="AJ11" s="42"/>
      <c r="AK11" s="42"/>
      <c r="AL11" s="42"/>
      <c r="AM11" s="42"/>
      <c r="AN11" s="42"/>
      <c r="AO11" s="42"/>
      <c r="AP11" s="105"/>
      <c r="AQ11" s="105" t="s">
        <v>52</v>
      </c>
      <c r="AR11" s="42"/>
      <c r="AS11" s="105"/>
      <c r="AT11" s="105"/>
      <c r="AU11" s="105"/>
      <c r="AV11" s="105"/>
      <c r="AW11" s="105"/>
      <c r="AX11" s="105"/>
      <c r="AY11" s="105"/>
      <c r="AZ11" s="42"/>
      <c r="BA11" s="42" t="s">
        <v>267</v>
      </c>
      <c r="BB11" s="42"/>
      <c r="BC11" s="100"/>
      <c r="BD11" s="100"/>
      <c r="BE11" s="118"/>
      <c r="BF11" s="120" t="s">
        <v>323</v>
      </c>
      <c r="BH11" s="19">
        <v>2</v>
      </c>
      <c r="BI11" s="96" t="s">
        <v>334</v>
      </c>
      <c r="BJ11" s="100" t="s">
        <v>353</v>
      </c>
      <c r="BK11" s="105" t="s">
        <v>38</v>
      </c>
      <c r="BL11" s="105"/>
      <c r="BM11" s="42" t="s">
        <v>267</v>
      </c>
      <c r="BN11" s="42"/>
      <c r="BO11" s="42"/>
      <c r="BP11" s="42"/>
      <c r="BQ11" s="42"/>
      <c r="BR11" s="105" t="s">
        <v>44</v>
      </c>
      <c r="BS11" s="105"/>
      <c r="BT11" s="105"/>
      <c r="BU11" s="42"/>
      <c r="BV11" s="42"/>
      <c r="BW11" s="42"/>
      <c r="BX11" s="100"/>
      <c r="BY11" s="100"/>
      <c r="BZ11" s="118"/>
      <c r="CA11" s="120" t="s">
        <v>326</v>
      </c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/>
      <c r="E12" s="100"/>
      <c r="F12" s="105"/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100"/>
      <c r="AA12" s="100"/>
      <c r="AB12" s="118"/>
      <c r="AC12" s="120"/>
      <c r="AE12" s="19">
        <v>3</v>
      </c>
      <c r="AF12" s="96" t="s">
        <v>335</v>
      </c>
      <c r="AG12" s="100" t="s">
        <v>303</v>
      </c>
      <c r="AH12" s="105" t="s">
        <v>47</v>
      </c>
      <c r="AI12" s="105"/>
      <c r="AJ12" s="42"/>
      <c r="AK12" s="42"/>
      <c r="AL12" s="42"/>
      <c r="AM12" s="42"/>
      <c r="AN12" s="42"/>
      <c r="AO12" s="42"/>
      <c r="AP12" s="105"/>
      <c r="AQ12" s="105" t="s">
        <v>52</v>
      </c>
      <c r="AR12" s="42"/>
      <c r="AS12" s="105"/>
      <c r="AT12" s="105"/>
      <c r="AU12" s="105"/>
      <c r="AV12" s="105"/>
      <c r="AW12" s="105"/>
      <c r="AX12" s="105"/>
      <c r="AY12" s="105"/>
      <c r="AZ12" s="42"/>
      <c r="BA12" s="42" t="s">
        <v>267</v>
      </c>
      <c r="BB12" s="42"/>
      <c r="BC12" s="100"/>
      <c r="BD12" s="100"/>
      <c r="BE12" s="118"/>
      <c r="BF12" s="120" t="s">
        <v>325</v>
      </c>
      <c r="BH12" s="19">
        <v>3</v>
      </c>
      <c r="BI12" s="146" t="s">
        <v>342</v>
      </c>
      <c r="BJ12" s="100" t="s">
        <v>343</v>
      </c>
      <c r="BK12" s="105" t="s">
        <v>38</v>
      </c>
      <c r="BL12" s="105"/>
      <c r="BM12" s="42" t="s">
        <v>267</v>
      </c>
      <c r="BN12" s="42"/>
      <c r="BO12" s="42"/>
      <c r="BP12" s="42"/>
      <c r="BQ12" s="42"/>
      <c r="BR12" s="105" t="s">
        <v>44</v>
      </c>
      <c r="BS12" s="105"/>
      <c r="BT12" s="105"/>
      <c r="BU12" s="42"/>
      <c r="BV12" s="42" t="s">
        <v>355</v>
      </c>
      <c r="BW12" s="42"/>
      <c r="BX12" s="100"/>
      <c r="BY12" s="100"/>
      <c r="BZ12" s="118"/>
      <c r="CA12" s="120" t="s">
        <v>354</v>
      </c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/>
      <c r="E13" s="100"/>
      <c r="F13" s="105"/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/>
      <c r="AE13" s="19">
        <v>4</v>
      </c>
      <c r="AF13" s="96" t="s">
        <v>336</v>
      </c>
      <c r="AG13" s="100" t="s">
        <v>320</v>
      </c>
      <c r="AH13" s="105" t="s">
        <v>47</v>
      </c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 t="s">
        <v>52</v>
      </c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267</v>
      </c>
      <c r="BB13" s="42" t="s">
        <v>20</v>
      </c>
      <c r="BC13" s="100"/>
      <c r="BD13" s="100"/>
      <c r="BE13" s="118"/>
      <c r="BF13" s="120" t="s">
        <v>327</v>
      </c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/>
      <c r="E14" s="100"/>
      <c r="F14" s="105"/>
      <c r="G14" s="105"/>
      <c r="H14" s="105"/>
      <c r="I14" s="42"/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/>
      <c r="AE14" s="19">
        <v>5</v>
      </c>
      <c r="AF14" s="98" t="s">
        <v>337</v>
      </c>
      <c r="AG14" s="100" t="s">
        <v>304</v>
      </c>
      <c r="AH14" s="105" t="s">
        <v>47</v>
      </c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 t="s">
        <v>52</v>
      </c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267</v>
      </c>
      <c r="BB14" s="42" t="s">
        <v>20</v>
      </c>
      <c r="BC14" s="100"/>
      <c r="BD14" s="100"/>
      <c r="BE14" s="118"/>
      <c r="BF14" s="120" t="s">
        <v>328</v>
      </c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/>
      <c r="E15" s="100"/>
      <c r="F15" s="105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 t="s">
        <v>338</v>
      </c>
      <c r="AG15" s="100" t="s">
        <v>305</v>
      </c>
      <c r="AH15" s="105" t="s">
        <v>47</v>
      </c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 t="s">
        <v>52</v>
      </c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267</v>
      </c>
      <c r="BB15" s="42" t="s">
        <v>20</v>
      </c>
      <c r="BC15" s="100"/>
      <c r="BD15" s="100"/>
      <c r="BE15" s="118"/>
      <c r="BF15" s="120" t="s">
        <v>329</v>
      </c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 t="s">
        <v>339</v>
      </c>
      <c r="AG16" s="100" t="s">
        <v>306</v>
      </c>
      <c r="AH16" s="105" t="s">
        <v>47</v>
      </c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 t="s">
        <v>52</v>
      </c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267</v>
      </c>
      <c r="BB16" s="42" t="s">
        <v>20</v>
      </c>
      <c r="BC16" s="100"/>
      <c r="BD16" s="100"/>
      <c r="BE16" s="118"/>
      <c r="BF16" s="120" t="s">
        <v>330</v>
      </c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 t="s">
        <v>340</v>
      </c>
      <c r="AG17" s="100" t="s">
        <v>307</v>
      </c>
      <c r="AH17" s="105" t="s">
        <v>47</v>
      </c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/>
      <c r="AO17" s="42" t="s">
        <v>20</v>
      </c>
      <c r="AP17" s="105"/>
      <c r="AQ17" s="105" t="s">
        <v>52</v>
      </c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267</v>
      </c>
      <c r="BB17" s="42" t="s">
        <v>20</v>
      </c>
      <c r="BC17" s="100" t="s">
        <v>364</v>
      </c>
      <c r="BD17" s="100"/>
      <c r="BE17" s="118"/>
      <c r="BF17" s="120" t="s">
        <v>331</v>
      </c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/>
      <c r="E18" s="100"/>
      <c r="F18" s="105"/>
      <c r="G18" s="105"/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/>
      <c r="Y18" s="42"/>
      <c r="Z18" s="100"/>
      <c r="AA18" s="100"/>
      <c r="AB18" s="118"/>
      <c r="AC18" s="120"/>
      <c r="AE18" s="19">
        <v>9</v>
      </c>
      <c r="AF18" s="96" t="s">
        <v>341</v>
      </c>
      <c r="AG18" s="100" t="s">
        <v>344</v>
      </c>
      <c r="AH18" s="105" t="s">
        <v>47</v>
      </c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 t="s">
        <v>52</v>
      </c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267</v>
      </c>
      <c r="BB18" s="42" t="s">
        <v>20</v>
      </c>
      <c r="BC18" s="100"/>
      <c r="BD18" s="100"/>
      <c r="BE18" s="118"/>
      <c r="BF18" s="120" t="s">
        <v>346</v>
      </c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Bot="1" x14ac:dyDescent="0.5">
      <c r="A19" s="5"/>
      <c r="B19" s="5"/>
      <c r="C19" s="27">
        <v>10</v>
      </c>
      <c r="D19" s="97"/>
      <c r="E19" s="102"/>
      <c r="F19" s="107"/>
      <c r="G19" s="107"/>
      <c r="H19" s="107"/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107"/>
      <c r="P19" s="107"/>
      <c r="Q19" s="107"/>
      <c r="R19" s="107"/>
      <c r="S19" s="50" t="s">
        <v>20</v>
      </c>
      <c r="T19" s="50" t="s">
        <v>20</v>
      </c>
      <c r="U19" s="50" t="s">
        <v>20</v>
      </c>
      <c r="V19" s="50" t="s">
        <v>20</v>
      </c>
      <c r="W19" s="50" t="s">
        <v>20</v>
      </c>
      <c r="X19" s="50" t="s">
        <v>20</v>
      </c>
      <c r="Y19" s="50" t="s">
        <v>20</v>
      </c>
      <c r="Z19" s="102"/>
      <c r="AA19" s="117"/>
      <c r="AB19" s="119"/>
      <c r="AC19" s="112"/>
      <c r="AE19" s="27">
        <v>10</v>
      </c>
      <c r="AF19" s="97" t="s">
        <v>345</v>
      </c>
      <c r="AG19" s="102" t="s">
        <v>308</v>
      </c>
      <c r="AH19" s="107" t="s">
        <v>47</v>
      </c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267</v>
      </c>
      <c r="BB19" s="50" t="s">
        <v>20</v>
      </c>
      <c r="BC19" s="102"/>
      <c r="BD19" s="117"/>
      <c r="BE19" s="119"/>
      <c r="BF19" s="120" t="s">
        <v>332</v>
      </c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E20" s="5"/>
      <c r="AF20" s="5"/>
      <c r="AG20" s="5"/>
    </row>
    <row r="21" spans="1:167" ht="20.100000000000001" customHeight="1" x14ac:dyDescent="0.4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/>
      <c r="D39"/>
      <c r="E39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 s="40"/>
      <c r="D40" s="40"/>
      <c r="Z40" s="8"/>
      <c r="AA40" s="8"/>
      <c r="AB40" s="8"/>
      <c r="AC40" s="8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</sheetData>
  <phoneticPr fontId="2"/>
  <dataValidations count="1">
    <dataValidation type="list" showInputMessage="1" showErrorMessage="1" sqref="Q10 AJ10:AO19 AR10:AR19 KG10:KI10 I10:N19 CJ10:CP19 DG10:DK19 CT10:CV19 DY10:EC19 DM10:DO19 EH10:EJ19 EU10:EV10 ES10 FQ10:FV10 FF10:FG10 GO10:GU10 GB10:GD10 HM10:HQ10 GZ10:HB10 II10:IM10 HV10:HZ10 JE10:JI10 IR10:IV10 KA10:KE10 JN10:JR10 KR10:KT10 S10:Y19 BU10:BW19 AZ10:BB19 BM10:BQ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F10:F19 AH10:AH19 CF10:CF19 DE10:DE19 DX10:DX19 FC10 EQ10 FN10 GK10 HI10:HJ10 IG10 JC10 JY10 BK10:BK19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H10:H19 AI10:AI19 JZ10 DF10:DF19 FD10 ER10 FP10 HL10 IH10 JD10 BL10:BL19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R10:R19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AB10:AB19 BE10:BE19 KX10 CY10:CY19 DR10:DR19 EM10:EM19 FJ10 EY10 GG10 HE10 IC10 IY10 JU10 KL10 BZ10:BZ19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356</v>
      </c>
      <c r="V10" s="147" t="s">
        <v>357</v>
      </c>
      <c r="X10" s="42"/>
      <c r="Y10" s="42" t="s">
        <v>267</v>
      </c>
      <c r="Z10" s="42" t="s">
        <v>267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358</v>
      </c>
      <c r="V11" s="147" t="s">
        <v>359</v>
      </c>
      <c r="W11" s="42"/>
      <c r="X11" s="42"/>
      <c r="Y11" s="42" t="s">
        <v>267</v>
      </c>
      <c r="Z11" s="42" t="s">
        <v>267</v>
      </c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360</v>
      </c>
      <c r="V12" s="147" t="s">
        <v>361</v>
      </c>
      <c r="W12" s="42"/>
      <c r="X12" s="42"/>
      <c r="Y12" s="42" t="s">
        <v>267</v>
      </c>
      <c r="Z12" s="42" t="s">
        <v>267</v>
      </c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362</v>
      </c>
      <c r="V13" s="147" t="s">
        <v>363</v>
      </c>
      <c r="W13" s="42"/>
      <c r="X13" s="42"/>
      <c r="Y13" s="42" t="s">
        <v>267</v>
      </c>
      <c r="Z13" s="42" t="s">
        <v>267</v>
      </c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19921875" defaultRowHeight="15.75" customHeight="1" x14ac:dyDescent="0.45"/>
  <cols>
    <col min="1" max="1" width="12.69921875" customWidth="1"/>
    <col min="2" max="2" width="20.19921875" customWidth="1"/>
    <col min="3" max="3" width="12.69921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2" t="s">
        <v>136</v>
      </c>
      <c r="B2" s="185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3"/>
      <c r="B3" s="186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3"/>
      <c r="B4" s="186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3"/>
      <c r="B5" s="186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4"/>
      <c r="B6" s="187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8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3"/>
      <c r="B8" s="189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3"/>
      <c r="B9" s="186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3"/>
      <c r="B10" s="187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3"/>
      <c r="B11" s="185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3"/>
      <c r="B12" s="186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3"/>
      <c r="B13" s="187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3"/>
      <c r="B14" s="189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3"/>
      <c r="B15" s="186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3"/>
      <c r="B16" s="187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3"/>
      <c r="B17" s="185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3"/>
      <c r="B18" s="186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3"/>
      <c r="B19" s="187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3"/>
      <c r="B20" s="185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3"/>
      <c r="B21" s="187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3"/>
      <c r="B22" s="185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4"/>
      <c r="B23" s="187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2025-05-24T04:13:54Z</dcterms:modified>
</cp:coreProperties>
</file>