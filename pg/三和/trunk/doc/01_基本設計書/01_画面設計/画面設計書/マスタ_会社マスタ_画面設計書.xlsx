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詳細_編集要素!$A$1:$KZ$45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<sst xmlns="http://schemas.openxmlformats.org/spreadsheetml/2006/main" count="1641" uniqueCount="358">
  <si>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</si>
  <si>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</si>
  <si>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</si>
  <si>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</si>
  <si>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</si>
  <si>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</si>
  <si>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</si>
  <si>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</si>
  <si>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</si>
  <si>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</si>
  <si>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</si>
  <si>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</si>
  <si>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</si>
  <si>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</si>
  <si>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</si>
  <si>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</si>
  <si>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</si>
  <si>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</si>
  <si>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</si>
  <si>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</si>
  <si>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</si>
  <si>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</si>
  <si>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</si>
  <si>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</si>
  <si>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</si>
  <si>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</si>
  <si>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</si>
  <si>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</si>
  <si>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</si>
  <si>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</si>
  <si>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</si>
  <si>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</si>
  <si>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</si>
  <si>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</si>
  <si>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</si>
  <si>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</si>
  <si>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</si>
  <si>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</si>
  <si>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</si>
  <si>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</si>
  <si>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</si>
  <si>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</si>
  <si>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</si>
  <si>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</si>
  <si>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</si>
  <si>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</si>
  <si>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</si>
  <si>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</si>
  <si>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</si>
  <si>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</si>
  <si>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</si>
  <si>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</si>
  <si>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</si>
  <si>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</si>
  <si>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</si>
  <si>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</si>
  <si>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</si>
  <si>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</si>
  <si>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</si>
  <si>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</si>
  <si>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</si>
  <si>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</si>
  <si>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</si>
  <si>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</si>
  <si>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</si>
  <si>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</si>
  <si>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</si>
  <si>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</si>
  <si>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</si>
  <si>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</si>
  <si>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</si>
  <si>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</si>
  <si>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</si>
  <si>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</si>
  <si>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</si>
  <si>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</si>
  <si>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</si>
  <si>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</si>
  <si>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</si>
  <si>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</si>
  <si>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</si>
  <si>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</si>
  <si>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</si>
  <si>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</si>
  <si>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</si>
  <si>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</si>
  <si>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</si>
  <si>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</si>
  <si>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</si>
  <si>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</si>
  <si>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</si>
  <si>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</si>
  <si>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</si>
  <si>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</si>
  <si>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</si>
  <si>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</si>
  <si>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</si>
  <si>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</si>
  <si>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</si>
  <si>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</si>
  <si>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</si>
  <si>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</si>
  <si>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</si>
  <si>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</si>
  <si>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</si>
  <si>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</si>
  <si>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</si>
  <si>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</si>
  <si>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</si>
  <si>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</si>
  <si>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</si>
  <si>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</si>
  <si>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</si>
  <si>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</si>
  <si>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</si>
  <si>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</si>
  <si>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</si>
  <si>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</si>
  <si>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</si>
  <si>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</si>
  <si>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</si>
  <si>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</si>
  <si>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</si>
  <si>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</si>
  <si>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</si>
  <si>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</si>
  <si>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</si>
  <si>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</si>
  <si>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</si>
  <si>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</si>
  <si>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</si>
  <si>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</si>
  <si>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</si>
  <si>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</si>
  <si>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</si>
  <si>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</si>
  <si>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</si>
  <si>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</si>
  <si>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</si>
  <si>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</si>
  <si>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</si>
  <si>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</si>
  <si>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</si>
  <si>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</si>
  <si>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</si>
  <si>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</si>
  <si>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</si>
  <si>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</si>
  <si>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</si>
  <si>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</si>
  <si>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</si>
  <si>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</si>
  <si>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</si>
  <si>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</si>
  <si>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</si>
  <si>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</si>
  <si>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</si>
  <si>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</si>
  <si>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</si>
  <si>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</si>
  <si>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</si>
  <si>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</si>
  <si>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</si>
  <si>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</si>
  <si>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</si>
  <si>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</si>
  <si>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</si>
  <si>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</si>
  <si>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</si>
  <si>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</si>
  <si>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</si>
  <si>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</si>
  <si>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</si>
  <si>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</si>
  <si>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</si>
  <si>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</si>
  <si>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</si>
  <si>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</si>
  <si>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</si>
  <si>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</si>
  <si>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</si>
  <si>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</si>
  <si>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</si>
  <si>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</si>
  <si>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</si>
  <si>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</si>
  <si>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</si>
  <si>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</si>
  <si>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</si>
  <si>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</si>
  <si>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</si>
  <si>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</si>
  <si>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</si>
  <si>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</si>
  <si>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</si>
  <si>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</si>
  <si>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</si>
  <si>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</si>
  <si>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</si>
  <si>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</si>
  <si>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</si>
  <si>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</si>
  <si>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</si>
  <si>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</si>
  <si>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</si>
  <si>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</si>
  <si>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</si>
  <si>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</si>
  <si>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</si>
  <si>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</si>
  <si>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</si>
  <si>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</si>
  <si>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</si>
  <si>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</si>
  <si>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</si>
  <si>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</si>
  <si>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</si>
  <si>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</si>
  <si>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</si>
  <si>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</si>
  <si>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</si>
  <si>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</si>
  <si>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</si>
  <si>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</si>
  <si>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</si>
  <si>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</si>
  <si>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</si>
  <si>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</si>
  <si>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</si>
  <si>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</si>
  <si>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</si>
  <si>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</si>
  <si>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</si>
  <si>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</si>
  <si>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</si>
  <si>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</si>
  <si>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</si>
  <si>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</si>
  <si>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</si>
  <si>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</si>
  <si>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</si>
  <si>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</si>
  <si>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</si>
  <si>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</si>
  <si>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</si>
  <si>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</si>
  <si>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</si>
  <si>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</si>
  <si>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</si>
  <si>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</si>
  <si>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</si>
  <si>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</si>
  <si>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</si>
  <si>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</si>
  <si>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</si>
  <si>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</si>
  <si>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</si>
  <si>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</si>
  <si>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</si>
  <si>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</si>
  <si>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</si>
  <si>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</si>
  <si>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</si>
  <si>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</si>
  <si>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</si>
  <si>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</si>
  <si>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</si>
  <si>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</si>
  <si>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</si>
  <si>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</si>
  <si>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</si>
  <si>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</si>
  <si>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</si>
  <si>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</si>
  <si>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</si>
  <si>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</si>
  <si>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</si>
  <si>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</si>
  <si>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</si>
  <si>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</si>
  <si>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</si>
  <si>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</si>
  <si>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</si>
  <si>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</si>
  <si>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</si>
  <si>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</si>
  <si>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</si>
  <si>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</si>
  <si>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</si>
  <si>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</si>
  <si>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</si>
  <si>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</si>
  <si>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</si>
  <si>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</si>
  <si>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</si>
  <si>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</si>
  <si>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</si>
  <si>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</si>
  <si>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</si>
  <si>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</si>
  <si>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</si>
  <si>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社名1</t>
    <rPh sb="0" eb="2">
      <t>シャメイ</t>
    </rPh>
    <phoneticPr fontId="2"/>
  </si>
  <si>
    <t>社名2</t>
    <rPh sb="0" eb="2">
      <t>シャメイ</t>
    </rPh>
    <phoneticPr fontId="2"/>
  </si>
  <si>
    <t>郵便番号</t>
    <rPh sb="0" eb="4">
      <t>ユウビンバンゴウ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</si>
  <si>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</si>
  <si>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</si>
  <si>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電話番号</t>
    <rPh sb="0" eb="4">
      <t>デンワバンゴウ</t>
    </rPh>
    <phoneticPr fontId="2"/>
  </si>
  <si>
    <t>FAX</t>
    <phoneticPr fontId="2"/>
  </si>
  <si>
    <t>代表者名</t>
    <rPh sb="0" eb="4">
      <t>ダイヒョウシャメイ</t>
    </rPh>
    <phoneticPr fontId="2"/>
  </si>
  <si>
    <t>期首月</t>
    <rPh sb="0" eb="2">
      <t>キシュ</t>
    </rPh>
    <rPh sb="2" eb="3">
      <t>ツキ</t>
    </rPh>
    <phoneticPr fontId="2"/>
  </si>
  <si>
    <t>締日</t>
    <rPh sb="0" eb="2">
      <t>シメビ</t>
    </rPh>
    <phoneticPr fontId="2"/>
  </si>
  <si>
    <t>登録番号</t>
    <rPh sb="0" eb="4">
      <t>トウロクバンゴウ</t>
    </rPh>
    <phoneticPr fontId="2"/>
  </si>
  <si>
    <t>社名1</t>
    <rPh sb="0" eb="2">
      <t>シャメイ</t>
    </rPh>
    <phoneticPr fontId="2"/>
  </si>
  <si>
    <t>社名2</t>
    <rPh sb="0" eb="2">
      <t>シャメイ</t>
    </rPh>
    <phoneticPr fontId="2"/>
  </si>
  <si>
    <t>郵便番号</t>
    <rPh sb="0" eb="4">
      <t>ユウビンバンゴウ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</si>
  <si>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</si>
  <si>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</si>
  <si>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電話番号</t>
    <rPh sb="0" eb="4">
      <t>デンワバンゴウ</t>
    </rPh>
    <phoneticPr fontId="2"/>
  </si>
  <si>
    <t>FAX</t>
    <phoneticPr fontId="2"/>
  </si>
  <si>
    <t>代表者名</t>
    <rPh sb="0" eb="4">
      <t>ダイヒョウシャメイ</t>
    </rPh>
    <phoneticPr fontId="2"/>
  </si>
  <si>
    <t>期首月</t>
    <rPh sb="0" eb="3">
      <t>キシュヅキ</t>
    </rPh>
    <phoneticPr fontId="2"/>
  </si>
  <si>
    <t>締日</t>
    <rPh sb="0" eb="2">
      <t>シメビ</t>
    </rPh>
    <phoneticPr fontId="2"/>
  </si>
  <si>
    <t>登録番号</t>
    <rPh sb="0" eb="4">
      <t>トウロクバンゴウ</t>
    </rPh>
    <phoneticPr fontId="2"/>
  </si>
  <si>
    <t>TM会社_入力開始日</t>
    <rPh sb="2" eb="4">
      <t>カイシャ</t>
    </rPh>
    <rPh sb="5" eb="10">
      <t>ニュウリョクカイシビ</t>
    </rPh>
    <phoneticPr fontId="2"/>
  </si>
  <si>
    <t>TM会社_社名1</t>
    <rPh sb="2" eb="4">
      <t>カイシャ</t>
    </rPh>
    <rPh sb="5" eb="7">
      <t>シャメイ</t>
    </rPh>
    <phoneticPr fontId="2"/>
  </si>
  <si>
    <t>TM会社_住所1</t>
  </si>
  <si>
    <t>TM会社_住所2</t>
  </si>
  <si>
    <t>TM会社_電話番号</t>
  </si>
  <si>
    <t>TM会社_代表者名</t>
  </si>
  <si>
    <t>TM会社_期首月</t>
  </si>
  <si>
    <t>TM会社_締日</t>
  </si>
  <si>
    <t>TM会社_社名2</t>
    <rPh sb="2" eb="4">
      <t>カイシャ</t>
    </rPh>
    <rPh sb="5" eb="7">
      <t>シャメイ</t>
    </rPh>
    <phoneticPr fontId="2"/>
  </si>
  <si>
    <t>TM会社_郵便番号</t>
    <rPh sb="2" eb="4">
      <t>カイシャ</t>
    </rPh>
    <rPh sb="5" eb="9">
      <t>ユウビンバンゴウ</t>
    </rPh>
    <phoneticPr fontId="2"/>
  </si>
  <si>
    <t>TM会社_インボイス登録番号</t>
    <phoneticPr fontId="2"/>
  </si>
  <si>
    <t>TM会社_FAX番号</t>
    <rPh sb="8" eb="10">
      <t>バンゴウ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</si>
  <si>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</si>
  <si>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</si>
  <si>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</si>
  <si>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</si>
  <si>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</si>
  <si>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</si>
  <si>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</si>
  <si>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</si>
  <si>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</si>
  <si>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J</t>
    <phoneticPr fontId="2"/>
  </si>
  <si>
    <t>K</t>
    <phoneticPr fontId="2"/>
  </si>
  <si>
    <t>A</t>
    <phoneticPr fontId="2"/>
  </si>
  <si>
    <t>〇</t>
    <phoneticPr fontId="2"/>
  </si>
  <si>
    <t>コールセンター</t>
    <phoneticPr fontId="2"/>
  </si>
  <si>
    <t>コールセンター</t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</si>
  <si>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</si>
  <si>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</si>
  <si>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</si>
  <si>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</si>
  <si>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</si>
  <si>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入力開始日</t>
    <phoneticPr fontId="2"/>
  </si>
  <si>
    <t>L</t>
    <phoneticPr fontId="2"/>
  </si>
  <si>
    <t>コールセンター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</si>
</sst>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4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22860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2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5420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23</xdr:col>
      <xdr:colOff>27037</xdr:colOff>
      <xdr:row>30</xdr:row>
      <xdr:rowOff>15240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3994497" cy="60502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274320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1204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1</xdr:col>
      <xdr:colOff>175260</xdr:colOff>
      <xdr:row>5</xdr:row>
      <xdr:rowOff>114300</xdr:rowOff>
    </xdr:from>
    <xdr:to>
      <xdr:col>22</xdr:col>
      <xdr:colOff>237261</xdr:colOff>
      <xdr:row>33</xdr:row>
      <xdr:rowOff>229220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" y="990600"/>
          <a:ext cx="12017781" cy="7155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39</xdr:col>
          <xdr:colOff>205740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221325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9" t="s">
        <v>256</v>
      </c>
      <c r="D8" s="150"/>
      <c r="E8" s="149" t="s">
        <v>257</v>
      </c>
      <c r="F8" s="159"/>
      <c r="G8" s="159"/>
      <c r="H8" s="159"/>
      <c r="I8" s="159"/>
      <c r="J8" s="159"/>
      <c r="K8" s="159"/>
      <c r="L8" s="159"/>
      <c r="M8" s="159"/>
      <c r="N8" s="150"/>
      <c r="O8" s="149" t="s">
        <v>258</v>
      </c>
      <c r="P8" s="159"/>
      <c r="Q8" s="15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1">
        <f>ROW()-8</f>
        <v>1</v>
      </c>
      <c r="D9" s="152"/>
      <c r="E9" s="153" t="s">
        <v>17</v>
      </c>
      <c r="F9" s="154"/>
      <c r="G9" s="154"/>
      <c r="H9" s="154"/>
      <c r="I9" s="154"/>
      <c r="J9" s="154"/>
      <c r="K9" s="154"/>
      <c r="L9" s="154"/>
      <c r="M9" s="154"/>
      <c r="N9" s="155"/>
      <c r="O9" s="156" t="str">
        <f>HYPERLINK("#"&amp;E9&amp;"!A1","リンク")</f>
        <v>リンク</v>
      </c>
      <c r="P9" s="157"/>
      <c r="Q9" s="158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1">
        <f t="shared" ref="C10:C18" si="0">ROW()-8</f>
        <v>2</v>
      </c>
      <c r="D10" s="152"/>
      <c r="E10" s="153" t="s">
        <v>259</v>
      </c>
      <c r="F10" s="154"/>
      <c r="G10" s="154"/>
      <c r="H10" s="154"/>
      <c r="I10" s="154"/>
      <c r="J10" s="154"/>
      <c r="K10" s="154"/>
      <c r="L10" s="154"/>
      <c r="M10" s="154"/>
      <c r="N10" s="155"/>
      <c r="O10" s="156" t="str">
        <f t="shared" ref="O10:O15" si="1">HYPERLINK("#"&amp;E10&amp;"!A1","リンク")</f>
        <v>リンク</v>
      </c>
      <c r="P10" s="157"/>
      <c r="Q10" s="158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1">
        <f t="shared" si="0"/>
        <v>3</v>
      </c>
      <c r="D11" s="152"/>
      <c r="E11" s="153" t="s">
        <v>260</v>
      </c>
      <c r="F11" s="154"/>
      <c r="G11" s="154"/>
      <c r="H11" s="154"/>
      <c r="I11" s="154"/>
      <c r="J11" s="154"/>
      <c r="K11" s="154"/>
      <c r="L11" s="154"/>
      <c r="M11" s="154"/>
      <c r="N11" s="155"/>
      <c r="O11" s="156" t="str">
        <f t="shared" si="1"/>
        <v>リンク</v>
      </c>
      <c r="P11" s="157"/>
      <c r="Q11" s="158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1">
        <f t="shared" si="0"/>
        <v>4</v>
      </c>
      <c r="D12" s="152"/>
      <c r="E12" s="153" t="s">
        <v>261</v>
      </c>
      <c r="F12" s="154"/>
      <c r="G12" s="154"/>
      <c r="H12" s="154"/>
      <c r="I12" s="154"/>
      <c r="J12" s="154"/>
      <c r="K12" s="154"/>
      <c r="L12" s="154"/>
      <c r="M12" s="154"/>
      <c r="N12" s="155"/>
      <c r="O12" s="156" t="str">
        <f t="shared" si="1"/>
        <v>リンク</v>
      </c>
      <c r="P12" s="157"/>
      <c r="Q12" s="158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1">
        <f t="shared" si="0"/>
        <v>5</v>
      </c>
      <c r="D13" s="152"/>
      <c r="E13" s="153" t="s">
        <v>263</v>
      </c>
      <c r="F13" s="154"/>
      <c r="G13" s="154"/>
      <c r="H13" s="154"/>
      <c r="I13" s="154"/>
      <c r="J13" s="154"/>
      <c r="K13" s="154"/>
      <c r="L13" s="154"/>
      <c r="M13" s="154"/>
      <c r="N13" s="155"/>
      <c r="O13" s="156" t="str">
        <f t="shared" si="1"/>
        <v>リンク</v>
      </c>
      <c r="P13" s="157"/>
      <c r="Q13" s="158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1">
        <f t="shared" si="0"/>
        <v>6</v>
      </c>
      <c r="D14" s="152"/>
      <c r="E14" s="153" t="s">
        <v>264</v>
      </c>
      <c r="F14" s="154"/>
      <c r="G14" s="154"/>
      <c r="H14" s="154"/>
      <c r="I14" s="154"/>
      <c r="J14" s="154"/>
      <c r="K14" s="154"/>
      <c r="L14" s="154"/>
      <c r="M14" s="154"/>
      <c r="N14" s="155"/>
      <c r="O14" s="156" t="str">
        <f t="shared" si="1"/>
        <v>リンク</v>
      </c>
      <c r="P14" s="157"/>
      <c r="Q14" s="158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1">
        <f t="shared" si="0"/>
        <v>7</v>
      </c>
      <c r="D15" s="152"/>
      <c r="E15" s="153" t="s">
        <v>262</v>
      </c>
      <c r="F15" s="154"/>
      <c r="G15" s="154"/>
      <c r="H15" s="154"/>
      <c r="I15" s="154"/>
      <c r="J15" s="154"/>
      <c r="K15" s="154"/>
      <c r="L15" s="154"/>
      <c r="M15" s="154"/>
      <c r="N15" s="155"/>
      <c r="O15" s="156" t="str">
        <f t="shared" si="1"/>
        <v>リンク</v>
      </c>
      <c r="P15" s="157"/>
      <c r="Q15" s="158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1">
        <f t="shared" si="0"/>
        <v>8</v>
      </c>
      <c r="D16" s="152"/>
      <c r="E16" s="153" t="s">
        <v>265</v>
      </c>
      <c r="F16" s="154"/>
      <c r="G16" s="154"/>
      <c r="H16" s="154"/>
      <c r="I16" s="154"/>
      <c r="J16" s="154"/>
      <c r="K16" s="154"/>
      <c r="L16" s="154"/>
      <c r="M16" s="154"/>
      <c r="N16" s="155"/>
      <c r="O16" s="156" t="str">
        <f>HYPERLINK("#"&amp;E16&amp;"!A1","リンク")</f>
        <v>リンク</v>
      </c>
      <c r="P16" s="157"/>
      <c r="Q16" s="158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1">
        <f t="shared" si="0"/>
        <v>9</v>
      </c>
      <c r="D17" s="152"/>
      <c r="E17" s="153" t="s">
        <v>266</v>
      </c>
      <c r="F17" s="154"/>
      <c r="G17" s="154"/>
      <c r="H17" s="154"/>
      <c r="I17" s="154"/>
      <c r="J17" s="154"/>
      <c r="K17" s="154"/>
      <c r="L17" s="154"/>
      <c r="M17" s="154"/>
      <c r="N17" s="155"/>
      <c r="O17" s="156" t="str">
        <f>HYPERLINK("#"&amp;E17&amp;"!A1","リンク")</f>
        <v>リンク</v>
      </c>
      <c r="P17" s="157"/>
      <c r="Q17" s="158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1">
        <f t="shared" si="0"/>
        <v>10</v>
      </c>
      <c r="D18" s="152"/>
      <c r="E18" s="153" t="s">
        <v>294</v>
      </c>
      <c r="F18" s="154"/>
      <c r="G18" s="154"/>
      <c r="H18" s="154"/>
      <c r="I18" s="154"/>
      <c r="J18" s="154"/>
      <c r="K18" s="154"/>
      <c r="L18" s="154"/>
      <c r="M18" s="154"/>
      <c r="N18" s="155"/>
      <c r="O18" s="156" t="str">
        <f>HYPERLINK("#"&amp;E18&amp;"!A1","リンク")</f>
        <v>リンク</v>
      </c>
      <c r="P18" s="157"/>
      <c r="Q18" s="158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0" t="s">
        <v>0</v>
      </c>
      <c r="C2" s="161"/>
      <c r="D2" s="161"/>
      <c r="E2" s="161"/>
      <c r="F2" s="161"/>
      <c r="G2" s="161"/>
      <c r="H2" s="161" t="s">
        <v>353</v>
      </c>
      <c r="I2" s="161"/>
      <c r="J2" s="161"/>
      <c r="K2" s="161"/>
      <c r="L2" s="161" t="s">
        <v>352</v>
      </c>
      <c r="M2" s="161"/>
      <c r="N2" s="161"/>
      <c r="O2" s="161"/>
      <c r="P2" s="161"/>
      <c r="Q2" s="161"/>
      <c r="R2" s="161" t="s">
        <v>1</v>
      </c>
      <c r="S2" s="161"/>
      <c r="T2" s="161"/>
      <c r="U2" s="161"/>
      <c r="V2" s="161"/>
      <c r="W2" s="161"/>
      <c r="X2" s="162" t="s">
        <v>2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15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61" t="s">
        <v>4</v>
      </c>
      <c r="AY2" s="161"/>
      <c r="AZ2" s="161"/>
      <c r="BA2" s="161"/>
      <c r="BB2" s="161" t="s">
        <v>3</v>
      </c>
      <c r="BC2" s="161"/>
      <c r="BD2" s="161"/>
      <c r="BE2" s="161"/>
      <c r="BF2" s="161" t="s">
        <v>5</v>
      </c>
      <c r="BG2" s="161"/>
      <c r="BH2" s="161"/>
      <c r="BI2" s="161"/>
      <c r="BJ2" s="161" t="s">
        <v>6</v>
      </c>
      <c r="BK2" s="161"/>
      <c r="BL2" s="161"/>
      <c r="BM2" s="175"/>
      <c r="BN2" s="15"/>
    </row>
    <row r="3" spans="1:66" ht="20.100000000000001" customHeight="1" x14ac:dyDescent="0.45">
      <c r="A3" s="9"/>
      <c r="B3" s="165" t="s">
        <v>350</v>
      </c>
      <c r="C3" s="166"/>
      <c r="D3" s="166"/>
      <c r="E3" s="166"/>
      <c r="F3" s="166"/>
      <c r="G3" s="166"/>
      <c r="H3" s="166" t="str">
        <f ca="1">LEFT($X$3,FIND("_",$X$3)-1)</f>
        <v>マスタ</v>
      </c>
      <c r="I3" s="166"/>
      <c r="J3" s="166"/>
      <c r="K3" s="166"/>
      <c r="L3" s="166" t="s">
        <v>351</v>
      </c>
      <c r="M3" s="166"/>
      <c r="N3" s="166"/>
      <c r="O3" s="166"/>
      <c r="P3" s="166"/>
      <c r="Q3" s="166"/>
      <c r="R3" s="169" t="str">
        <f ca="1">MID($X$3,FIND("_",$X$3,FIND("_",$X$3)+1)+1,LEN($X$3)-FIND("_",$X$3,FIND("_",$X$3)+1))</f>
        <v>画面設計書</v>
      </c>
      <c r="S3" s="166"/>
      <c r="T3" s="166"/>
      <c r="U3" s="166"/>
      <c r="V3" s="166"/>
      <c r="W3" s="166"/>
      <c r="X3" s="170" t="str">
        <f ca="1">REPLACE(LEFT(CELL("filename",$B$2),FIND(".x",CELL("filename",$B$2))-1),1,FIND("[",CELL("filename",$B$2)),)</f>
        <v>マスタ_会社マスタ_画面設計書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67"/>
      <c r="AK3" s="170" t="str">
        <f ca="1">MID($X$3,FIND("_",$X$3)+1,FIND("_",$X$3,FIND("_",$X$3)+1)-FIND("_",$X$3)-1)</f>
        <v>会社マスタ</v>
      </c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67"/>
      <c r="AX3" s="177">
        <v>45436</v>
      </c>
      <c r="AY3" s="166"/>
      <c r="AZ3" s="166"/>
      <c r="BA3" s="166"/>
      <c r="BB3" s="166" t="s">
        <v>354</v>
      </c>
      <c r="BC3" s="166"/>
      <c r="BD3" s="166"/>
      <c r="BE3" s="166"/>
      <c r="BF3" s="177">
        <v>45436</v>
      </c>
      <c r="BG3" s="166"/>
      <c r="BH3" s="166"/>
      <c r="BI3" s="166"/>
      <c r="BJ3" s="166" t="s">
        <v>354</v>
      </c>
      <c r="BK3" s="166"/>
      <c r="BL3" s="166"/>
      <c r="BM3" s="178"/>
      <c r="BN3" s="15"/>
    </row>
    <row r="4" spans="1:66" ht="20.100000000000001" customHeight="1" thickBot="1" x14ac:dyDescent="0.5">
      <c r="A4" s="9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72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  <c r="AK4" s="172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4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70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6" t="s">
        <v>7</v>
      </c>
      <c r="D8" s="176"/>
      <c r="E8" s="176"/>
      <c r="F8" s="176"/>
      <c r="G8" s="176" t="s">
        <v>8</v>
      </c>
      <c r="H8" s="176"/>
      <c r="I8" s="176"/>
      <c r="J8" s="176"/>
      <c r="K8" s="176" t="s">
        <v>9</v>
      </c>
      <c r="L8" s="176"/>
      <c r="M8" s="176"/>
      <c r="N8" s="176"/>
      <c r="O8" s="176" t="s">
        <v>10</v>
      </c>
      <c r="P8" s="176"/>
      <c r="Q8" s="176"/>
      <c r="R8" s="176"/>
      <c r="S8" s="176"/>
      <c r="T8" s="176"/>
      <c r="U8" s="176"/>
      <c r="V8" s="176"/>
      <c r="W8" s="176"/>
      <c r="X8" s="176"/>
      <c r="Y8" s="176" t="s">
        <v>11</v>
      </c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8"/>
      <c r="BN8" s="15"/>
    </row>
    <row r="9" spans="1:66" ht="20.100000000000001" customHeight="1" x14ac:dyDescent="0.45">
      <c r="A9" s="9"/>
      <c r="B9" s="8"/>
      <c r="C9" s="179">
        <v>45436</v>
      </c>
      <c r="D9" s="180"/>
      <c r="E9" s="180"/>
      <c r="F9" s="181"/>
      <c r="G9" s="153" t="s">
        <v>18</v>
      </c>
      <c r="H9" s="154"/>
      <c r="I9" s="154"/>
      <c r="J9" s="155"/>
      <c r="K9" s="182" t="s">
        <v>354</v>
      </c>
      <c r="L9" s="180"/>
      <c r="M9" s="180"/>
      <c r="N9" s="181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9"/>
      <c r="D10" s="180"/>
      <c r="E10" s="180"/>
      <c r="F10" s="181"/>
      <c r="G10" s="153"/>
      <c r="H10" s="154"/>
      <c r="I10" s="154"/>
      <c r="J10" s="155"/>
      <c r="K10" s="182"/>
      <c r="L10" s="180"/>
      <c r="M10" s="180"/>
      <c r="N10" s="18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9"/>
      <c r="D11" s="180"/>
      <c r="E11" s="180"/>
      <c r="F11" s="181"/>
      <c r="G11" s="153"/>
      <c r="H11" s="154"/>
      <c r="I11" s="154"/>
      <c r="J11" s="155"/>
      <c r="K11" s="182"/>
      <c r="L11" s="180"/>
      <c r="M11" s="180"/>
      <c r="N11" s="18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9"/>
      <c r="D36" s="180"/>
      <c r="E36" s="180"/>
      <c r="F36" s="181"/>
      <c r="G36" s="153"/>
      <c r="H36" s="154"/>
      <c r="I36" s="154"/>
      <c r="J36" s="155"/>
      <c r="K36" s="182"/>
      <c r="L36" s="180"/>
      <c r="M36" s="180"/>
      <c r="N36" s="18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9"/>
      <c r="D37" s="180"/>
      <c r="E37" s="180"/>
      <c r="F37" s="181"/>
      <c r="G37" s="153"/>
      <c r="H37" s="154"/>
      <c r="I37" s="154"/>
      <c r="J37" s="155"/>
      <c r="K37" s="182"/>
      <c r="L37" s="180"/>
      <c r="M37" s="180"/>
      <c r="N37" s="18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9"/>
      <c r="D38" s="180"/>
      <c r="E38" s="180"/>
      <c r="F38" s="181"/>
      <c r="G38" s="153"/>
      <c r="H38" s="154"/>
      <c r="I38" s="154"/>
      <c r="J38" s="155"/>
      <c r="K38" s="182"/>
      <c r="L38" s="180"/>
      <c r="M38" s="180"/>
      <c r="N38" s="18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9"/>
      <c r="D39" s="180"/>
      <c r="E39" s="180"/>
      <c r="F39" s="181"/>
      <c r="G39" s="153"/>
      <c r="H39" s="154"/>
      <c r="I39" s="154"/>
      <c r="J39" s="155"/>
      <c r="K39" s="182"/>
      <c r="L39" s="180"/>
      <c r="M39" s="180"/>
      <c r="N39" s="18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9"/>
      <c r="D40" s="180"/>
      <c r="E40" s="180"/>
      <c r="F40" s="181"/>
      <c r="G40" s="153"/>
      <c r="H40" s="154"/>
      <c r="I40" s="154"/>
      <c r="J40" s="155"/>
      <c r="K40" s="182"/>
      <c r="L40" s="180"/>
      <c r="M40" s="180"/>
      <c r="N40" s="18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9"/>
      <c r="D41" s="180"/>
      <c r="E41" s="180"/>
      <c r="F41" s="181"/>
      <c r="G41" s="153"/>
      <c r="H41" s="154"/>
      <c r="I41" s="154"/>
      <c r="J41" s="155"/>
      <c r="K41" s="182"/>
      <c r="L41" s="180"/>
      <c r="M41" s="180"/>
      <c r="N41" s="18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9"/>
      <c r="D42" s="180"/>
      <c r="E42" s="180"/>
      <c r="F42" s="181"/>
      <c r="G42" s="153"/>
      <c r="H42" s="154"/>
      <c r="I42" s="154"/>
      <c r="J42" s="155"/>
      <c r="K42" s="182"/>
      <c r="L42" s="180"/>
      <c r="M42" s="180"/>
      <c r="N42" s="18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9"/>
      <c r="D43" s="180"/>
      <c r="E43" s="180"/>
      <c r="F43" s="181"/>
      <c r="G43" s="153"/>
      <c r="H43" s="154"/>
      <c r="I43" s="154"/>
      <c r="J43" s="155"/>
      <c r="K43" s="182"/>
      <c r="L43" s="180"/>
      <c r="M43" s="180"/>
      <c r="N43" s="18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9"/>
      <c r="D44" s="180"/>
      <c r="E44" s="180"/>
      <c r="F44" s="181"/>
      <c r="G44" s="153"/>
      <c r="H44" s="154"/>
      <c r="I44" s="154"/>
      <c r="J44" s="155"/>
      <c r="K44" s="182"/>
      <c r="L44" s="180"/>
      <c r="M44" s="180"/>
      <c r="N44" s="18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9"/>
      <c r="D45" s="180"/>
      <c r="E45" s="180"/>
      <c r="F45" s="181"/>
      <c r="G45" s="153"/>
      <c r="H45" s="154"/>
      <c r="I45" s="154"/>
      <c r="J45" s="155"/>
      <c r="K45" s="182"/>
      <c r="L45" s="180"/>
      <c r="M45" s="180"/>
      <c r="N45" s="18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9"/>
      <c r="D46" s="180"/>
      <c r="E46" s="180"/>
      <c r="F46" s="181"/>
      <c r="G46" s="153"/>
      <c r="H46" s="154"/>
      <c r="I46" s="154"/>
      <c r="J46" s="155"/>
      <c r="K46" s="182"/>
      <c r="L46" s="180"/>
      <c r="M46" s="180"/>
      <c r="N46" s="18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9"/>
      <c r="D47" s="180"/>
      <c r="E47" s="180"/>
      <c r="F47" s="181"/>
      <c r="G47" s="153"/>
      <c r="H47" s="154"/>
      <c r="I47" s="154"/>
      <c r="J47" s="155"/>
      <c r="K47" s="182"/>
      <c r="L47" s="180"/>
      <c r="M47" s="180"/>
      <c r="N47" s="18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301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302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303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304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305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306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307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 t="s">
        <v>308</v>
      </c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 t="s">
        <v>348</v>
      </c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 t="s">
        <v>309</v>
      </c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 t="s">
        <v>310</v>
      </c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 t="s">
        <v>355</v>
      </c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 t="s">
        <v>311</v>
      </c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301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302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303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304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305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306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307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 t="s">
        <v>308</v>
      </c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 t="s">
        <v>349</v>
      </c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 t="s">
        <v>309</v>
      </c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 t="s">
        <v>310</v>
      </c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 t="s">
        <v>355</v>
      </c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 t="s">
        <v>311</v>
      </c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Y76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.19921875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5.29687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4.296875" style="7" bestFit="1" customWidth="1"/>
    <col min="59" max="60" width="3.59765625" style="7"/>
    <col min="61" max="61" width="5.796875" style="7" bestFit="1" customWidth="1"/>
    <col min="62" max="62" width="10.3984375" style="7" bestFit="1" customWidth="1"/>
    <col min="63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18.39843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335</v>
      </c>
      <c r="E10" s="100" t="s">
        <v>312</v>
      </c>
      <c r="F10" s="105" t="s">
        <v>38</v>
      </c>
      <c r="G10" s="105">
        <v>30</v>
      </c>
      <c r="H10" s="105"/>
      <c r="I10" s="42" t="s">
        <v>347</v>
      </c>
      <c r="J10" s="42"/>
      <c r="K10" s="42"/>
      <c r="L10" s="42"/>
      <c r="M10" s="42"/>
      <c r="N10" s="42"/>
      <c r="O10" s="105"/>
      <c r="P10" s="10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20" t="s">
        <v>324</v>
      </c>
      <c r="AE10" s="19">
        <v>1</v>
      </c>
      <c r="AF10" s="96"/>
      <c r="AG10" s="100"/>
      <c r="AH10" s="105"/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/>
      <c r="BH10" s="19">
        <v>1</v>
      </c>
      <c r="BI10" s="96" t="s">
        <v>346</v>
      </c>
      <c r="BJ10" s="100" t="s">
        <v>355</v>
      </c>
      <c r="BK10" s="105" t="s">
        <v>47</v>
      </c>
      <c r="BL10" s="105"/>
      <c r="BM10" s="42"/>
      <c r="BN10" s="42"/>
      <c r="BO10" s="42"/>
      <c r="BP10" s="42"/>
      <c r="BQ10" s="42" t="s">
        <v>267</v>
      </c>
      <c r="BR10" s="105" t="s">
        <v>44</v>
      </c>
      <c r="BS10" s="105"/>
      <c r="BT10" s="105"/>
      <c r="BU10" s="42"/>
      <c r="BV10" s="42"/>
      <c r="BW10" s="42"/>
      <c r="BX10" s="100"/>
      <c r="BY10" s="100"/>
      <c r="BZ10" s="118"/>
      <c r="CA10" s="120" t="s">
        <v>323</v>
      </c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336</v>
      </c>
      <c r="E11" s="100" t="s">
        <v>313</v>
      </c>
      <c r="F11" s="105" t="s">
        <v>38</v>
      </c>
      <c r="G11" s="105">
        <v>30</v>
      </c>
      <c r="H11" s="105"/>
      <c r="I11" s="42"/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 t="s">
        <v>331</v>
      </c>
      <c r="AE11" s="19">
        <v>2</v>
      </c>
      <c r="AF11" s="96"/>
      <c r="AG11" s="100"/>
      <c r="AH11" s="105"/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/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 t="s">
        <v>337</v>
      </c>
      <c r="E12" s="100" t="s">
        <v>314</v>
      </c>
      <c r="F12" s="105" t="s">
        <v>38</v>
      </c>
      <c r="G12" s="105">
        <v>8</v>
      </c>
      <c r="H12" s="105" t="s">
        <v>48</v>
      </c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 t="s">
        <v>332</v>
      </c>
      <c r="AE12" s="19">
        <v>3</v>
      </c>
      <c r="AF12" s="96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 t="s">
        <v>338</v>
      </c>
      <c r="E13" s="100" t="s">
        <v>315</v>
      </c>
      <c r="F13" s="105" t="s">
        <v>38</v>
      </c>
      <c r="G13" s="105">
        <v>40</v>
      </c>
      <c r="H13" s="105" t="s">
        <v>48</v>
      </c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 t="s">
        <v>267</v>
      </c>
      <c r="Y13" s="42"/>
      <c r="Z13" s="100"/>
      <c r="AA13" s="100"/>
      <c r="AB13" s="118"/>
      <c r="AC13" s="120" t="s">
        <v>325</v>
      </c>
      <c r="AE13" s="19">
        <v>4</v>
      </c>
      <c r="AF13" s="96"/>
      <c r="AG13" s="100"/>
      <c r="AH13" s="105"/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 t="s">
        <v>339</v>
      </c>
      <c r="E14" s="100" t="s">
        <v>316</v>
      </c>
      <c r="F14" s="105" t="s">
        <v>38</v>
      </c>
      <c r="G14" s="105">
        <v>40</v>
      </c>
      <c r="H14" s="105" t="s">
        <v>48</v>
      </c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 t="s">
        <v>267</v>
      </c>
      <c r="Y14" s="42"/>
      <c r="Z14" s="100"/>
      <c r="AA14" s="100"/>
      <c r="AB14" s="118"/>
      <c r="AC14" s="120" t="s">
        <v>326</v>
      </c>
      <c r="AE14" s="19">
        <v>5</v>
      </c>
      <c r="AF14" s="98"/>
      <c r="AG14" s="100"/>
      <c r="AH14" s="105"/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 t="s">
        <v>340</v>
      </c>
      <c r="E15" s="100" t="s">
        <v>317</v>
      </c>
      <c r="F15" s="105" t="s">
        <v>38</v>
      </c>
      <c r="G15" s="105">
        <v>15</v>
      </c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 t="s">
        <v>327</v>
      </c>
      <c r="AE15" s="19">
        <v>6</v>
      </c>
      <c r="AF15" s="96"/>
      <c r="AG15" s="100"/>
      <c r="AH15" s="105"/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 t="s">
        <v>341</v>
      </c>
      <c r="E16" s="100" t="s">
        <v>318</v>
      </c>
      <c r="F16" s="105" t="s">
        <v>38</v>
      </c>
      <c r="G16" s="105">
        <v>15</v>
      </c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 t="s">
        <v>334</v>
      </c>
      <c r="AE16" s="19">
        <v>7</v>
      </c>
      <c r="AF16" s="96"/>
      <c r="AG16" s="100"/>
      <c r="AH16" s="105"/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 t="s">
        <v>342</v>
      </c>
      <c r="E17" s="100" t="s">
        <v>319</v>
      </c>
      <c r="F17" s="105" t="s">
        <v>38</v>
      </c>
      <c r="G17" s="105">
        <v>30</v>
      </c>
      <c r="H17" s="105" t="s">
        <v>48</v>
      </c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 t="s">
        <v>328</v>
      </c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 t="s">
        <v>343</v>
      </c>
      <c r="E18" s="100" t="s">
        <v>320</v>
      </c>
      <c r="F18" s="105" t="s">
        <v>47</v>
      </c>
      <c r="G18" s="105"/>
      <c r="H18" s="105"/>
      <c r="I18" s="42"/>
      <c r="J18" s="42"/>
      <c r="K18" s="42"/>
      <c r="L18" s="42"/>
      <c r="M18" s="42" t="s">
        <v>267</v>
      </c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 t="s">
        <v>329</v>
      </c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x14ac:dyDescent="0.45">
      <c r="A19" s="5"/>
      <c r="B19" s="5"/>
      <c r="C19" s="19">
        <v>10</v>
      </c>
      <c r="D19" s="98" t="s">
        <v>344</v>
      </c>
      <c r="E19" s="101" t="s">
        <v>321</v>
      </c>
      <c r="F19" s="105" t="s">
        <v>47</v>
      </c>
      <c r="G19" s="106"/>
      <c r="H19" s="106"/>
      <c r="I19" s="146"/>
      <c r="J19" s="146"/>
      <c r="K19" s="146"/>
      <c r="L19" s="146"/>
      <c r="M19" s="42" t="s">
        <v>267</v>
      </c>
      <c r="N19" s="146"/>
      <c r="O19" s="106"/>
      <c r="P19" s="106"/>
      <c r="Q19" s="106"/>
      <c r="R19" s="106"/>
      <c r="S19" s="146"/>
      <c r="T19" s="146"/>
      <c r="U19" s="146"/>
      <c r="V19" s="146"/>
      <c r="W19" s="146"/>
      <c r="X19" s="146"/>
      <c r="Y19" s="146"/>
      <c r="Z19" s="101"/>
      <c r="AA19" s="101"/>
      <c r="AB19" s="147"/>
      <c r="AC19" s="148" t="s">
        <v>330</v>
      </c>
      <c r="AE19" s="20"/>
      <c r="AF19" s="98"/>
      <c r="AG19" s="101"/>
      <c r="AH19" s="106"/>
      <c r="AI19" s="106"/>
      <c r="AJ19" s="146"/>
      <c r="AK19" s="146"/>
      <c r="AL19" s="146"/>
      <c r="AM19" s="146"/>
      <c r="AN19" s="146"/>
      <c r="AO19" s="146"/>
      <c r="AP19" s="106"/>
      <c r="AQ19" s="106"/>
      <c r="AR19" s="146"/>
      <c r="AS19" s="106"/>
      <c r="AT19" s="106"/>
      <c r="AU19" s="106"/>
      <c r="AV19" s="106"/>
      <c r="AW19" s="106"/>
      <c r="AX19" s="106"/>
      <c r="AY19" s="106"/>
      <c r="AZ19" s="146"/>
      <c r="BA19" s="146"/>
      <c r="BB19" s="146"/>
      <c r="BC19" s="101"/>
      <c r="BD19" s="101"/>
      <c r="BE19" s="147"/>
      <c r="BF19" s="148"/>
      <c r="BH19" s="20"/>
      <c r="BI19" s="98"/>
      <c r="BJ19" s="101"/>
      <c r="BK19" s="106"/>
      <c r="BL19" s="106"/>
      <c r="BM19" s="146"/>
      <c r="BN19" s="146"/>
      <c r="BO19" s="146"/>
      <c r="BP19" s="146"/>
      <c r="BQ19" s="146"/>
      <c r="BR19" s="106"/>
      <c r="BS19" s="106"/>
      <c r="BT19" s="106"/>
      <c r="BU19" s="146"/>
      <c r="BV19" s="146"/>
      <c r="BW19" s="146"/>
      <c r="BX19" s="101"/>
      <c r="BY19" s="101"/>
      <c r="BZ19" s="147"/>
      <c r="CA19" s="148"/>
      <c r="CC19" s="20"/>
      <c r="CD19" s="98"/>
      <c r="CE19" s="101"/>
      <c r="CF19" s="106"/>
      <c r="CG19" s="106"/>
      <c r="CH19" s="106"/>
      <c r="CI19" s="106"/>
      <c r="CJ19" s="146"/>
      <c r="CK19" s="146"/>
      <c r="CL19" s="146"/>
      <c r="CM19" s="146"/>
      <c r="CN19" s="146"/>
      <c r="CO19" s="146"/>
      <c r="CP19" s="146"/>
      <c r="CQ19" s="106"/>
      <c r="CR19" s="106"/>
      <c r="CS19" s="106"/>
      <c r="CT19" s="146"/>
      <c r="CU19" s="146"/>
      <c r="CV19" s="146"/>
      <c r="CW19" s="101"/>
      <c r="CX19" s="101"/>
      <c r="CY19" s="147"/>
      <c r="CZ19" s="148"/>
      <c r="DB19" s="20"/>
      <c r="DC19" s="98"/>
      <c r="DD19" s="101"/>
      <c r="DE19" s="106"/>
      <c r="DF19" s="106"/>
      <c r="DG19" s="146"/>
      <c r="DH19" s="146"/>
      <c r="DI19" s="146"/>
      <c r="DJ19" s="146"/>
      <c r="DK19" s="146"/>
      <c r="DL19" s="106"/>
      <c r="DM19" s="146"/>
      <c r="DN19" s="146"/>
      <c r="DO19" s="146"/>
      <c r="DP19" s="101"/>
      <c r="DQ19" s="101"/>
      <c r="DR19" s="147"/>
      <c r="DS19" s="148"/>
      <c r="DU19" s="20"/>
      <c r="DV19" s="98"/>
      <c r="DW19" s="101"/>
      <c r="DX19" s="106"/>
      <c r="DY19" s="146"/>
      <c r="DZ19" s="146"/>
      <c r="EA19" s="146"/>
      <c r="EB19" s="146"/>
      <c r="EC19" s="146"/>
      <c r="ED19" s="106"/>
      <c r="EE19" s="106"/>
      <c r="EF19" s="106"/>
      <c r="EG19" s="106"/>
      <c r="EH19" s="146"/>
      <c r="EI19" s="146"/>
      <c r="EJ19" s="146"/>
      <c r="EK19" s="101"/>
      <c r="EL19" s="101"/>
      <c r="EM19" s="147"/>
      <c r="EN19" s="148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x14ac:dyDescent="0.45">
      <c r="A20" s="5"/>
      <c r="B20" s="5"/>
      <c r="C20" s="19">
        <v>11</v>
      </c>
      <c r="D20" s="98" t="s">
        <v>345</v>
      </c>
      <c r="E20" s="101" t="s">
        <v>322</v>
      </c>
      <c r="F20" s="105" t="s">
        <v>38</v>
      </c>
      <c r="G20" s="106">
        <v>14</v>
      </c>
      <c r="H20" s="106"/>
      <c r="I20" s="146"/>
      <c r="J20" s="146"/>
      <c r="K20" s="146"/>
      <c r="L20" s="146"/>
      <c r="M20" s="146"/>
      <c r="N20" s="146"/>
      <c r="O20" s="106"/>
      <c r="P20" s="106"/>
      <c r="Q20" s="106"/>
      <c r="R20" s="106"/>
      <c r="S20" s="146"/>
      <c r="T20" s="146"/>
      <c r="U20" s="146"/>
      <c r="V20" s="146"/>
      <c r="W20" s="146"/>
      <c r="X20" s="146"/>
      <c r="Y20" s="146"/>
      <c r="Z20" s="101"/>
      <c r="AA20" s="101"/>
      <c r="AB20" s="147"/>
      <c r="AC20" s="148" t="s">
        <v>333</v>
      </c>
      <c r="AE20" s="20"/>
      <c r="AF20" s="98"/>
      <c r="AG20" s="101"/>
      <c r="AH20" s="106"/>
      <c r="AI20" s="106"/>
      <c r="AJ20" s="146"/>
      <c r="AK20" s="146"/>
      <c r="AL20" s="146"/>
      <c r="AM20" s="146"/>
      <c r="AN20" s="146"/>
      <c r="AO20" s="146"/>
      <c r="AP20" s="106"/>
      <c r="AQ20" s="106"/>
      <c r="AR20" s="146"/>
      <c r="AS20" s="106"/>
      <c r="AT20" s="106"/>
      <c r="AU20" s="106"/>
      <c r="AV20" s="106"/>
      <c r="AW20" s="106"/>
      <c r="AX20" s="106"/>
      <c r="AY20" s="106"/>
      <c r="AZ20" s="146"/>
      <c r="BA20" s="146"/>
      <c r="BB20" s="146"/>
      <c r="BC20" s="101"/>
      <c r="BD20" s="101"/>
      <c r="BE20" s="147"/>
      <c r="BF20" s="148"/>
      <c r="BH20" s="20"/>
      <c r="BI20" s="98"/>
      <c r="BJ20" s="101"/>
      <c r="BK20" s="106"/>
      <c r="BL20" s="106"/>
      <c r="BM20" s="146"/>
      <c r="BN20" s="146"/>
      <c r="BO20" s="146"/>
      <c r="BP20" s="146"/>
      <c r="BQ20" s="146"/>
      <c r="BR20" s="106"/>
      <c r="BS20" s="106"/>
      <c r="BT20" s="106"/>
      <c r="BU20" s="146"/>
      <c r="BV20" s="146"/>
      <c r="BW20" s="146"/>
      <c r="BX20" s="101"/>
      <c r="BY20" s="101"/>
      <c r="BZ20" s="147"/>
      <c r="CA20" s="148"/>
      <c r="CC20" s="20"/>
      <c r="CD20" s="98"/>
      <c r="CE20" s="101"/>
      <c r="CF20" s="106"/>
      <c r="CG20" s="106"/>
      <c r="CH20" s="106"/>
      <c r="CI20" s="106"/>
      <c r="CJ20" s="146"/>
      <c r="CK20" s="146"/>
      <c r="CL20" s="146"/>
      <c r="CM20" s="146"/>
      <c r="CN20" s="146"/>
      <c r="CO20" s="146"/>
      <c r="CP20" s="146"/>
      <c r="CQ20" s="106"/>
      <c r="CR20" s="106"/>
      <c r="CS20" s="106"/>
      <c r="CT20" s="146"/>
      <c r="CU20" s="146"/>
      <c r="CV20" s="146"/>
      <c r="CW20" s="101"/>
      <c r="CX20" s="101"/>
      <c r="CY20" s="147"/>
      <c r="CZ20" s="148"/>
      <c r="DB20" s="20"/>
      <c r="DC20" s="98"/>
      <c r="DD20" s="101"/>
      <c r="DE20" s="106"/>
      <c r="DF20" s="106"/>
      <c r="DG20" s="146"/>
      <c r="DH20" s="146"/>
      <c r="DI20" s="146"/>
      <c r="DJ20" s="146"/>
      <c r="DK20" s="146"/>
      <c r="DL20" s="106"/>
      <c r="DM20" s="146"/>
      <c r="DN20" s="146"/>
      <c r="DO20" s="146"/>
      <c r="DP20" s="101"/>
      <c r="DQ20" s="101"/>
      <c r="DR20" s="147"/>
      <c r="DS20" s="148"/>
      <c r="DU20" s="20"/>
      <c r="DV20" s="98"/>
      <c r="DW20" s="101"/>
      <c r="DX20" s="106"/>
      <c r="DY20" s="146"/>
      <c r="DZ20" s="146"/>
      <c r="EA20" s="146"/>
      <c r="EB20" s="146"/>
      <c r="EC20" s="146"/>
      <c r="ED20" s="106"/>
      <c r="EE20" s="106"/>
      <c r="EF20" s="106"/>
      <c r="EG20" s="106"/>
      <c r="EH20" s="146"/>
      <c r="EI20" s="146"/>
      <c r="EJ20" s="146"/>
      <c r="EK20" s="101"/>
      <c r="EL20" s="101"/>
      <c r="EM20" s="147"/>
      <c r="EN20" s="148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</row>
    <row r="21" spans="1:167" s="6" customFormat="1" ht="20.100000000000001" customHeight="1" thickBot="1" x14ac:dyDescent="0.5">
      <c r="A21" s="5"/>
      <c r="B21" s="5"/>
      <c r="C21" s="27">
        <v>12</v>
      </c>
      <c r="D21" s="97" t="s">
        <v>356</v>
      </c>
      <c r="E21" s="102" t="s">
        <v>357</v>
      </c>
      <c r="F21" s="107" t="s">
        <v>38</v>
      </c>
      <c r="G21" s="107">
        <v>15</v>
      </c>
      <c r="H21" s="107"/>
      <c r="I21" s="50" t="s">
        <v>20</v>
      </c>
      <c r="J21" s="50" t="s">
        <v>20</v>
      </c>
      <c r="K21" s="50" t="s">
        <v>20</v>
      </c>
      <c r="L21" s="50" t="s">
        <v>20</v>
      </c>
      <c r="M21" s="50" t="s">
        <v>20</v>
      </c>
      <c r="N21" s="50" t="s">
        <v>20</v>
      </c>
      <c r="O21" s="107"/>
      <c r="P21" s="107"/>
      <c r="Q21" s="107"/>
      <c r="R21" s="107"/>
      <c r="S21" s="50" t="s">
        <v>20</v>
      </c>
      <c r="T21" s="50" t="s">
        <v>20</v>
      </c>
      <c r="U21" s="50" t="s">
        <v>20</v>
      </c>
      <c r="V21" s="50" t="s">
        <v>20</v>
      </c>
      <c r="W21" s="50" t="s">
        <v>20</v>
      </c>
      <c r="X21" s="50" t="s">
        <v>20</v>
      </c>
      <c r="Y21" s="50" t="s">
        <v>20</v>
      </c>
      <c r="Z21" s="102"/>
      <c r="AA21" s="117"/>
      <c r="AB21" s="119"/>
      <c r="AC21" s="112"/>
      <c r="AE21" s="27">
        <v>10</v>
      </c>
      <c r="AF21" s="97"/>
      <c r="AG21" s="102"/>
      <c r="AH21" s="107"/>
      <c r="AI21" s="107"/>
      <c r="AJ21" s="50" t="s">
        <v>20</v>
      </c>
      <c r="AK21" s="50" t="s">
        <v>20</v>
      </c>
      <c r="AL21" s="50" t="s">
        <v>20</v>
      </c>
      <c r="AM21" s="50" t="s">
        <v>20</v>
      </c>
      <c r="AN21" s="50" t="s">
        <v>20</v>
      </c>
      <c r="AO21" s="50" t="s">
        <v>20</v>
      </c>
      <c r="AP21" s="107"/>
      <c r="AQ21" s="107"/>
      <c r="AR21" s="50" t="s">
        <v>20</v>
      </c>
      <c r="AS21" s="107"/>
      <c r="AT21" s="107"/>
      <c r="AU21" s="107"/>
      <c r="AV21" s="107"/>
      <c r="AW21" s="107"/>
      <c r="AX21" s="107"/>
      <c r="AY21" s="107"/>
      <c r="AZ21" s="50" t="s">
        <v>20</v>
      </c>
      <c r="BA21" s="50" t="s">
        <v>20</v>
      </c>
      <c r="BB21" s="50" t="s">
        <v>20</v>
      </c>
      <c r="BC21" s="102"/>
      <c r="BD21" s="117"/>
      <c r="BE21" s="119"/>
      <c r="BF21" s="112"/>
      <c r="BH21" s="27">
        <v>10</v>
      </c>
      <c r="BI21" s="97"/>
      <c r="BJ21" s="102"/>
      <c r="BK21" s="107"/>
      <c r="BL21" s="107"/>
      <c r="BM21" s="50" t="s">
        <v>20</v>
      </c>
      <c r="BN21" s="50" t="s">
        <v>20</v>
      </c>
      <c r="BO21" s="50" t="s">
        <v>20</v>
      </c>
      <c r="BP21" s="50" t="s">
        <v>20</v>
      </c>
      <c r="BQ21" s="50" t="s">
        <v>20</v>
      </c>
      <c r="BR21" s="107"/>
      <c r="BS21" s="107"/>
      <c r="BT21" s="107"/>
      <c r="BU21" s="50" t="s">
        <v>20</v>
      </c>
      <c r="BV21" s="50" t="s">
        <v>20</v>
      </c>
      <c r="BW21" s="50" t="s">
        <v>20</v>
      </c>
      <c r="BX21" s="102"/>
      <c r="BY21" s="117"/>
      <c r="BZ21" s="119"/>
      <c r="CA21" s="112"/>
      <c r="CC21" s="27">
        <v>10</v>
      </c>
      <c r="CD21" s="97"/>
      <c r="CE21" s="102"/>
      <c r="CF21" s="107"/>
      <c r="CG21" s="107"/>
      <c r="CH21" s="107"/>
      <c r="CI21" s="107"/>
      <c r="CJ21" s="50" t="s">
        <v>20</v>
      </c>
      <c r="CK21" s="50" t="s">
        <v>20</v>
      </c>
      <c r="CL21" s="50" t="s">
        <v>20</v>
      </c>
      <c r="CM21" s="50" t="s">
        <v>20</v>
      </c>
      <c r="CN21" s="50" t="s">
        <v>20</v>
      </c>
      <c r="CO21" s="50" t="s">
        <v>20</v>
      </c>
      <c r="CP21" s="50" t="s">
        <v>20</v>
      </c>
      <c r="CQ21" s="107"/>
      <c r="CR21" s="107"/>
      <c r="CS21" s="107"/>
      <c r="CT21" s="50" t="s">
        <v>20</v>
      </c>
      <c r="CU21" s="50" t="s">
        <v>20</v>
      </c>
      <c r="CV21" s="50" t="s">
        <v>20</v>
      </c>
      <c r="CW21" s="102"/>
      <c r="CX21" s="117"/>
      <c r="CY21" s="119"/>
      <c r="CZ21" s="112"/>
      <c r="DB21" s="27">
        <v>10</v>
      </c>
      <c r="DC21" s="97"/>
      <c r="DD21" s="102"/>
      <c r="DE21" s="107"/>
      <c r="DF21" s="107"/>
      <c r="DG21" s="50" t="s">
        <v>20</v>
      </c>
      <c r="DH21" s="50" t="s">
        <v>20</v>
      </c>
      <c r="DI21" s="50" t="s">
        <v>20</v>
      </c>
      <c r="DJ21" s="50" t="s">
        <v>20</v>
      </c>
      <c r="DK21" s="50" t="s">
        <v>20</v>
      </c>
      <c r="DL21" s="107"/>
      <c r="DM21" s="50" t="s">
        <v>20</v>
      </c>
      <c r="DN21" s="50" t="s">
        <v>20</v>
      </c>
      <c r="DO21" s="50" t="s">
        <v>20</v>
      </c>
      <c r="DP21" s="102"/>
      <c r="DQ21" s="117"/>
      <c r="DR21" s="119"/>
      <c r="DS21" s="112"/>
      <c r="DU21" s="27">
        <v>10</v>
      </c>
      <c r="DV21" s="97"/>
      <c r="DW21" s="102"/>
      <c r="DX21" s="107"/>
      <c r="DY21" s="50" t="s">
        <v>20</v>
      </c>
      <c r="DZ21" s="50" t="s">
        <v>20</v>
      </c>
      <c r="EA21" s="50" t="s">
        <v>20</v>
      </c>
      <c r="EB21" s="50"/>
      <c r="EC21" s="50" t="s">
        <v>20</v>
      </c>
      <c r="ED21" s="107"/>
      <c r="EE21" s="107"/>
      <c r="EF21" s="107"/>
      <c r="EG21" s="107"/>
      <c r="EH21" s="50" t="s">
        <v>20</v>
      </c>
      <c r="EI21" s="50" t="s">
        <v>20</v>
      </c>
      <c r="EJ21" s="50" t="s">
        <v>20</v>
      </c>
      <c r="EK21" s="102"/>
      <c r="EL21" s="117"/>
      <c r="EM21" s="119"/>
      <c r="EN21" s="112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</row>
    <row r="22" spans="1:167" s="6" customFormat="1" ht="20.100000000000001" customHeight="1" thickTop="1" x14ac:dyDescent="0.4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E22" s="5"/>
      <c r="AF22" s="5"/>
      <c r="AG22" s="5"/>
    </row>
    <row r="23" spans="1:167" ht="20.100000000000001" customHeight="1" x14ac:dyDescent="0.4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16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</row>
    <row r="25" spans="1:167" ht="20.100000000000001" customHeight="1" x14ac:dyDescent="0.45">
      <c r="A25" s="8"/>
    </row>
    <row r="26" spans="1:167" ht="20.100000000000001" customHeight="1" x14ac:dyDescent="0.45">
      <c r="A26" s="8"/>
      <c r="CS26"/>
      <c r="CT26"/>
      <c r="CU26"/>
      <c r="CV26"/>
      <c r="CW26"/>
      <c r="CX26"/>
      <c r="CY26"/>
      <c r="CZ26"/>
    </row>
    <row r="27" spans="1:167" ht="19.5" customHeight="1" x14ac:dyDescent="0.45">
      <c r="CS27"/>
      <c r="CT27"/>
      <c r="CU27"/>
      <c r="CV27"/>
      <c r="CW27"/>
      <c r="CX27"/>
      <c r="CY27"/>
      <c r="CZ2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3" spans="2:96" customFormat="1" ht="20.100000000000001" customHeight="1" x14ac:dyDescent="0.4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</row>
    <row r="34" spans="2:96" customFormat="1" ht="20.100000000000001" customHeight="1" x14ac:dyDescent="0.4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</row>
    <row r="40" spans="2:96" ht="20.100000000000001" customHeight="1" x14ac:dyDescent="0.45">
      <c r="B40" s="8"/>
      <c r="C40"/>
      <c r="D40"/>
      <c r="E40"/>
      <c r="Z40" s="8"/>
      <c r="AA40" s="8"/>
      <c r="AB40" s="8"/>
      <c r="AC40" s="8"/>
      <c r="AD40" s="8"/>
      <c r="AE40" s="8"/>
      <c r="AF40" s="8"/>
      <c r="AG40" s="8"/>
    </row>
    <row r="41" spans="2:96" ht="20.100000000000001" customHeight="1" x14ac:dyDescent="0.45">
      <c r="B41" s="8"/>
      <c r="C41"/>
      <c r="D41"/>
      <c r="E41"/>
      <c r="Z41" s="8"/>
      <c r="AA41" s="8"/>
      <c r="AB41" s="8"/>
      <c r="AC41" s="8"/>
      <c r="AD41" s="8"/>
      <c r="AE41" s="8"/>
      <c r="AF41" s="8"/>
      <c r="AG41" s="8"/>
    </row>
    <row r="42" spans="2:96" ht="20.100000000000001" customHeight="1" x14ac:dyDescent="0.45">
      <c r="B42" s="8"/>
      <c r="C42" s="40"/>
      <c r="D42" s="40"/>
      <c r="Z42" s="8"/>
      <c r="AA42" s="8"/>
      <c r="AB42" s="8"/>
      <c r="AC42" s="8"/>
      <c r="AD42" s="8"/>
      <c r="AE42" s="8"/>
      <c r="AF42" s="8"/>
      <c r="AG42" s="8"/>
    </row>
    <row r="43" spans="2:96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96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96" customFormat="1" ht="20.100000000000001" customHeight="1" x14ac:dyDescent="0.45"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2:96" customFormat="1" ht="20.100000000000001" customHeight="1" x14ac:dyDescent="0.45"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2:96" customFormat="1" ht="20.100000000000001" customHeight="1" x14ac:dyDescent="0.45"/>
    <row r="48" spans="2:96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  <row r="75" customFormat="1" ht="20.100000000000001" customHeight="1" x14ac:dyDescent="0.45"/>
    <row r="76" customFormat="1" ht="20.100000000000001" customHeight="1" x14ac:dyDescent="0.45"/>
  </sheetData>
  <phoneticPr fontId="2"/>
  <dataValidations count="1">
    <dataValidation type="list" showInputMessage="1" showErrorMessage="1" sqref="S10:Y21 AJ10:AO21 AR10:AR21 KG10:KI10 BM10:BQ21 CJ10:CP21 BU10:BW21 DG10:DK21 CT10:CV21 DY10:EC21 DM10:DO21 EH10:EJ21 EU10:EV10 ES10 FQ10:FV10 FF10:FG10 GO10:GU10 GB10:GD10 HM10:HQ10 GZ10:HB10 II10:IM10 HV10:HZ10 JE10:JI10 IR10:IV10 KA10:KE10 JN10:JR10 KR10:KT10 AZ10:BB21 I10:N21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AQ10:AQ21</xm:sqref>
        </x14:dataValidation>
        <x14:dataValidation type="list" allowBlank="1" showInputMessage="1" showErrorMessage="1">
          <x14:formula1>
            <xm:f>OFFSET(参照!$E$1,0,,COUNTA(配置))</xm:f>
          </x14:formula1>
          <xm:sqref>KP10 AH10:AH21 BK10:BK21 CF10:CF21 DE10:DE21 DX10:DX21 FC10 EQ10 FN10 GK10 HI10:HJ10 IG10 JC10 JY10 F10:F21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H10:H21 AI10:AI21 BL10:BL21 DF10:DF21 FD10 ER10 FP10 HL10 IH10 JD10 JZ10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AV10:AV21 HU10 IQ10 R10:R21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AB10:AB21 BE10:BE21 BZ10:BZ21 CY10:CY21 DR10:DR21 EM10:EM21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AU10:AU21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BR10:BR21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CH10:CH21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CI10:CI21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20</v>
      </c>
      <c r="V10" s="134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20</v>
      </c>
      <c r="V11" s="134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3" t="s">
        <v>136</v>
      </c>
      <c r="B2" s="186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4"/>
      <c r="B3" s="187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4"/>
      <c r="B4" s="187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4"/>
      <c r="B5" s="187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5"/>
      <c r="B6" s="188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9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4"/>
      <c r="B8" s="190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4"/>
      <c r="B9" s="187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4"/>
      <c r="B10" s="188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4"/>
      <c r="B11" s="186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4"/>
      <c r="B12" s="187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4"/>
      <c r="B13" s="188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4"/>
      <c r="B14" s="190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4"/>
      <c r="B15" s="187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4"/>
      <c r="B16" s="188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4"/>
      <c r="B17" s="186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4"/>
      <c r="B18" s="187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4"/>
      <c r="B19" s="188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4"/>
      <c r="B20" s="186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4"/>
      <c r="B21" s="188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4"/>
      <c r="B22" s="186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5"/>
      <c r="B23" s="188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2025-05-24T04:13:31Z</dcterms:modified>
</cp:coreProperties>
</file>