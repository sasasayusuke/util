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897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詳細_編集要素!$A$1:$KZ$43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<sst xmlns="http://schemas.openxmlformats.org/spreadsheetml/2006/main" count="1646" uniqueCount="368">
  <si>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</si>
  <si>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</si>
  <si>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</si>
  <si>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</si>
  <si>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</si>
  <si>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</si>
  <si>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</si>
  <si>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</si>
  <si>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</si>
  <si>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</si>
  <si>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</si>
  <si>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</si>
  <si>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</si>
  <si>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</si>
  <si>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</si>
  <si>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</si>
  <si>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</si>
  <si>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</si>
  <si>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</si>
  <si>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</si>
  <si>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</si>
  <si>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</si>
  <si>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</si>
  <si>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</si>
  <si>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</si>
  <si>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</si>
  <si>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</si>
  <si>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</si>
  <si>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</si>
  <si>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</si>
  <si>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</si>
  <si>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</si>
  <si>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</si>
  <si>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</si>
  <si>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</si>
  <si>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</si>
  <si>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</si>
  <si>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</si>
  <si>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</si>
  <si>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</si>
  <si>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</si>
  <si>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</si>
  <si>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</si>
  <si>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</si>
  <si>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</si>
  <si>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</si>
  <si>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</si>
  <si>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</si>
  <si>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</si>
  <si>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</si>
  <si>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</si>
  <si>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</si>
  <si>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</si>
  <si>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</si>
  <si>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</si>
  <si>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</si>
  <si>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</si>
  <si>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</si>
  <si>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</si>
  <si>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</si>
  <si>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</si>
  <si>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</si>
  <si>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</si>
  <si>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</si>
  <si>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</si>
  <si>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</si>
  <si>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</si>
  <si>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</si>
  <si>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</si>
  <si>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</si>
  <si>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</si>
  <si>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</si>
  <si>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</si>
  <si>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</si>
  <si>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</si>
  <si>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</si>
  <si>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</si>
  <si>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</si>
  <si>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</si>
  <si>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</si>
  <si>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</si>
  <si>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</si>
  <si>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</si>
  <si>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</si>
  <si>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</si>
  <si>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</si>
  <si>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</si>
  <si>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</si>
  <si>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</si>
  <si>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</si>
  <si>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</si>
  <si>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</si>
  <si>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</si>
  <si>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</si>
  <si>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</si>
  <si>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</si>
  <si>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</si>
  <si>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</si>
  <si>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</si>
  <si>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</si>
  <si>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</si>
  <si>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</si>
  <si>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</si>
  <si>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</si>
  <si>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</si>
  <si>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</si>
  <si>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</si>
  <si>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</si>
  <si>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</si>
  <si>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</si>
  <si>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</si>
  <si>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</si>
  <si>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</si>
  <si>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</si>
  <si>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</si>
  <si>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</si>
  <si>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</si>
  <si>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</si>
  <si>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</si>
  <si>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</si>
  <si>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</si>
  <si>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</si>
  <si>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</si>
  <si>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</si>
  <si>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</si>
  <si>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</si>
  <si>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</si>
  <si>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</si>
  <si>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</si>
  <si>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</si>
  <si>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</si>
  <si>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</si>
  <si>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</si>
  <si>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</si>
  <si>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</si>
  <si>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</si>
  <si>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</si>
  <si>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</si>
  <si>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</si>
  <si>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</si>
  <si>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</si>
  <si>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</si>
  <si>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</si>
  <si>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</si>
  <si>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</si>
  <si>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</si>
  <si>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</si>
  <si>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</si>
  <si>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</si>
  <si>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</si>
  <si>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</si>
  <si>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</si>
  <si>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</si>
  <si>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</si>
  <si>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</si>
  <si>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</si>
  <si>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</si>
  <si>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</si>
  <si>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</si>
  <si>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</si>
  <si>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</si>
  <si>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</si>
  <si>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</si>
  <si>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</si>
  <si>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</si>
  <si>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</si>
  <si>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</si>
  <si>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</si>
  <si>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</si>
  <si>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</si>
  <si>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</si>
  <si>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</si>
  <si>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</si>
  <si>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</si>
  <si>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</si>
  <si>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</si>
  <si>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</si>
  <si>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</si>
  <si>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</si>
  <si>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</si>
  <si>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</si>
  <si>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</si>
  <si>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</si>
  <si>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</si>
  <si>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</si>
  <si>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</si>
  <si>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</si>
  <si>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</si>
  <si>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</si>
  <si>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</si>
  <si>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</si>
  <si>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</si>
  <si>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</si>
  <si>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</si>
  <si>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</si>
  <si>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</si>
  <si>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</si>
  <si>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</si>
  <si>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</si>
  <si>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</si>
  <si>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</si>
  <si>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</si>
  <si>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</si>
  <si>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</si>
  <si>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</si>
  <si>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</si>
  <si>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</si>
  <si>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</si>
  <si>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</si>
  <si>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</si>
  <si>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</si>
  <si>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</si>
  <si>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</si>
  <si>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</si>
  <si>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</si>
  <si>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</si>
  <si>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</si>
  <si>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</si>
  <si>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</si>
  <si>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</si>
  <si>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</si>
  <si>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</si>
  <si>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</si>
  <si>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</si>
  <si>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</si>
  <si>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</si>
  <si>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</si>
  <si>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</si>
  <si>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</si>
  <si>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</si>
  <si>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</si>
  <si>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</si>
  <si>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</si>
  <si>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</si>
  <si>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</si>
  <si>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</si>
  <si>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</si>
  <si>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</si>
  <si>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</si>
  <si>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</si>
  <si>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</si>
  <si>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</si>
  <si>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</si>
  <si>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</si>
  <si>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</si>
  <si>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</si>
  <si>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</si>
  <si>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</si>
  <si>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</si>
  <si>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</si>
  <si>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</si>
  <si>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</si>
  <si>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</si>
  <si>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</si>
  <si>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</si>
  <si>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</si>
  <si>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</si>
  <si>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</si>
  <si>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</si>
  <si>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</si>
  <si>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</si>
  <si>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</si>
  <si>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</si>
  <si>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</si>
  <si>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</si>
  <si>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</si>
  <si>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</si>
  <si>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</si>
  <si>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</si>
  <si>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</si>
  <si>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</si>
  <si>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</si>
  <si>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</si>
  <si>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</si>
  <si>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</si>
  <si>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</si>
  <si>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</si>
  <si>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</si>
  <si>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</si>
  <si>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</si>
  <si>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</si>
  <si>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</si>
  <si>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</si>
  <si>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</si>
  <si>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</si>
  <si>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</si>
  <si>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</si>
  <si>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</si>
  <si>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</si>
  <si>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</si>
  <si>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</si>
  <si>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</si>
  <si>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</si>
  <si>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</si>
  <si>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</si>
  <si>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</si>
  <si>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</si>
  <si>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</si>
  <si>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</si>
  <si>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</si>
  <si>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</si>
  <si>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</si>
  <si>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</si>
  <si>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漢字名称</t>
    <rPh sb="0" eb="2">
      <t>カンジ</t>
    </rPh>
    <rPh sb="2" eb="4">
      <t>メイショウ</t>
    </rPh>
    <phoneticPr fontId="2"/>
  </si>
  <si>
    <t>棚番マスタ_製品NO</t>
    <rPh sb="0" eb="2">
      <t>タナバン</t>
    </rPh>
    <rPh sb="6" eb="8">
      <t>セイヒン</t>
    </rPh>
    <phoneticPr fontId="2"/>
  </si>
  <si>
    <t>棚番マスタ_仕様NO</t>
    <rPh sb="6" eb="8">
      <t>シヨウ</t>
    </rPh>
    <phoneticPr fontId="2"/>
  </si>
  <si>
    <t>A</t>
  </si>
  <si>
    <t>B</t>
  </si>
  <si>
    <t>C</t>
  </si>
  <si>
    <t>D</t>
  </si>
  <si>
    <t>F</t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</si>
  <si>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</si>
  <si>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</si>
  <si>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</si>
  <si>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</si>
  <si>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</si>
  <si>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棚番名</t>
    <rPh sb="0" eb="2">
      <t>タナバン</t>
    </rPh>
    <rPh sb="2" eb="3">
      <t>メイ</t>
    </rPh>
    <phoneticPr fontId="2"/>
  </si>
  <si>
    <t>〇</t>
    <phoneticPr fontId="2"/>
  </si>
  <si>
    <t>棚番マスタ_棚番号</t>
    <rPh sb="6" eb="7">
      <t>タナ</t>
    </rPh>
    <rPh sb="7" eb="8">
      <t>バン</t>
    </rPh>
    <rPh sb="8" eb="9">
      <t>ゴウ</t>
    </rPh>
    <phoneticPr fontId="2"/>
  </si>
  <si>
    <t>E</t>
    <phoneticPr fontId="2"/>
  </si>
  <si>
    <t>行No</t>
    <rPh sb="0" eb="1">
      <t>ギョウ</t>
    </rPh>
    <phoneticPr fontId="2"/>
  </si>
  <si>
    <t>(使用しない)棚番マスタ_行NO</t>
    <rPh sb="1" eb="3">
      <t>シヨウ</t>
    </rPh>
    <rPh sb="13" eb="14">
      <t>ギョウ</t>
    </rPh>
    <phoneticPr fontId="2"/>
  </si>
  <si>
    <t>〇</t>
    <phoneticPr fontId="2"/>
  </si>
  <si>
    <t>棚番名</t>
    <rPh sb="2" eb="3">
      <t>メイ</t>
    </rPh>
    <phoneticPr fontId="2"/>
  </si>
  <si>
    <t>〇</t>
    <phoneticPr fontId="2"/>
  </si>
  <si>
    <t>　sdt_disabled</t>
    <phoneticPr fontId="2"/>
  </si>
  <si>
    <t>// =================================================
// フィールドCSSに'sdt_disabled'クラスが設定されているフィールドを
// disabledにします。
// $p.set()は稼働しますが、手動での操作を制限します。
// -------------------------------------------------
// 引数：disabledにするかreadonlyにするか
// =================================================
function setDisabled(type){
  //該当の入力エリアをdisabled / readonlyにする
  $('.sdt_disabled input').prop(type, true); // 一般的なinput要素
  $('.sdt_disabled input[type="number"]').prop(type, true); // 数値用のinput要素
  $('.sdt_disabled textarea').prop(type, true); // textarea要素
  $('.sdt_disabled select').prop(type, true); // select要素
  // selectはreadonlyが効かないのでoptionをdisabledにする
  // $('.sdt_disabled option').prop('disabled', true);
  // $('.sdt_disabled option:selected').prop('disabled', false);
  //コントロールアイコンを削除する
  $('.sdt_disabled div.field-control div.ui-icon').remove();
}
$p.events.on_editor_load = function () {
  setDisabled('disabled');
}</t>
    <phoneticPr fontId="2"/>
  </si>
  <si>
    <t>W</t>
  </si>
  <si>
    <t>H</t>
  </si>
  <si>
    <t>D1</t>
  </si>
  <si>
    <t>D2</t>
  </si>
  <si>
    <t>H1</t>
  </si>
  <si>
    <t>H2</t>
  </si>
  <si>
    <t>A</t>
    <phoneticPr fontId="2"/>
  </si>
  <si>
    <t>B</t>
    <phoneticPr fontId="2"/>
  </si>
  <si>
    <t>C</t>
    <phoneticPr fontId="2"/>
  </si>
  <si>
    <t>E</t>
    <phoneticPr fontId="2"/>
  </si>
  <si>
    <t>F</t>
    <phoneticPr fontId="2"/>
  </si>
  <si>
    <t>G</t>
    <phoneticPr fontId="2"/>
  </si>
  <si>
    <t>D</t>
    <phoneticPr fontId="2"/>
  </si>
  <si>
    <t>〇</t>
    <phoneticPr fontId="2"/>
  </si>
  <si>
    <t>00_共通.js</t>
  </si>
  <si>
    <t xml:space="preserve">// ＝＝＝＝＝＝＝＝＝＝＝＝＝＝＝＝＝＝＝＝＝＝＝＝＝＝＝＝＝＝＝＝コード値系＝＝＝＝＝＝＝＝＝＝＝＝＝＝＝＝＝＝＝＝＝＝＝＝＝＝＝＝＝＝＝＝
const SUCCESS_MESSAGE_CODE = {
    // 成功メッセージ
    'SUCCESS_CREATE_FILE': 'ファイルの作成に成功しました',
    'SUCCESS_UPDATE': '更新に成功しました',
    'SUCCESS_DELETE': '削除に成功しました',
    'SUCCESS_UPLOAD': 'アップロードに成功しました',
    'SUCCESS_DOWNLOAD': 'ダウンロードに成功しました',
    'SUCCESS_SAVE': '保存に成功しました',
    'SUCCESS_CHECK': 'チェックが完了しました',
    'NOT_FOUND': '該当データ無し',
}
// ＝＝＝＝＝＝＝＝＝＝＝＝＝＝＝＝＝＝＝＝＝＝＝＝＝＝＝＝＝＝＝＝判定系＝＝＝＝＝＝＝＝＝＝＝＝＝＝＝＝＝＝＝＝＝＝＝＝＝＝＝＝＝＝＝＝
/**
 * Null判定する関数です。
 * @param {object} obj オブジェクト
 * @returns {boolean} 判定結果
 * @throws {Error} 処理中に発生したエラー
 */
function commonIsNull(obj) {
    if (Array.isArray(obj)) {
        return obj.filter(v =&gt; String(v).trim() !== '').length == 0;
    } else if (typeof obj === 'object') {
        return !obj || Object.keys(obj).length === 0 &amp;&amp; obj.constructor === Object;
    } else {
        return !obj &amp;&amp; obj !== 0 || String(obj).trim() == '';
    }
}
/**
 * ステータスをチェックする関数です。
 * @param {Array|string} applyStatuses 適用するステータス
 * @returns {boolean} チェック結果
 * @throws {Error} 処理中に発生したエラー
 */
function commonCheckStatus(applyStatuses = "all") {
    if ($p.action() !== "edit" &amp;&amp; $p.action() !== "new") {
        let message = "編集画面で使用を想定"
        alert(message)
        throw new Error(message)
    }
    let allFlg = false;
    if (!Array.isArray(applyStatuses)) {
        if (applyStatuses === "all") {
            allFlg = true;
        } else {
            applyStatuses = [applyStatuses];
        }
    }
    return allFlg || applyStatuses.map(v =&gt; +v).includes(+commonGetValue("Status", false));
}
// ＝＝＝＝＝＝＝＝＝＝＝＝＝＝＝＝＝＝＝＝＝＝＝＝＝＝＝＝＝＝＝＝値取得&amp;値設定系＝＝＝＝＝＝＝＝＝＝＝＝＝＝＝＝＝＝＝＝＝＝＝＝＝＝＝＝＝＝＝
/**
 * 日付を出力する関数です。
 *
 * yyyy引数なしで現在日付
 * 月末はddに0を入力
 *
 * @param {Number} yyyy   年(またはDateオブジェクト)
 * @param {Number} mm     月
 * @param {Number} dd     日
 * @param {String} format フォーマット
 *
 * @return {String} フォーマット加工された日付文字列
 *
 * 例1. yyyy = 2022, mm = 4, dd = 18, format = 'YYYY-MM-DD'
 *            ⇓
 *     '2022-04-18'
 * 例2. yyyy = 2021, mm = 13, dd = 10, format = 'YYYY-MM-DD'
 *            ⇓
 *     '2022-01-10'
 * 例3. yyyy = 2021, mm = 11, dd = 0, format = 'YYYY-MM-DD'
 *            ⇓
 *     '2022-10-31'
 * 例4. yyyy = 2020
 *            ⇓
 *     '2020-01-01T00:00:00'
 * 例5. 引数なし
 *            ⇓
 *     現在日付の'YYYY-MM-DD'
 * 例6. yyyy = "", mm = "", dd = "", format = 'YYYYMM'
 *            ⇓
 *     現在日付の'YYYYMM'
 */
function commonGetDate(yyyy, mm = 1, dd = 1, format = 'YYYY-MM-DD') {
    let date
    if (typeof yyyy === 'undefined' || commonIsNull(yyyy)) {
        date = new Date()
    } else if (typeof yyyy === 'object') {
        date = yyyy
    } else {
        date = new Date(yyyy, mm - 1, dd)
    }
    return format
        .replace(/YYYY/, String(date.getFullYear()).padStart(4, "0"))
        .replace(/MM/, String(date.getMonth() + 1).padStart(2, "0"))
        .replace(/DD/, String(date.getDate()).padStart(2, "0"))
        .replace(/hh/, String(date.getHours()).padStart(2, "0"))
        .replace(/mm/, String(date.getMinutes()).padStart(2, "0"))
        .replace(/ss/, String(date.getSeconds()).padStart(2, "0"))
}
/**
 * 入力されたラベルに一致する項目の選択した値を返却する。
 * @param {String} label ラベル
 * @param {Boolean} valueFlg true : value値 false : display値
 * @returns {*} 選択された値または表示テキスト
 * @throws {Error} 処理中に発生したエラー
 */
function commonGetValue(label, valueFlg = true) {
    if ($p.action() !== "edit" &amp;&amp; $p.action() !== "new") {
        let message = "編集画面で使用を想定"
        alert(message)
        throw new Error(message)
    }
    const control = $p.getControl($p.getColumnName(label));
    const tagName = control.prop("tagName");
    let value;
    switch (tagName) {
        case "SELECT":
            value = commonHandleSelect(control, valueFlg);
            break;
        case "INPUT":
            value = commonHandleInput(control, label, valueFlg);
            break;
        case "TEXTAREA":
            value = document.getElementById(commonGetId(label) + ".viewer").innerText;
            break;
        default:
            value = commonHandleDefault(control, valueFlg);
    }
    return commonParseIfJson(value);
}
/**
 * 入力されたラベルに一致する項目の選択した値を入力する。
 * @param {String} label ラベル
 * @param {object} value 値
 */
function commonSetValue(label, value) {
    if ($p.action() !== "edit" &amp;&amp; $p.action() !== "new") {
        let message = "編集画面で使用を想定"
        alert(message)
        throw new Error(message)
    }
    // 値が変更されている場合
    if (commonGetValue(label, true) != value) {
        if ($p.getColumnName(label).startsWith("Check")) {
            // changeイベントを動かす
            $p.getControl(label).click()
        } else {
            value = (value == commonGetDateEmpty()) ? "" : value
            $p.set($p.getControl(label), value)
        }
    }
}
/**
 * 入力されたラベルのIDを返却する。
 * @param {String} label ラベル
 * @param {Boolean} [prefix=true] プレフィックス（テーブル名）を付けるかどうか
 * @param {Boolean} [suffix=false] サフィックス（'Field'）を付けるかどうか
 * @returns {String} 生成されたID
 * @throws {Error} ラベルが不正な場合やその他のエラー
 */
function commonGetId(label, prefix = true, suffix = false) {
    if ($p.action() !== "edit" &amp;&amp; $p.action() !== "new") {
        let message = "編集画面で使用を想定"
        alert(message)
        throw new Error(message)
    }
    let id = $p.getColumnName(label);
    if (commonIsNull(id)) {
        let message = `commonGetId ：ラベル不正。${label}`
        alert(message)
        throw new Error(message)
    }
    id = prefix ? `${$p.tableName()}_${id}` : id;
    id = suffix ? `${id}Field` : id;
    return id;
}
/**
 * SELECT要素の値を処理する。
 * @param {jQuery} control jQuery対象のSELECT要素
 * @param {Boolean} valueFlg true : value値 false : display値
 * @returns {*} 選択された値または表示テキスト
 * @throws {Error} 処理中に発生したエラー
 */
function commonHandleSelect(control, valueFlg) {
    if (control.attr("multiple")) {
        return valueFlg ? control.val() : control.next().children().last().text();
    }
    const selectedOption = control.children(':selected');
    return valueFlg ? selectedOption.val() : selectedOption.text();
}
/**
 * INPUT要素の値を処理する。
 * @param {jQuery} control jQuery対象のINPUT要素
 * @param {String} label ラベル
 * @param {Boolean} valueFlg true : value値 false : display値
 * @returns {*} 入力された値または表示テキスト
 * @throws {Error} 処理中に発生したエラー
 */
function commonHandleInput(control, label, valueFlg) {
    const inputId = commonGetId(label);
    if (inputId.indexOf("Check") &gt; 0) {
        const checked = document.getElementById(inputId).checked;
        return valueFlg ? +checked : checked;
    }
    let value = valueFlg ? control.attr('data-value') : control[0].innerHTML;
    return commonIsNull(value) ? control.val() : value;
}
/**
 * デフォルトの要素処理を行う。
 * @param {jQuery} control jQuery対象の要素
 * @param {Boolean} valueFlg true : value値 false : display値
 * @returns {*} 要素の値または表示テキスト
 * @throws {Error} 処理中に発生したエラー
 */
function commonHandleDefault(control, valueFlg) {
    let value = valueFlg ? (control.attr('data-value') ?? control[0].innerHTML) : control[0].innerHTML;
    return commonIsNull(value) ? control.val() : value;
}
/**
 * 空日付を出力する関数です。
 *
 * @return {String} 空日付
 */
function commonGetDateEmpty() {
    return '1899-12-30T00:00:00'
}
// ＝＝＝＝＝＝＝＝＝＝＝＝＝＝＝＝＝＝＝＝＝＝＝＝＝＝＝＝＝＝＝＝値変換系＝＝＝＝＝＝＝＝＝＝＝＝＝＝＝＝＝＝＝＝＝＝＝＝＝＝＝＝＝＝＝
/**
 * 値がJSON文字列の場合はパースし、そうでない場合は元の値を返す。
 * @param {*} value パース対象の値
 * @returns {*} パースされた値または元の値
 */
function commonParseIfJson(value) {
    if (typeof value !== 'string') return value;
    try {
        return JSON.parse(value);
    } catch (err) {
        return value;
    }
}
/**
 * file を Base64 文字列に変換する。
 * @param {ArrayBuffer} file 変換する file
 * @returns {string} Base64 エンコードされた文字列
 */
async function commonToBase64(file) {
    return new Promise((resolve, reject) =&gt; {
        const reader = new FileReader();
        reader.onload = () =&gt; {
            const base64String = reader.result.split(",")[1];
            resolve(base64String);
        };
        reader.onerror = (err) =&gt; reject(err);
        reader.readAsDataURL(file);
    });
}
/**
   * 引数の2次元配列をUTF-8のCSVに変換する関数です。
   * @param {Array} array 2次元配列
   *
   * @return {String} csvData
   * 例. [
   *      ['数量', '単価', '合計'],
   *      ['1', '2', '2'],
   *      ['4', '5', '20'],
   *      ['7', '8', '56'],
   *     ]
   *            ⇓
   * 'data:text/csvcharset=utf-8,"数量","単価","合計"\r\n"1","2","2"\r\n"4","5","20"\r\n"7","8","56"\r\n'
   */
function commonConvert2DToCsv(d2array) {
    // csvDataに出力方法を追加
    let csvOutput = 'data:text/csvcharset=utf-8,'
    let csvData = csvOutput
    d2array.forEach(v =&gt; {
        const row = '"' + v.join('","') + '"'
        csvData += row + '\r\n'
    })
    return csvData
}
/**
   * 引数の2次元配列をUTF-8のCSVに変換する関数です。
   * @param {String} csvData
   *
   * @return {Array} array 2次元配列
   * 例. 'data:text/csvcharset=utf-8,"数量","単価","合計"\r\n"1","2","2"\r\n"4","5","20"\r\n"7","8","56"\r\n'
   *            ⇓
   *     [
   *      ['数量', '単価', '合計'],
   *      ['1', '2', '2'],
   *      ['4', '5', '20'],
   *      ['7', '8', '56'],
   *     ]
   */
function commonConvertCsvTo2D(csvData) {
    // 行の分割
    let rows = csvData.split(/\r?\n/);
    // 空行の除去
    let filteredRows = rows.filter(row =&gt; row.trim() !== '');
    // 各行を処理
    let processedData = filteredRows.map(row =&gt; {
        // カラムに分割
        let columns = row.split(',');
        // 各値ごとに型変換処理
        return columns.map(value =&gt; {
            let trimmed = value.trim();
            let num = Number(trimmed);
            if (!isNaN(num) &amp;&amp; trimmed !== '') {
                return num;
            }
            return trimmed;
        });
    });
    return processedData;
}
// ＝＝＝＝＝＝＝＝＝＝＝＝＝＝＝＝＝＝＝＝＝＝＝＝＝＝＝＝＝＝＝＝要素追加&amp;要素編集系＝＝＝＝＝＝＝＝＝＝＝＝＝＝＝＝＝＝＝＝＝＝＝＝＝＝＝＝＝＝＝
/**
 * 指定された文言と完全に一致する最初のリンクを検索し、href属性を'#'に変更して、クリック時にカスタム関数を実行する関数
 * @param {string} searchText - リンクを検索するための文言（完全一致）
 * @param {function} customClickHandler - クリック時に実行されるカスタム関数
 * @returns {boolean} - リンクが見つかって修正されたかどうか
 * @throws {Error} 処理中に発生したエラー
 */
function commonModifyLink(searchText, customClickHandler) {
    const link = Array.from(document.getElementsByTagName('a')).find(a =&gt;
        a.textContent.trim() === searchText.trim()
    );
    if (link) {
        const dataValue = link.closest('[data-value]')?.getAttribute('data-value');
        link.setAttribute('href', '#');
        link.style.color = 'black';
        link.style.textDecoration = 'none';
        link.onclick = function (event) {
            event.preventDefault();
            customClickHandler(dataValue, link.textContent);
            return false;
        };
        return true;
    } else {
        console.warn(`"${searchText}" と完全に一致するリンクが見つかりませんでした。`);
        return false;
    }
}
/**
 * メインコマンドエリアにボタンを追加する関数です。
 * @param {String} buttonId     ボタンID
 * @param {String} buttonLabel  ラベル
 * @param {Function} clickFunc  click時関数
 * @param {String} icon         アイコン（empty指定でアイコンなし）
 * @throws {Error}              処理中に発生したエラー
 */
function commonAddButtonToMainCommands(buttonId, buttonLabel, clickFunc, icon = "ui-icon-disk") {
    const target = document.getElementById("MainCommands");
    const elem = document.createElement('button');
    elem.id = buttonId;
    elem.className = 'button button-icon ui-button ui-corner-all ui-widget applied customized';
    elem.onclick = clickFunc;
    elem.innerText = buttonLabel;
    if (icon !== "empty") {
        const span = document.createElement('span');
        span.className = `ui-button-icon ui-icon ${icon}`;
        elem.appendChild(span);
    }
    const space = document.createElement('span');
    space.className = "ui-button-icon-space";
    elem.appendChild(space);
    target.appendChild(elem);
}
/**
 * 指定項目横にボタンを追加する関数です。
 * @param {String} buttonId     ボタンID
 * @param {String} buttonLabel  ラベル
 * @param {Function} clickFunc  click時関数
 * @param {String} icon         アイコン（empty指定でアイコンなし）
 * @param {Array} applys        適用するステータス
 * @throws {Error}              処理中に発生したエラー
 */
function commonAddButtonToNextField(ItemLabel, buttonId, buttonLabel, clickFunc, icon = "ui-icon-disk", applys = "all") {
    if (!commonCheckStatus(applys)) return;
    // 対象のフィールドを取得
    const targetField = document.getElementById(commonGetId(ItemLabel));
    if (!targetField) {
        let message = `commonAddButtonToNextField :対象項目が見つかりません。${ItemLabel}`
        alert(message)
        throw new Error(message)
    }
    // container-normal クラスを持つ親要素を見つける
    const containerElement = targetField.closest('.container-normal');
    if (!containerElement) {
        let message = `commonAddButtonToNextField :container-normalクラスを持つ親要素が見つかりません。`
        alert(message)
        throw new Error(message)
    }
    // 新しいボタン要素を作成
    const elem = document.createElement('button');
    elem.id = buttonId;
    elem.className = 'button button-icon ui-button ui-corner-all ui-widget applied customized';
    elem.onclick = clickFunc;
    if (icon !== "empty") {
        const span = document.createElement('span');
        span.className = `ui-button-icon ui-icon ${icon}`;
        elem.insertBefore(span, elem.firstChild);
    }
    const space = document.createElement('span');
    space.className = "ui-button-icon-space";
    elem.appendChild(space);
    const textNode = document.createTextNode(buttonLabel);
    elem.appendChild(textNode);
    // ボタンをcontainer-normal要素内に挿入
    containerElement.appendChild(elem);
    // レイアウトとスタイルを調整
    containerElement.style.display = 'flex';
    containerElement.style.alignItems = 'center';
    containerElement.style.flexWrap = 'nowrap';
    targetField.style.flexGrow = '1';
    targetField.style.flexShrink = '1';
    targetField.style.flexBasis = 'auto';
    targetField.style.minWidth = '0';
    elem.style.flexGrow = '0';
    elem.style.flexShrink = '0';
    elem.style.flexBasis = 'auto';
    elem.style.marginLeft = '10px';
    elem.style.whiteSpace = 'nowrap';
}
// ＝＝＝＝＝＝＝＝＝＝＝＝＝＝＝＝＝＝＝＝＝＝＝＝＝＝＝＝＝＝＝＝API系＝＝＝＝＝＝＝＝＝＝＝＝＝＝＝＝＝＝＝＝＝＝＝＝＝＝＝＝＝＝＝
let API_VERSION = "1.0"
/**
 * 取得APIを呼び出す関数です。
 *
 * @param {Number}    id テーブルID
 * @param {Array}     columns 取得列
 * @param {Object}    filterHash フィルター条件
 * @param {Object}    sorterHash ソート条件
 * @param {Object}    filterSearchTypes 検索条件
 * @param {Boolean}   keyFlg true : 表示名 false : カラム名
 * @param {Boolean}   valueFlg true : value値 false : display値
 * @param {Function}  addFunc 最後に実行したい関数
 */
async function commonGetData(id = $p.siteId(), columns = ["ClassA", "NumA"], filterHash = {}, sorterHash = { "ResultId": "asc" }, filterSearchTypes = {}, keyFlg = true, valueFlg = true, addFunc) {
    let offset = 0
    let data = []
    let temp = {}
    do {
        temp = await commonGetInnner(id, columns, filterHash, sorterHash, filterSearchTypes, keyFlg, valueFlg, offset, addFunc)
        data = [...data, ...temp.Response.Data]
        offset += temp.Response.PageSize
    } while (offset &lt; temp.Response.TotalCount)
    return data
    /**
     * 取得APIを呼び出す関数内関数です。(TotalCount 200)
     *
     * @param {Number}    id テーブルID
     * @param {Array}     columns 取得列
     * @param {Object}    filterHash フィルター条件
     * @param {Object}    sorterHash ソート条件
     * @param {Object}    filterSearchTypes 検索条件
     * @param {Boolean}   keyFlg true : 表示名 false : カラム名
     * @param {Boolean}   valueFlg true : value値 false : display値
     * @param {Number}    offset オフセット条件
     * @param {Function}  addFunc 最後に実行したい関数
     */
    async function commonGetInnner(id, columns, filterHash, sorterHash, filterSearchTypes, keyFlg, valueFlg, offset, addFunc) {
        let payload = {
            'id': id,
            'data': {
                'Offset': offset,
                'View': {
                    'ApiDataType': "KeyValues",
                    'ApiColumnKeyDisplayType': keyFlg ? 'LabelText' : 'ColumnName',
                    'ApiColumnValueDisplayType': valueFlg ? "Value" : "DisplayValue",
                    "ColumnFilterHash": filterHash,
                    "ColumnSorterHash": sorterHash,
                    "ColumnFilterSearchTypes": filterSearchTypes,
                }
            },
            'done': function (data) {
                if (addFunc &amp;&amp; typeof addFunc === 'function') {
                    // 渡されたオブジェクトが関数なら実行する
                    addFunc(data)
                }
                return data.Response.Data
            }
        }
        if (!Array.isArray(columns)) {
            columns = [columns]
        }
        if (columns.length &gt; 0) {
            payload['data']['View']['GridColumns'] = columns
        }
        return await $p.apiGet(payload)
    }
}
/**
 * エクスポートAPIを呼び出す関数です。
 *
 * @param {String}    tableId 取得テーブルID
 * @param {Array}     columns 取得列
 * @param {Object}    filterHash フィルター条件
 * @param {Object}    sorterHash ソート条件
 * @param {Object}    filterSearchTypes 検索条件
 * @param {Boolean}   jsonFlg trueならjson　falseならcsvで取得
 * @param {Boolean}   headerFlg trueならheaderも取得
 * @param {Boolean}   overFlg trueなら超過分のみ取得
 * @param {Function}  addFunc 最後に実行したい関数
 */
async function commonExportData(tableId = $p.siteId(), columns = ["ClassA", "NumA"], filterHash = {}, sorterHash = { "ResultId": "asc" }, filterSearchTypes = {}, jsonFlg = true, headerFlg = true, overFlg = false, addFunc) {
    if (!Array.isArray(columns)) {
        columns = [columns]
    }
    columns.unshift("ResultId")
    let data = await commonExportInner(tableId, columns, filterHash, sorterHash, filterSearchTypes, jsonFlg, headerFlg, overFlg, addFunc)
    if (jsonFlg) {
        // json整形
        data = JSON.parse(data.Response.Content)
    } else {
        // csv整形
        data = commonConvertCsvTo2D(data.Response.Content)
    }
    return data
    /**
     * エクスポートAPIを呼び出す関数内関数です。
     *
     * @param {String}    tableId 取得テーブルID
     * @param {Array}     columns 取得列
     * @param {Object}    filterHash フィルター条件
     * @param {Object}    sorterHash ソート条件
     * @param {Object}    filterSearchTypes 検索条件
     * @param {Boolean}   jsonFlg trueならjson　falseならcsvで取得
     * @param {Boolean}   headerFlg trueならheaderも取得
     * @param {Boolean}   overFlg trueなら超過分のみ取得
     * @param {Function}  addFunc 最後に実行したい関数
     */
    async function commonExportInner(tableId, columns, filterHash, sorterHash, filterSearchTypes, jsonFlg, headerFlg, overFlg, addFunc) {
        let col = []
        columns.forEach(v =&gt; col.push({ "ColumnName": v }))
        let data = JSON.stringify({
            "ApiVersion": API_VERSION,
            "Export": {
                "Columns": col,
                "Header": headerFlg,
                "Type": jsonFlg ? "json" : "csv"
            },
            "View": {
                "Overdue": overFlg,
                "ColumnFilterHash": filterHash,
                "ColumnSorterHash": sorterHash,
                "ColumnFilterSearchTypes": filterSearchTypes,
            }
        })
        return new Promise((resolve, reject) =&gt; {
            $.ajax({
                type: "POST",
                url: `/api/items/${tableId}/export`,
                contentType: 'application/json',
                data: data
            }).then(
                function (result) {
                    if (addFunc &amp;&amp; typeof addFunc === 'function') {
                        // 渡されたオブジェクトが関数なら実行する
                        addFunc(data)
                    }
                    // 正常終了
                    resolve(result)
                },
                function () {
                    // エラー
                    reject()
                }
            )
        })
    }
}
/**
 * 登録APIを呼び出す関数です。
 *
 * @param {String}    tableId 登録テーブルID
 * @param {Object}    Hash 更新項目
 * @param {String}    Status 登録ステータス
 * @param {String}    Comments 登録コメント
 * @param {Function}  addFunc 最後に実行したい関数
 */
async function commonCreate(tableId, Hash = {}, Status, Comments, addFunc) {
    // 登録項目
    let ClassHash = {}
    let NumHash = {}
    let DateHash = {}
    let DescriptionHash = {}
    let CheckHash = {}
    for (let key in Hash) {
        if (key.includes("Class")) ClassHash[key] = Hash[key]
        else if (key.includes("Num")) NumHash[key] = commonConvertCTo1(Hash[key])
        else if (key.includes("Date")) DateHash[key] = commonIsNull(Hash[key]) ? commonGetDateEmpty() : Hash[key]
        else if (key.includes("Description")) DescriptionHash[key] = Hash[key]
        else if (key.includes("Check")) CheckHash[key] = Hash[key]
    }
    let data = JSON.stringify({
        "ApiVersion": API_VERSION,
        Status,
        Comments,
        ClassHash,
        NumHash,
        DateHash,
        DescriptionHash,
        CheckHash
    })
    if (!commonIsNull(Status)) {
        delete data["Status"]
    }
    if (!commonIsNull(Comments)) {
        delete data["Comments"]
    }
    return new Promise((resolve, reject) =&gt; {
        $.ajax({
            type: "POST",
            url: `/api/items/${tableId}/create`,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更新APIを呼び出す関数です。
 *
 * @param {String}    recordId 更新レコードID
 * @param {Object}    Hash 更新項目
 * @param {String}    Status 更新ステータス
 * @param {String}    Comments 更新コメント
 * @param {Function}  addFunc 最後に実行したい関数
 */
async function commonUpdate(recordId, Hash = {}, Status, Comments, addFunc) {
    // 更新項目
    let ClassHash = {}
    let NumHash = {}
    let DateHash = {}
    let DescriptionHash = {}
    let CheckHash = {}
    for (let key in Hash) {
        if (key.includes("Class")) ClassHash[key] = Hash[key]
        else if (key.includes("Num")) NumHash[key] = commonConvertCTo1(Hash[key])
        else if (key.includes("Date")) DateHash[key] = commonIsNull(Hash[key]) ? commonGetDateEmpty() : Hash[key]
        else if (key.includes("Description")) DescriptionHash[key] = Hash[key]
        else if (key.includes("Check")) CheckHash[key] = Hash[key]
    }
    let data = JSON.stringify({
        "ApiVersion": API_VERSION,
        Status,
        Comments,
        ClassHash,
        NumHash,
        DateHash,
        DescriptionHash,
        CheckHash
    })
    if (!commonIsNull(Status)) {
        delete data["Status"]
    }
    if (!commonIsNull(Comments)) {
        delete data["Comments"]
    }
    return new Promise((resolve, reject) =&gt; {
        $.ajax({
            type: "POST",
            url: `/api/items/${recordId}/update`,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ユーザー取得APIを呼び出す関数です。
 *
 * @param {Array}     userIds 取得UserId
 * @param {Function}  addFunc 最後に実行したい関数
 */
async function commonExportUser(userIds, addFunc) {
    let users = []
    if (Array.isArray(userIds)) {
        users = userIds
    } else {
        users = [userIds]
    }
    let data = JSON.stringify({
        "ApiVersion": API_VERSION,
        "View": {
            "ColumnFilterHash": {
                "UserId": JSON.stringify(users)
            }
        }
    })
    return new Promise((resolve, reject) =&gt; {
        $.ajax({
            type: "POST",
            url: "/api/users/get",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グループ取得APIを呼び出す関数です。
 *
 * @param {Array}     groupIds 取得GroupId
 * @param {Function}  addFunc 最後に実行したい関数
 */
async function commonExportGroup(groupIds, addFunc) {
    let groups = []
    if (Array.isArray(groupIds)) {
        groups = groupIds
    } else {
        groups = [groupIds]
    }
    let data = JSON.stringify({
        "ApiVersion": API_VERSION,
        "View": {
            "ColumnFilterHash": {
                "GroupId": JSON.stringify(groups)
            }
        }
    })
    return new Promise((resolve, reject) =&gt; {
        $.ajax({
            type: "POST",
            url: "/api/groups/get",
            contentType: 'application/json',
            data: data
        }).then(
            function (result) {
                if (addFunc &amp;&amp; typeof addFunc === 'function') {
                    // 渡されたオブジェクトが関数なら実行する
                    addFunc(data)
                }
                // 正常終了
                resolve(result)
            },
            function () {
                // エラー
                reject()
            }
        )
    })
}
/**
 * 添付項目にExcelを添付し更新する共通関数です。
 *
 * @param {string} targetID 更新対象のアイテムID
 * @param {string} className 添付ファイルのクラス名
 * @param {Object} excel Excelワークブックオブジェクト
 * @param {string} filename 添付ファイルの名前
 */
async function commonUpdateExcel(targetID, className, workbook, filename) {
    const fileBuffer = await workbook.xlsx.writeBuffer()
    const base64 = commonToBase64(fileBuffer)
    let url = `/api/items/${targetID}/update`
    let method_name = "POST"
    let data = {
        "ApiVersion": API_VERSION,
        "AttachmentsHash": {
            [className]: [
                {
                    "ContentType": "application/vnd.openxmlformats-officedocument.spreadsheetml.sheet",
                    "Name": filename,
                    "Base64": base64
                }
            ]
        }
    }
    await $.ajax({
        type: method_name,
        url: url,
        data: JSON.stringify(data),
        contentType: 'application/json',
        dataType: 'json',
        scriptCharset: 'utf-8',
        success: function (data) {
            // Success
            console.log("success")
            console.log(JSON.stringify(data))
        },
        error: function (data) {
            // Error
            console.log("error")
            console.log(JSON.stringify(data))
        }
    })
}
</t>
    <phoneticPr fontId="2"/>
  </si>
  <si>
    <t>01_ローカル向け共通変数.js</t>
    <phoneticPr fontId="2"/>
  </si>
  <si>
    <t xml:space="preserve">// Pleasanter用URL
const HOME_URL     = "http://192.168.10.54"
//　API用URL
const BASE_URL     = "http://localhost:8000"
const RENDER_FORM_URL  = `${BASE_URL}/render-form`;
const STORED_PROCEDURE_URL = `${BASE_URL}/execute-stored-procedure`;
const SQL_URL     = `${BASE_URL}/execute-sql`;
const SERVICE_URL    = `${BASE_URL}/execute-service`;
// マスターデータの定義
const MASTER_TABLES = {
 '物件入力': 1921406,
 'ヤオコー製品交換マスタ': 1841975,
 '三研実績入力': 1841976,
 '仕入先マスタ': 1841977,
 '会社マスタ': 1841978,
 '担当者マスタ': 1841979,
 '科目マスタ': 1841980,
 '税率マスタ': 1841981,
 '請求金額マスタ': 1841982,
 '配送先マスタ': 1841983,
 'ウエルシア物件内容マスタ': 1841984,
 '売上仕入単価マスタ': 1841985,
 '売掛金額マスタ': 1841986,
 '得意先マスタ': 1841987,
 '支払金額マスタ': 1841988,
 '棚番マスタ': 1841989,
 '納入先マスタ': 1841990,
 '補助科目マスタ': 1841991,
 '郵便番号マスタ': 1480503,
 '製品マスタ': 1841992,
 '買掛金額マスタ': 1841993,
 '工事担当マスタ': 1841994,
 '業種按分マスタ': 1841995,
 '三和サービス実績入力': 1841996,
 'ウエルシア物件区分マスタ': 1841997,
 '権限設定': 2191995,
};
// 値からキーを取得する関数
const getTableName = (value) =&gt; {
 return Object.entries(MASTER_TABLES).find(([_, val]) =&gt; val === value)?.[0] || null;
};
</t>
    <phoneticPr fontId="2"/>
  </si>
  <si>
    <t>20_ダイアログテンプレート.js</t>
  </si>
  <si>
    <t>// ダイアログを作成し、ページに追加する関数
htmls = {};
function createAndAddDialog(dialogId, title, fields, btnFields = [], submitHandler) {
    if (document.getElementById(dialogId)) {
        let message = `ダイアログID "${dialogId}" は既に存在します。一意のIDを使用してください。`;
        alert(message)
        throw new Error(message);
    }
    // 何行になるかを計算し、配列に格納
    let columnCountArr = [];
    let rowCount = 0;
    let newLineFlg = false;
    for(let field of fields){
        if(typeof(field.options) == 'object' &amp;&amp; 'newLine' in field.options &amp;&amp; field.options.newLine){
            newLineFlg = true;
            rowCount++;
        }
        else if(typeof(field.options) == 'object' &amp;&amp; "newLine" in field.options &amp;&amp; !field.options.newLine){
            if(newLineFlg){
                columnCountArr.push(rowCount);
                rowCount = 0;
            }
            else{
                newLineFlg = true;
            }
        }
    }
    let content = '';
    newLineFlg = false;
    let arrCount = 0;
    for(let field of fields){
        sqlArrayPush(field,dialogId);
        if(typeof(field.options) == 'object' &amp;&amp; 'newLine' in field.options &amp;&amp; field.options.newLine){
            if(newLineFlg){
                content += "&lt;/div&gt;";
            }
            let conteiner_width = Math.floor(100 / columnCountArr[arrCount]);
            content += `&lt;div style="display: inline-block;width: ${conteiner_width}%;vertical-align: top;"&gt;`;
            content += createField(dialogId, field.type, field.id, field.label, field.options);
            newLineFlg = true;
        }
        else if(typeof(field.options) == 'object' &amp;&amp; "newLine" in field.options &amp;&amp; !field.options.newLine){
            if(newLineFlg){
                content += "&lt;/div&gt;";
                content += `&lt;div style="display: block;"&gt;`;
                content += createField(dialogId, field.type, field.id, field.label, field.options);
                newLineFlg = true;
                arrCount++;
            }
        }
        else{
            content += createField(dialogId, field.type, field.id, field.label, field.options);
        }
    }
    if(newLineFlg)content += "&lt;/div&gt;";
    let btnContent = '';
    if(btnFields.length &gt; 0){
        btnContent = btnFields.map(e =&gt; createButton(e.label,e.options.onclick ? e.options.onclick : '',e.options.icon,dialogId,e.id,e.options.hidden ? true:false)).join('');
    }
    const dialogHTML = createDialogHTML(dialogId, title, content,btnContent);
    $('#Application').append(dialogHTML);
    htmls[dialogId] = dialogHTML;
    // バリデーションイベント登録
    // for(let field of fields){
    //     create_varidate_event(dialogId,field.id,field.type,field.options);
    // }
    createLookups(dialogId, title, fields);
    // submitHandlerを設定
    $(`#${dialogId}_submit`).on('click', function() {
        submitDialog(dialogId, submitHandler);
    });
    // searchArr作成
    let search_items = fields.filter(e =&gt; e.type == 'search-table');
    if(search_items.length == 0)return;
    for(item of search_items){
        let tmp_searchObj = {dialogId:dialogId,tableId:item.id,searchTableId:item.options.searchTableId,multiple:item.options.multiple ? true:false};
        // toColumns作成
        tmp_searchObj.toColumns = item.options.t_heads.map(e =&gt;{
            tmp = {ColumnName:e.ColumnName};
            if('specialTerms'in e)tmp["specialTerms"] = e.specialTerms;
            if('alignment' in e)tmp["alignment"] = e.alignment;
            if(e.hidden)tmp["hidden"] = true;
            if(e.type)tmp["type"] = e.type;
            return tmp;
        });
        // options作成
        tmp_searchObj.options = [];
        let tmpArr;
        fields.forEach(e =&gt; {
            if('forColumnName' in e){
                tmpArr = {searchColumn:e.forColumnName,type:e.type,id:e.id};
                if("digitsNum" in e.options)tmpArr["digitsNum"] = e.options.digitsNum;
                if("alignment" in e.options)tmpArr["alignment"] = e.options.alignment;
                tmp_searchObj.options.push(tmpArr);
            }
        });
        searchArr.push(tmp_searchObj);
    }
    $(`#${dialogId}_searchButton`).on('click',function(e){
        create_searchList($(this));
    })
}
// ダイアログのベース構造を定義
const createDialogHTML = (dialogId, title, content, btnContent) =&gt; `
    &lt;div id="${dialogId}" class="dialog" title="${title}"&gt;
        ${content}
        &lt;div class="command-center"&gt;
            ${btnContent}
            &lt;button id="${dialogId}_close" class="button button-icon ui-button ui-corner-all ui-widget applied customized" type="button" onclick="closeDialog('${dialogId}',true);"style='position:relative;'&gt;
                &lt;span class="ui-button-icon ui-icon ui-icon-cancel"&gt;&lt;/span&gt;
                &lt;span class="ui-button-icon-space"&gt; &lt;/span&gt;終了
            &lt;/button&gt;
        &lt;/div&gt;
    &lt;/div&gt;
`;
function createButton(label,onclick,icon,dialogId,id,hiddenFlg){
    return `
        &lt;button id="${dialogId}_${id}" style="${hiddenFlg ? "display:none":''}" class="button button-icon ui-button ui-corner-all ui-widget applied customized" type="button" onclick="${onclick == '' ? '':onclick}"&gt;
                    &lt;span class="ui-button-icon ui-icon ui-icon-${icon}"&gt;&lt;/span&gt;
                    &lt;span class="ui-icon-${icon}"&gt; &lt;/span&gt;${label}
        &lt;/button&gt;
    `
}
// ダイアログを開く関数
function openDialog(dialogId,width='550',unit = 'px',func = null) {
    $(`#${dialogId}`).dialog({
        modal:true,
        width: `${width}${unit}`,
        resizable: true,
        closeOnEscape:false,
    })
    $(`#${dialogId}`).css('max-height',"90vh");
    dialog_openTime = getJPISOTime()
    if(typeof func == 'function'){
        func();
    }
}
// ダイアログ固有の送信処理を格納するオブジェクト
const dialogSubmitHandlers = {};
// ダイアログ内のフォームをSubmitする関数
function submitDialog(dialogId, submitHandler) {
    // バリデーションを実行
    if (!validateDialog(dialogId)) {
        return;
    }
    // 送信ハンドラを設定
    if (typeof submitHandler === 'function') {
        dialogSubmitHandlers[dialogId] = submitHandler;
    }
    // ダイアログ固有の送信処理を実行
    if (dialogSubmitHandlers[dialogId]) {
        dialogSubmitHandlers[dialogId](dialogId);
    }
    closeDialog(dialogId);
}
// ダイアログのバリデーションを行う関数
function validateDialog(dialogId) {
    let isValid = true;
    $(`#${dialogId} [required]`).each(function() {
        const field = $(this);
        const errorElement = $(`#${field.attr('id').replace(/(From|To)$/, '')}-error`);
        if (!field.val()) {
            isValid = false;
            field.addClass('error');
            errorElement.text('この項目は必須です');
        } else {
            field.removeClass('error');
            errorElement.text('');
        }
    });
    return isValid;
}
function editMarkdown(dialogId, id) {
    const fullId = `${dialogId}_${id}`;
    $(`#${fullId}`).show().focus();
    $(`#${fullId}_viewer`).hide();
}
// フィールドの有効/無効を切り替える関数
function toggleFieldDisabled(fieldId, disabled) {
    const field = $(`#${fieldId}`);
    field.prop('disabled', disabled);
    if (disabled) {
        field.addClass('disabled');
    } else {
        field.removeClass('disabled');
    }
}
function sqlArrayPush(field,dialogId){
    if(field.type == 'search-table' &amp;&amp; field.options.sql)useSqlDialogs.push(dialogId);
    if(field.type == 'search-table' &amp;&amp; field.options.individualSql)useIndividualSqlDialogs.push(dialogId);
}
/**
 * 現在の日本時間を ISO 8601 形式 (YYYY-MM-DDTHH:mm:ss) で取得する
 * @returns {string} 日本時間の ISO 8601 形式の文字列 (例: "2024-12-11T01:41:33")
 */
function getJPISOTime() {
    const now = new Date();
    const jpISOTime = new Date(now.getTime() - now.getTimezoneOffset() * 60000)
        .toISOString()
        .slice(0, 19);  // 秒まで切り取り
    return jpISOTime;
}
/**
 * 前回出力履歴を取得する
 * @param {string} listName     帳票名
 * @param {number} number       番号（見積番号等）
 * @param {string} id           結果を入力するid
 *  */
async function get_history(listName,number,id){
    try{
        const sql = `
            SELECT CreateDate, PCName
            From TW見積出力履歴
            WHERE ListName = '${listName}'
            AND Number = ${number}
        `;
        let res = await fetchSql(sql);
        res = res.results;
        if(res.length == 0){
            $(`#${id} .input-container span`).text('');
            return;
        }
        // 入力
        let tmp = formatDate_for_japanese(res[0].CreateDate) + "　" + formatTime_for_japanese(res[0].CreateDate) + "　" + res[0].PCName;
        $(`#${id} .input-container span`).text(tmp);
    }catch(err){
        $(`#${id} .input-container span`).text('');
        console.error('前回出力情報取得処理',err);
        return;
    }
}</t>
    <phoneticPr fontId="2"/>
  </si>
  <si>
    <t>　21_検索ダイアログテンプレート.js</t>
    <phoneticPr fontId="2"/>
  </si>
  <si>
    <t>/**
 * 検索ダイアログ
 * @param {string} dialogId 検索ダイアログID
 * @param {string} tableId 検索先テーブルID
 * @param {Array} fields 項目ごとのパラメータ
 * @param {Array} btnFields ダイアログ下部に表示するボタン
 * @param {string} width ダイアログのwidthを指定
 */
let useSqlDialogs = [];
let useIndividualSqlDialogs = [];
async function create_searchDialog(dialogId,tableId,fields,btnFields = [],width = '750px'){
    if (document.getElementById(dialogId)) {
        let message = `ダイアログID "${dialogId}" は既に存在します。一意のIDを使用してください。`;
        alert(message)
        throw new Error(message);
    }
    let multipleFlg = false;
    for(i = 0; i &lt; 2; i++){
        if(multipleFlg)dialogId += "_multiple";
        // 何行になるかを計算し、配列に格納
        let columnCountArr = [];
        let rowCount = 0;
        let newLineFlg = false;
        for(let field of fields){
            if(typeof(field.options) == 'object' &amp;&amp; 'newLine' in field.options &amp;&amp; field.options.newLine){
                newLineFlg = true;
                rowCount++;
            }
            else if(typeof(field.options) == 'object' &amp;&amp; "newLine" in field.options &amp;&amp; !field.options.newLine){
                if(newLineFlg){
                    columnCountArr.push(rowCount);
                    rowCount = 0;
                }
                else{
                    newLineFlg = true;
                }
            }
        }
        let filterHTML = '';
        newLineFlg = false;
        let arrCount = 0;
        for(let field of fields){
            if(field.type == 'search-table' &amp;&amp; field.options.sql)useSqlDialogs.push(dialogId);
            if(field.type == 'search-table' &amp;&amp; field.options.individualSql)useIndividualSqlDialogs.push(dialogId);
            if(typeof(field.options) == 'object' &amp;&amp; 'newLine' in field.options &amp;&amp; field.options.newLine){
                if(newLineFlg){
                    filterHTML += "&lt;/div&gt;";
                }
                let conteiner_width = Math.floor(100 / columnCountArr[arrCount]);
                filterHTML += `&lt;div style="display: inline-block;width: ${conteiner_width}%;vertical-align: top;"&gt;`;
                filterHTML += createField(dialogId, field.type, field.id, field.label, field.options,multipleFlg);
                newLineFlg = true;
            }
            else if(typeof(field.options) == 'object' &amp;&amp; "newLine" in field.options &amp;&amp; !field.options.newLine){
                if(newLineFlg){
                    filterHTML += "&lt;/div&gt;";
                    filterHTML += `&lt;div style="display: block;"&gt;`;
                    filterHTML += createField(dialogId, field.type, field.id, field.label, field.options,multipleFlg);
                    newLineFlg = true;
                    arrCount++;
                }
            }
            else{
                filterHTML += createField(dialogId, field.type, field.id, field.label, field.options,multipleFlg);
            }
        }
        if(newLineFlg)filterHTML += "&lt;/div&gt;";
        const btnHTML = btnFields.map(field =&gt; createField(dialogId, field.type, field.id, field.label, field.options,multipleFlg)).join('');
        const dialogHTML      = searchDialogTemplate(dialogId,filterHTML,multipleFlg,btnHTML);
        $('#Application').append(dialogHTML);
        // 検索用のイベント登録
        $(`#${dialogId}_searchButton`).on('click',function(e){
            create_searchList($(this));
        })
        // searchArr作成（検索に必要な情報を格納）
        const searchTable_items = fields.filter(e =&gt; e.type == 'search-table');
        for(item of searchTable_items){
            let tmp_searchObj = {dialogId:dialogId,searchTableId:tableId,tableId:item.id,width:width};
            // toColumns作成
            tmp_searchObj.toColumns = item.options.t_heads.map(e =&gt;{
                tmp = {ColumnName:e.ColumnName};
                if('specialTerms'in e)tmp["specialTerms"] = e.specialTerms;
                if('alignment' in e)tmp["alignment"] = e.alignment;
                if(e.hidden)tmp["hidden"] = true;
                if(e.type)tmp['type'] = e.type;
                return tmp;
            });
            // options作成
            tmp_searchObj.options = [];
            let tmpArr;
            fields.forEach(e =&gt; {
                if('forColumnName' in e){
                    tmpArr = {searchColumn:e.forColumnName,type:e.type,id:e.id};
                    if("digitsNum" in e.options)tmpArr["digitsNum"] = e.options.digitsNum;
                    if("alignment" in e.options)tmpArr["alignment"] = e.options.alignment;
                    tmp_searchObj.options.push(tmpArr);
                }
            });
            searchArr.push(tmp_searchObj);
        }
        // lookups作成
        createLookups(dialogId,'',fields);
        multipleFlg = true;
    }
}
// ダイアログテンプレート
function searchDialogTemplate(id,filterHTML,multipleFlg,btnHTML){
    return `
        &lt;div id="${id}Dialog" class="searchDialog" style="display: none; margin-top: 10px;"&gt;
            ${filterHTML}
            &lt;div class="command-center"&gt;
                ${multipleFlg ? btnHTML : ''}
                &lt;button id="${id}_close" class="button button-icon ui-button ui-corner-all ui-widget applied customized" type="button" onclick="closeDialog('${id}Dialog',false);"style='position:relative;'&gt;
                    &lt;span class="ui-button-icon ui-icon ui-icon-cancel"&gt;&lt;/span&gt;
                    &lt;span class="ui-button-icon-space"&gt; &lt;/span&gt;終了
                &lt;/button&gt;
            &lt;/div&gt;
        &lt;/div&gt;
    `;
}
// ③ダイアログを表示する
$(document).on('click','.dialogSearch',function(){
    // テーブルの検索機能は各ダイアログファイルに記載
    if($(this).parent().prop('tagName') == 'TD')return;
    let id = $(this).prev().attr('id');
    const parentClass = $(this).parent().attr('class');
    let type = '';
    if(parentClass == 'text-set'){
        id = id.slice(0,-2);
        type = 'text-set';
    }
    else if(parentClass == 'range-text-container'){
        id = id.slice(-2) == 'om' ? id.slice(0,-4) : id.slice(0,-2);
        type = 'range-text';
    }
    let lookup = lookups.find(e =&gt; e.id == id);
    let dialogId = lookup.searchDialog.id;
    if(dialogId == "recipientNoSearch")return;  //納入先CD検索は個別処理
    if(lookup.searchDialog.multiple)dialogId += "_multiple";
    let title = lookup.searchDialog.title;
    const width = searchArr.find(e =&gt; dialogId == e.dialogId).width;
    if(parentClass == 'text-set'){
        id += 'From';
    }
    else if(parentClass == 'range-text-container'){
        id = $(this).prev().attr('id');
    }
    openDialog_for_searchDialog(dialogId,id,width,title)
})
function openDialog_for_searchDialog(dialogId,id,width,title){
    searchOutputId.push({id:id,dialogId:dialogId});
    $(`#${dialogId}Dialog td`).remove();
    $(`#${dialogId}Dialog input`).val('');
    $(`#${dialogId}Dialog`).dialog({
        modal: true,
        width: width,
        resizable: true,
        title:title,
    });
    $(`#${dialogId}Dialog`).css('max-height',"90vh");
    $(`#${dialogId}Dialog`).focus();
}
// 検索ボタンが押されたら検索し、tableに表示
async function create_searchList(event){
    showLoading()
    let dialogId = '';
    if(searchOutputId.length == 0){
        dialogId = $(event).closest('div.dialog').attr('id');
    }else{
        dialogId = searchOutputId[searchOutputId.length -1].dialogId;
    }
    // アクティブな検索ダイアログの情報を取得
    let searchDialogData = searchArr.find(e =&gt; e.dialogId == dialogId);
    let arr = [];
    // 簡単なSQL・joinなど複雑なSQL・Pleasanterのテーブルに取得できる処理で分け
    if(useSqlDialogs.includes(dialogId)){
        try{
            arr = await requestSQL(searchDialogData);
        }catch{
            return;
        }
    }
    else if(useIndividualSqlDialogs.includes(dialogId)){
        arr = await requestIndividualSQL(searchDialogData);
        if(arr == null)return;
    }
    else{
    // それ以外の場合
        // 検索対象テーブルID
        let tableId = searchDialogData.searchTableId;
        if(tableId == ''){
            alert('検索先IDが指定されていません。');
            return;
        }
        let columns = [];
        let filter = {};
        let filterSearchType = {};
        // 複数回Getしなきゃいけないテーブルは処理を分ける
        if(searchDialogData.dialogId == 'auxiliarySubjectSearch'){
            let tmpData = await commonGetData(MASTER_TABLES["科目マスタ"],['ResultId'],{ClassA:$(`#auxiliarySubjectSearch_subjectCD`).val()},{},{ClassA:'ExactMatch'},false,false);
            if(tmpData.length != 1){
                alert('科目CDを入力してください。');
                return;
            }
            let KAMOKUCD_resultId = tmpData[0].ResultId;
            columns = ['ClassC','ClassD'];
            filter = {
                ClassA:JSON.stringify([KAMOKUCD_resultId]),
                ClassC:$('#auxiliarySubjectSearch_auxiliarySubjectCD').val(),
                ClassD:$('#auxiliarySubjectSearch_teamName').val()
            };
            filterSearchType = {
                ClassA:'ExactMatch',
                ClassC:'ExactMatch',
                ClassD:'PartialMatchMultiple',
            }
        }
        else if(searchDialogData.dialogId == 'recipientNoSearch'){
            let tmpData = await commonGetData(MASTER_TABLES["得意先マスタ"],['ResultId'],{ClassA:$(`#recipientNoSearch_custmerFrom`).val()},{},{ClassA:'ExactMatch'},false,false);
            if(tmpData.length != 1){
                alert('得意先CDを入力してください。');
                return;
            }
            columns = ['ClassD','ClassE','ClassF'];
            const custmerResultId = tmpData[0].ResultId;
            const receptNo = $('#recipientNoSearch_recipientCD').val();
            const receptName = $('#recipientNoSearch_recipientName1').val();
            const furigana = $('#recipientNoSearch_furigana').val();
            filter = {
                // ClassA:JSON.stringify(custmerResultId)
                ClassA:"223515"
            };
            if(receptNo != "")filter["ClassD"] = receptNo;
            if(receptName != "")filter["ClassE"] = receptName;
            if(furigana != "")filter["ClassI"] = furigana;
            filterSearchType = {
                ClassA:'ExactMatch',
                ClassD:'PartialMatch',
                ClassE:'PartialMatch',
                ClassI:'PartialMatch',
            }
        }
        else{
            // gridColumns作成
            columns = searchDialogData.toColumns.map(e =&gt; e.ColumnName);
            // ColumnFilterHashとColumnFilterSearchTypes作成
            searchDialogData.options.forEach(e =&gt; {
                let res = create_filter(e,dialogId);
                // res = {column:'ClassA',text:''}見本
                if(Object.keys(res).length == 0){
                    hideLoading();
                    return;
                }
                filter[res.column] = res.text;
                filterSearchType[res.column] = res.searchType;
            });
        }
        tableData = await commonGetData(tableId,columns,filter,{},filterSearchType,false,false);
        tableData.sort((a,b) =&gt; a.ClassA-b.ClassA)
        if(tableData.length == 0){
            alert('フィルター条件に合致するデータがありません。');
            hideLoading();
            return;
        }
        for(record of tableData){
            // 日付はyyyy/mm/dd形式にして代入、Numでnullの場合は0に置換して代入
            columns.forEach(e =&gt;{
                switch(e.substring(0,3)){
                    case 'Num':
                        record[e] = record[e] == null ? 0:record[e].toLocaleString();
                        break;
                    case 'Dat':
                        // 1899-12-30だったら空文字を返し、それ以外なyyyy/mm/dd形式に置換
                        if(record[e].substring(0,10) == ''){
                            record[e] = '';
                        }else{
                            let dt = new Date(record[e]);
                            record[e] = new Intl.DateTimeFormat('ja-JP', { year: 'numeric', month: '2-digit', day: '2-digit' }).format(dt);
                        }
                        break;
                    default:
                        record[e] = record[e];
                }
            });
        }
        arr = tableData;
    }
    let html = '';
    for(item of arr){
        if(searchDialogData.multiple  || searchDialogData.dialogId.includes('_multiple')){
            html += '&lt;tr tabindex="0"&gt;&lt;td class="searchTd bgc"&gt;&lt;input type="checkbox" &gt;&lt;/td&gt;';
        }else{
            html += '&lt;tr tabindex="0"&gt;';
        }
        searchDialogData.toColumns.forEach((e,i) =&gt; {
            if('alignment' in e &amp;&amp; 'hidden' in e){
                html += `&lt;td class="searchTd bgc" style='display:none; text-align:${e.alignment}' &gt;${item[e.ColumnName]}&lt;/td&gt;`
            }
            else if('alignment' in e){
                html += `&lt;td class="searchTd bgc" style='text-align:${e.alignment}' &gt;${item[e.ColumnName]}&lt;/td&gt;`
            }
            else if('hidden' in e){
                html += `&lt;td class="searchTd bgc" style='display:none;' &gt;${item[e.ColumnName]}&lt;/td&gt;`
            }
            else{
                html += `&lt;td class="searchTd bgc"&gt;${item[e.ColumnName]}&lt;/td&gt;`
            }
        });
        html += "&lt;/tr&gt;";
    }
    // 追加する
    $(`#${dialogId}_${searchDialogData.tableId}_readTable tbody tr`).remove();
    $(`#${dialogId}_${searchDialogData.tableId}_readTable tbody`).append(html);
    $(`#${dialogId}_${searchDialogData.tableId}_readTable tbody`).children().eq(0).focus();
    hideLoading();
}
const fetchSql = async (query) =&gt; {
    try {
        showLoading()
        const response = await fetch(SQL_URL, {
            method: 'POST',
            headers: {
                "Content-Type": "application/json"
            },
            body: JSON.stringify({
                query: query
            })
        });
        if (!response.ok) {
            // レスポンスがエラーの場合
            throw new Error(`HTTP error! status: ${response.status}`);
        }
        const data = await response.json();
        return data;
    } catch (err) {
        alert('SQLでエラーが発生しました。' + err);
        console.error("SQLエラー:", err);
        return { err: "Failed to execute SQL query." };
    } finally {
        hideLoading();
    }
};
const fetchStored = async (param) =&gt;{
    try {
        showLoading()
        let response =  await fetch(STORED_PROCEDURE_URL,{
            method:"POST",
            headers:{
                "content-type":'application/json',
            },
            body:JSON.stringify(param)
        })
        if(!response.ok){
            throw new Error(`HTTP error! status: ${response.status}`);
        }
        response =  await response.json();
        return response
    } catch(err) {
        alert('ストアドプロシージャでエラーが発生しました。' + err);
        console.error("ストアドエラー:", err);
        return { err: "Failed to execute stored query." };
    } finally {
        hideLoading();
    }
}
const fetchRenderForm = async (param) =&gt; {
    try {
        showLoading()
        // クエリーパラメータに変換
        const queryString = new URLSearchParams(param).toString();
        const url = `${RENDER_FORM_URL}?${queryString}`;
        // APIの状態チェック
        const response = await fetch(url);
        if (!response.ok) {
            throw new Error(`API error: ${response.status}`);
        }
        // APIが正常な場合のみ新しいタブを開く
        window.open(url, '_blank');
    } catch (err) {
        alert('入力画面生成でエラーが発生しました。' + err);
        console.error("入力画面生成エラー:", err);
        return { err: "Failed to execute input form." };
    } finally {
        hideLoading();
    }
}
const createWhere = obj =&gt;{
    let whereStr = 'WHERE 0=0 ';
    Object.keys(obj).forEach(e =&gt;{
        if(obj[e] == '' || typeof(obj[e]) === "undefined"){
            return '';
        }
        else if(typeof(obj[e]) == 'object'){
            // fromよりtoのほうが大きい場合は入れ替え
            let from = obj[e]["from"];
            let to = obj[e]["to"];
            if(from != '' &amp;&amp; to != '' &amp;&amp; from &gt; to) [from,to] = [to,from];
            // from,toに値がある場合はbetween,片方の場合は比較演算子
            if(from != '' &amp;&amp; to != ''){
                whereStr += `AND ${e} BETWEEN '${from}' AND '${to}'`;
            }else if(from != ''){
                whereStr += `AND ${e} &gt;= '${from}'`;
            }else if(to != ''){
                whereStr += `AND ${e} &lt;= '${to}'`;
            }
        }
        else{
            whereStr += `AND ${e} LIKE '%${obj[e]}%'`;
        }
    })
    return whereStr;
}
const resMold = (res,dialogData) =&gt; {
    for(record of res){
        // 日付はyyyy/mm/dd形式にして代入、Numでnullの場合は0に置換して代入
        dialogData.toColumns.forEach(e =&gt;{
            if(record[e.ColumnName] === null){
                record[e.ColumnName] = '';
            }
            else if(typeof record[e.ColumnName] === "undefined"){
                record[e.ColumnName] = '';
            }
            else if(e.type == 'time'){
                record[e.ColumnName] = new Date(record[e.ColumnName]).toLocaleString('sv-SE').replaceAll('-','/');
            }
            else if(/^\d{4}-\d{2}-\d{2}T\d{2}:\d{2}:\d{2}(?:\.\d+)?$/.test(record[e.ColumnName])){
                let tmpDt = new Date(record[e.ColumnName]);
                record[e.ColumnName] = new Intl.DateTimeFormat('ja-JP', { year: 'numeric', month: '2-digit', day: '2-digit' }).format(tmpDt);
            }
            else if("alignment" in e){
                record[e.ColumnName] = record[e.ColumnName].toLocaleString();
                // record[e.ColumnName] = Number(record[e.ColumnName]).toLocaleString();
            }
            else{
                record[e.ColumnName] = record[e.ColumnName];
            }
        });
    }
    return res;
}
const createWhereParam = (dialogData) =&gt;{
    let tmp     = {};
    dialogData.options.forEach(e =&gt;{
        let fullId =  'fullId' in e ? e.fullId : dialogData.dialogId + "_" + e.id;
        if(e.type == 'range-text' &amp;&amp; "alignment" in e){
            let fromVal = $(`#${fullId}From`).val().replaceAll(',','');
            let toVal   = $(`#${fullId}To`).val().replaceAll(',','');
            if((fromVal == '' &amp;&amp; toVal == '') || !/^\d*$/.test(fromVal) || !/^\d*$/.test(toVal)){
                tmp[e.searchColumn] = '';
            }else{
                tmp[e.searchColumn] = {from:Number(fromVal),to:Number(toVal)};
            }
        }
        else if(e.type.slice(0,5) == 'range'){
            let fromVal = $(`#${fullId}From`).val();
            let toVal   = $(`#${fullId}To`).val();
            if(fromVal == '' &amp;&amp; toVal == ''){
                tmp[e.searchColumn] = '';
            }else{
                tmp[e.searchColumn] = {from:fromVal,to:toVal};
            }
        }
        else if(e.type == 'text-set'){
            tmp[e.searchColumn] = $(`#${fullId}From`).val();
        }
        else{
            tmp[e.searchColumn] = $(`#${fullId}`).val();
        }
    })
    return tmp;
}
// 簡単なsql用の変数（汎用）
async function requestSQL(dialogData){
    // sql文作成
    // 足し算やcase句など特殊な処理はspecialTermsというパラメータがあるのでそちらを使用
    let select  = 'selectStr' in dialogData ? dialogData.selectStr :dialogData.toColumns.map(e =&gt; {
        if('specialTerms' in e){
            return e.specialTerms;
        }else{
            return e.ColumnName;
        }
    }).join(',');
    let from    = 'fromStr' in dialogData ? dialogData.fromStr : dialogData.searchTableId;
    // where作成
    let tmp     = createWhereParam(dialogData);
    let where = createWhere(tmp);
    if(dialogData.dialogId.includes('estimateNoSearch')){
        where += "ORDER BY 見積日付 DESC, 見積番号 DESC";
    }
    let sql = `SELECT TOP 1000 ${select} FROM ${from} ${where}`;
    let res;
    try{
        res = await fetchSql(sql);
    }catch{
        return;
    }
    res = res.results;
    // 成形
    return resMold(res,dialogData);
}
// 複雑なsql用の関数（個別作成）
async function requestIndividualSQL(dialogData){
    // where作成
    let tmp     = createWhereParam(dialogData);
    let where = createWhere(tmp);
    let sql;
    // if('estimateNoSearch3'.includes(dialogData.dialogId)){
    if(['estimateNoSearch3','estimateNoSearch3_multiple'].includes(dialogData.dialogId)){
        let copy_dialogData = JSON.stringify(dialogData);
        copy_dialogData = JSON.parse(copy_dialogData);
        copy_dialogData.options = [
            {searchColumn: 'MS.仕入先CD', type: 'range-text', id: 'supplierCD'}
        ];
        where2_param = createWhereParam(copy_dialogData);
        let where2 = createWhere(where2_param);
        sql = estimateNoSearch3_baseSQL(where,where2).replaceAll('\n',' ').replaceAll(/\s{2,}/g, ' ');
    }
    else if(['estimateNoSearch4','estimateNoSearch4_multiple'].includes(dialogData.dialogId)){
        sql = estimateNoSearch4_baseSQL(where).replaceAll('\n',' ').replaceAll(/\s{2,}/g, ' ');
    }
    else if(['estimateNoSearch5','estimateNoSearch5_multiple'].includes(dialogData.dialogId)){
        sql = estimateNoSearch5_baseSQL(where).replaceAll('\n',' ').replaceAll(/\s{2,}/g, ' ');
    }
    else if(['mirrorSearch',"mirrorSearch_multiple"].includes(dialogData.dialogId)){
        sql = mirrorSearch_baseSQL(where).replaceAll('\n',' ').replaceAll(/\s{2,}/g, ' ');
    }
    else if(['urikakeKakuninSearch'].includes(dialogData.dialogId)){
        sql = urikakeKakunin_baseSQL(where).replaceAll('\n',' ').replaceAll(/\s{2,}/g, ' ');
    }
    else if(['productSearch1'].includes(dialogData.dialogId)){
        sql = productSearch1_baseSQL(where).replaceAll('\n',' ').replaceAll(/\s{2,}/g, ' ');
    }
    else if(['productSearch2'].includes(dialogData.dialogId)){
        sql = productSearch2_baseSQL(where).replaceAll('\n',' ').replaceAll(/\s{2,}/g, ' ');
    }
    else if('progressCheck'.includes(dialogData.dialogId)){
        // 売上種別
        let salesType = '';
        switch($('#progressCheck_processingCategoryFrom').val()){
            case '0':
                salesType = ' AND (MHK.発注書発行日付 IS NULL AND MT.仕入日付 IS NULL)';
                break;
            case '1':
                salesType = 'AND MHK.発注書発行日付 IS NOT NULL';
                break;
            case '2':
                salesType = "AND MT.売上日付 IS NOT NULL";
                break;
        }
        // 見積確定区分
        let finalClassification = '';
        switch($('#progressCheck_confirmationEstimateDatesFrom').val()){
            case '0':
                finalClassification = "AND ISNULL(MHK.見積確定区分,0) = 0";
                break;
            case '1':
                finalClassification = "AND ISNULL(MHK.見積確定区分,0) = 1";
        }
        where += salesType + finalClassification;
        sql = progressCheck_baseSQL(where).replaceAll('\n',' ').replaceAll(/\s{2,}/g, ' ');
    }
    // 入金消込入力はストアドのため特殊処理
    else if('ReceiptEntry'.includes(dialogData.dialogId)){
        await receiptEntry_stored();
        return null;
    }
    // 売上入力
    else if('salesInput'.includes(dialogData.dialogId)){
    }
    // 売掛消費税調整入力
    else if(['ReceivableSalesTaxAdjustmentEntrySearch'].includes(dialogData.dialogId)){
        sql = ReceivableSalesTaxAdjustmentEntrySearch_baseSQL(where).replaceAll('\n',' ').replaceAll(/\s{2,}/g, ' ');
    }
    // 売掛消費税調整入力
    else if(['ReceivableSalesTaxAdjustmentEntry'].includes(dialogData.dialogId)){
        sql = ReceivableSalesTaxAdjustmentEntry_baseSQL(where).replaceAll('\n',' ').replaceAll(/\s{2,}/g, ' ');
    }
    // 経費入力
    else if(['ExpenseEntrySearch'].includes(dialogData.dialogId)){
        let personCD = '';
        let personCDFrom = $('#ExpenseEntrySearch_personCDFrom').val();
        let personCDTo = $('#ExpenseEntrySearch_personCDTo').val();
        // 担当者Fromのみ入力
        if(!personCDFrom == '' &amp;&amp; personCDTo == ''){
            personCD = `AND KH.経費番号 IN (SELECT DISTINCT 経費番号 FROM TD経費明細 WHERE 担当者CD &gt;= '${personCDFrom}')`;
        }
        // 担当者Toのみ入力
        else if(personCDFrom == '' &amp;&amp; !personCDTo == ''){
            personCD = `AND KH.経費番号 IN (SELECT DISTINCT 経費番号 FROM TD経費明細 WHERE 担当者CD &lt;= '${personCDTo}')`;
        }
        // 担当者FromTo
        else if(!personCDFrom == '' &amp;&amp; !personCDTo == ''){
            personCD = `AND KH.経費番号 IN (SELECT DISTINCT 経費番号 FROM TD経費明細 WHERE 担当者CD BETWEEN '${personCDFrom}' AND '${personCDTo}')`;
        }
        where += personCD
        sql = ExpenseEntrySearch_baseSQL(where).replaceAll('\n',' ').replaceAll(/\s{2,}/g, ' ');
    }
    let res;
    try{
        res = await fetchSql(sql);
    }catch{
        return;
    }
    res = res.results;
    return resMold(res,dialogData);
}
// apiget用のColumnFilterHashとColumnFilterSearchTypesを作成する関数
function create_filter(e,dialogId){
    let res = {};
    switch(e.type){
        case 'text':
            let val = $(`#${dialogId}_${e.id}`).val();
            // エラー処理
            if(val == ''){
                return {};
            }
            res =  {column:e.searchColumn,text:val,searchType:'PartialMatch'};
            break;
        case 'number':
            num = $(`#${dialogId}_${e.id}`).val().replaceAll(',','');
            // エラー処理
            if(num == ''){
                return {};
            }
            res =  {column:e.searchColumn,text:num,searchType:'ExactMatch'};
            break;
        case 'range-text':
            let fromVal = $(`#${dialogId}_${e.id}From`).val();
            let toVal = $(`#${dialogId}_${e.id}To`).val();
            if(fromVal == '' &amp;&amp; toVal == ''){
                return {};
            }
            // 検索先項目がNumかどうかで処理を分ける
            let arr = [];
            if(e.searchColumn.substring(0,3) == 'Num'){
                arr = JSON.stringify([`${fromVal},${toVal}`]);
            }
            else{
                // 数値項目ではない場合。数値化して全パターン取得
                fromVal = fromVal == '' ? "0".repeat(e.digitsNum) : fromVal;
                toVal = toVal == '' ? "9".repeat(e.digitsNum):toVal;
                for(i = Number(fromVal); i &lt;= Number(toVal); i++){
                    arr.push(String(i).padStart(e.digitsNum,'0').slice(`-${e.digitsNum}`));
                }
                arr = JSON.stringify(arr);
            }
            res = {column:e.searchColumn,text:arr,searchType:'ExactMatchMultiple'}
            break;
        case 'range-number':
            let fromNum = $(`#${dialogId}_${e.id}From`).val();
            let toNum = $(`#${dialogId}_${e.id}To`).val();
            if(fromNum == '' &amp;&amp; toNum == ''){
                return {};
            }
            let numArr = JSON.stringify([`${fromNum},${toNum}`]);
            res = {column:e.searchColumn,text:numArr,searchType:'ExactMatchMultiple'}
            break;
        case 'datepicker':
            let dt = $(`#${dialogId}_${e.id}`).val();
            if(dt == ''){
                return {};
            }
            res = {column:e.searchColumn,text:JSON.stringify([dt.replace('-','/')]),searchType:'ExactMatch'}
            break;
        case 'range-date':
            let dtFrom = $(`#${dialogId}_${e.id}From`).val();
            let dtTo = $(`#${dialogId}_${e.id}To`).val();
            if(dtFrom == '' &amp;&amp; dtTo == ''){
                return {};
            }
            let dates = JSON.stringify([`${dtFrom.replaceAll('-','/')},${dtTo.replaceAll('-','/')}`]);
            res =  {column:e.searchColumn,text:dates,searchType:'ExactMatchMultiple'};
            break;
    }
    return res;
}
// 選択されたときの処理
$(document).on('click','tr:has(".searchTd")',function(e){
    let item = $(this);
    // ふくすう選択ダイアログなら処理終了
    if(item.children().eq(0).children().eq(0).attr('type')){
        // inputがクリックされていたら処理終了
        if($(e.target).is('input')){
            return;
        }
        item.find('input:first').prop('checked', function( index, prop ){
            return !prop;
        });
        return;
    }
    if(searchOutputId.length == 0 || searchOutputId[searchOutputId.length -1].id == "")return;
    if(searchOutputId[searchOutputId.length - 1].id == "changeProductDialog_productNo"){
        $(`#changeProductDialog_productNo`).val(item.children().eq(0).text().replaceAll(' ',''));
        $(`#changeProductDialog_methodNo`).val(item.children().eq(1).text().replaceAll(' ',''));
        $(`#changeProductDialog_productName`).val(item.children().eq(2).text().replaceAll(' ',''));
    }
    else if(searchOutputId[searchOutputId.length - 1].id == "changeProductDialog_AfterChangeNo" ){
        $(`#changeProductDialog_AfterChangeNo`).val(item.children().eq(0).text().replaceAll(' ',''));
        $(`#changeProductDialog_AfterMethodNo`).val(item.children().eq(1).text().replaceAll(' ',''));
        $(`#changeProductDialog_AfterProductName`).val(item.children().eq(2).text().replaceAll(' ',''));
    }
    else{
        $(`#${searchOutputId[searchOutputId.length -1].id}`).val(item.children()[0].textContent).trigger('input');
    }
    $(`#${searchOutputId[searchOutputId.length -1].dialogId}Dialog tbody`).html('');
    $(`#${searchOutputId[searchOutputId.length -1].dialogId}Dialog`).dialog('close');
    searchOutputId.pop();
})
// マウスオーバー時のイベント
$(document).on('mouseover','.bgc',function(){
    $('.bgc').parent().css('background-color','');
    $(this).parent().css('background-color','silver')
})
$(document).on('mouseout','.bgc',function(){
    $('.bgc').parent().css('background-color','');
})
// ダイアログを閉じるボタンが押された時の処理
$(document).on('click','.ui-dialog-titlebar-close',function(){
    let elem = $(this).parent().parent().next();
    var prevObjectElement = elem.prevObject[0];
    // prevObjectElementの子要素の中に'searchDialog'クラスを持つ要素があるかをチェック
    var hasSearchDialogClass = $(prevObjectElement).children().hasClass('searchDialog');
    if(hasSearchDialogClass){
        searchOutputId.pop();
    }
})
// エスケープで閉じる機能を廃止のためコメントアウト
// escapeが押されたらsearchOutputIdの末尾を削除
// $(document).keydown(async function(e){
//     const key = e.keyCode;
//     if(key != 27){
//         return;
//     }
//     // dialogでエスケープキーを閉じるときのバリデーション対策
//     now_varidate_flg = true;
//     await sleep(0);
//     now_varidate_flg = false;
//     searchOutputId.pop();
//     // 閉じたdialogを削除
// })
// 複数選択ダイアログで、チェックマークが入っている項目をカンマ区切りで呼出元項目に入力する関数
function resultInput(event){
    let items = Array.from($(`#${searchOutputId[searchOutputId.length-1].dialogId}Dialog tbody input[type="checkbox"]:checked`));
    if(items.length == 0){
        alert('選択されていません。');
        return;
    }
    let resText = items.map(e =&gt; $(e).parent().parent().children().eq(1).text()).join(',');
    $(`#${searchOutputId[searchOutputId.length -1].id}`).val(resText).trigger('input');
    $(`#${searchOutputId[searchOutputId.length -1].dialogId}Dialog`).dialog('close');
    searchOutputId.pop();
}
$(document).on('click','.ui-dialog-titlebar-close',function(){
    let element = $(this).parent().parent();
    element.find('table.searchTable tbody').html('');
})
$(document).on('keydown','tr:has(".searchTd")',function(e){
    if(e.which == 13){
        $(this).trigger('click');
    }
})</t>
    <phoneticPr fontId="2"/>
  </si>
  <si>
    <t>62_製品検索マスタダイアログ.js</t>
  </si>
  <si>
    <t xml:space="preserve">// 製品検索ダイアログ作成
{
    const dialogId = 'productSearch1';
    create_searchDialog(dialogId,'TM製品',[
        {type:'text',id:'productNo',label:'製品No',forColumnName:'製品NO',options:{
            width:'wide',
            newLine:true,
        }},
        {type:'text',id:'methodNo',label:'仕様No',forColumnName:'仕様NO',options:{
            width:'wide',
        }},
        {type:'text',id:'KANJIName',label:'漢字名称',forColumnName:'漢字名称',options:{
            width:'wide',
        }},
        {type:'text',id:'mainSupplier',label:'主仕入先',forColumnName:'主仕入先CD',options:{
            width:'wide',
        }},
        {type:'text',id:'W',label:'W',forColumnName:'W',options:{
            width:'wide',
            newLine:true,
        }},
        {type:'text',id:'D',label:'D',forColumnName:'D',options:{
            width:'wide',
        }},
        {type:'text',id:'H',label:'H',forColumnName:'H',options:{
            width:'wide',
        }},
        {type:'text',id:'D1',label:'D1',forColumnName:'D1',options:{
            width:'wide',
            newLine:true,
        }},
        {type:'text',id:'D2',label:'D2',forColumnName:'D2',options:{
            width:'wide',
        }},
        {type:'text',id:'H1',label:'H1',forColumnName:'H1',options:{
            width:'wide',
        }},
        {type:'text',id:'H2',label:'H2',forColumnName:'H2',options:{
            width:'wide',
        }},
        { type: 'search-table', id: 'searchTable', label: '', options: {
            newLine:false,
            individualSql:true,
            t_heads:[
                {label:"製品No",type:'',ColumnName:'製品NO'},
                {label:"仕様No",type:'',ColumnName:'仕様NO'},
                {label:"漢字名称",type:'',ColumnName:'漢字名称'},
                {label:"主仕入先",type:'',ColumnName:'主仕入先CD'},
                {label:"W",type:'',ColumnName:'W'},
                {label:"D",type:'',ColumnName:'D'},
                {label:"H",type:'',ColumnName:'H'},
                {label:"D1",type:'',ColumnName:'D1'},
                {label:"D2",type:'',ColumnName:'D2'},
                {label:"H1",type:'',ColumnName:'H1'},
                {label:"H2",type:'',ColumnName:'H2'},
                {label:"仕入先名",type:'',ColumnName:'仕入先名1'},
            ]
        }},
    ],
    [
        { type: 'button_inline', id: 'create', label: 'OK', options: {
            onclick:`resultInput('${dialogId}')`,
            icon:'disk'
        }},
    ],
    '1300px')
}
const productSearch1_baseSQL = (e) =&gt; {
    return `
        SELECT TOP 1000 SE.製品NO,SE.仕様NO,SE.漢字名称,SE.主仕入先CD,SE.W,SE.D,SE.H,SE.D1,SE.D2,SE.H1,SE.H2,SI.仕入先名1
        FROM TM製品 AS SE
        INNER JOIN
            TM仕入先 AS SI
        ON
            SE.主仕入先CD = SI.仕入先CD
        ${e} and 廃盤FLG = 0
        ORDER BY
        SE.製品NO ASC , SE.仕様NO ASC
    `
}
// 製品検索ダイアログ作成
{
    const dialogId = 'productSearch2';
    create_searchDialog(dialogId,'TM製品',[
        {type:'text',id:'productNo',label:'製品No',forColumnName:'製品NO',options:{
            width:'wide',
            newLine:true,
        }},
        {type:'text',id:'methodNo',label:'仕様No',forColumnName:'仕様NO',options:{
            width:'wide',
        }},
        {type:'text',id:'KANJIName',label:'漢字名称',forColumnName:'漢字名称',options:{
            width:'wide',
        }},
        {type:'text',id:'mainSupplier',label:'主仕入先',forColumnName:'主仕入先CD',options:{
            width:'wide',
        }},
        {type:'text',id:'W',label:'W',forColumnName:'W',options:{
            width:'wide',
            newLine:true,
        }},
        {type:'text',id:'D',label:'D',forColumnName:'D',options:{
            width:'wide',
        }},
        {type:'text',id:'H',label:'H',forColumnName:'H',options:{
            width:'wide',
        }},
        {type:'text',id:'D1',label:'D1',forColumnName:'D1',options:{
            width:'wide',
            newLine:true,
        }},
        {type:'text',id:'D2',label:'D2',forColumnName:'D2',options:{
            width:'wide',
        }},
        {type:'text',id:'H1',label:'H1',forColumnName:'H1',options:{
            width:'wide',
        }},
        {type:'text',id:'H2',label:'H2',forColumnName:'H2',options:{
            width:'wide',
        }},
        { type: 'search-table', id: 'searchTable', label: '', options: {
            newLine:false,
            individualSql:true,
            t_heads:[
                {label:"",ColumnName:'タイトル',hidden:true},
                {label:"製品No",type:'',ColumnName:'製品NO'},
                {label:"仕様No",type:'',ColumnName:'仕様NO'},
                {label:"漢字名称",type:'',ColumnName:'漢字名称'},
                {label:"主仕入先",type:'',ColumnName:'主仕入先CD'},
                {label:"W",type:'',ColumnName:'W'},
                {label:"D",type:'',ColumnName:'D'},
                {label:"H",type:'',ColumnName:'H'},
                {label:"D1",type:'',ColumnName:'D1'},
                {label:"D2",type:'',ColumnName:'D2'},
                {label:"H1",type:'',ColumnName:'H1'},
                {label:"H2",type:'',ColumnName:'H2'},
                {label:"仕入先名",type:'',ColumnName:'仕入先名1'},
            ]
        }},
    ],
    [
        { type: 'button_inline', id: 'create', label: 'OK', options: {
            onclick:`resultInput('${dialogId}')`,
            icon:'disk'
        }},
    ],
    '1300px')
}
const productSearch2_baseSQL = (e) =&gt; {
    return `
        SELECT TOP 1000 
            SE.製品NO + '___' + SE.仕様NO AS タイトル, 
            SE.製品NO,SE.仕様NO,SE.漢字名称,SE.主仕入先CD,SE.W,SE.D,SE.H,SE.D1,SE.D2,SE.H1,SE.H2,SI.仕入先名1
        FROM TM製品 AS SE
        INNER JOIN
            TM仕入先 AS SI
        ON
            SE.主仕入先CD = SI.仕入先CD
        ${e} and 廃盤FLG = 0
        ORDER BY
        SE.製品NO ASC , SE.仕様NO ASC
    `
}
</t>
    <phoneticPr fontId="2"/>
  </si>
  <si>
    <t>棚番マスタ.js</t>
  </si>
  <si>
    <t xml:space="preserve">const styleElement2 = document.createElement('style');
styleElement2.textContent = `
    .field-normal{
        width:340px ;
        max-width:340px ;
        height:45px ;
        padding:0 20px 10px 0 ;
    }
    .field-wide{
        width:100%;
        min-height:45px;
        float:left;
        padding:0 10px 10px 0;
        clear both;
            max-width:100%
    }
    .sdt_disabled input,
    .sdt_disabled select,
    .sdt_disabled textarea{
        background:#f5f5f5;
    }
    #productSearch{
        display:block;
        position:static;
        margin-left:320px;
        margin-top:6px;
        overflow:visible;
    }
    #productDelete{
        position:sticky;
        margin-left:335px;
        overflow:visible;
        margin-top:-50px;
    }
`;
document.head.appendChild(styleElement2);
lookups.push({
    id:"Results_ClassG",
    searchDialog:{id:"productSearch2",title:'製品No検索',multiple:false}
})
$(document).on('input','#Results_ClassG',async function(){
    try{
        const productNo = $('#Results_ClassG');
        const siyouNo = $('#Results_ClassB');
        if(productNo.val() == ""){
            return;
        }
        const arr = productNo.val().split('___');
        $p.set($p.getControl('ClassG'),arr[0]);
        $p.set($p.getControl('ClassB'),arr[1]);
        const data = await commonGetData(MASTER_TABLES["製品マスタ"],['ClassC','NumA','NumB','NumC','NumD','NumE','NumF','NumG'],{ClassA:productNo.val().replaceAll(' ',''),ClassB:siyouNo.val().replaceAll(' ','')},{},{ClassA:'ExactMatch',ClassB:'ExactMatch'},false,false);
        if(data.length ==0 ){
            alert('指定の製品Noは存在しません。');
            return;
        }
        $p.set($p.getControl('ClassC'),data[0].ClassC);
        $p.set($p.getControl('NumA'),null_to_zero(data[0].NumA,0));
        $p.set($p.getControl('NumB'),null_to_zero(data[0].NumD,0));
        $p.set($p.getControl('NumC'),null_to_zero(data[0].NumG,0));
        $p.set($p.getControl('NumD'),null_to_zero(data[0].NumB,0));
        $p.set($p.getControl('NumE'),null_to_zero(data[0].NumE,0));
        $p.set($p.getControl('NumF'),null_to_zero(data[0].NumC,0));
        $p.set($p.getControl('NumG'),null_to_zero(data[0].NumF,0));
    }catch(e){
        alert('予期せぬエラーが発生しました。');
        console.error(e);
        return;
    }
})
function initialize(){
    $p.set($p.getControl('ClassG'),'');
    $p.set($p.getControl('ClassB'),'');
    $p.set($p.getControl('ClassC'),'');
    $p.set($p.getControl('NumA'),'');
    $p.set($p.getControl('NumB'),'');
    $p.set($p.getControl('NumC'),'');
    $p.set($p.getControl('NumD'),'');
    $p.set($p.getControl('NumE'),'');
    $p.set($p.getControl('NumF'),'');
    $p.set($p.getControl('NumG'),'');
}
$p.events.on_editor_load = function () {
    setDisabled('disabled');
    $('.dialogSearch').off('click');
    if($('#productSearch2Dialog').length == 0){
        $('#Application').append(productSearch_html);
    }
    $('#productSearch').on('click',function(){
        openDialog_for_searchDialog('productSearch2','Results_ClassG','1300px','製品検索ダイアログ');
    })
}
const productSearch_html = `
&lt;div id="productSearch2Dialog" class="searchDialog ui-dialog-content ui-widget-content" style="display:none; margin-top: 10px; width: auto; min-height: 89.25px; max-height: 90vh; height: auto;"&gt;
        &lt;div style="display: inline-block;width: 33%;vertical-align: top;"&gt;
            &lt;div id="productSearch2_productNoField" class="field-wide both" style=""&gt;
                &lt;p class="field-label"&gt;&lt;label for="productSearch2_productNo" class=""&gt;製品No&lt;/label&gt;&lt;/p&gt;
                &lt;div class="field-control"&gt;
                    &lt;div class="container-normal"&gt;
                        &lt;div class="oneItem"&gt;
                            &lt;input id="productSearch2_productNo" name="productSearch2_productNo" class="control-textbox     " type="text" style=""&gt;
                    &lt;/div&gt;
                    &lt;/div&gt;
                &lt;/div&gt;
                &lt;div class="error-message" id="productSearch2_productNo-error"&gt;&lt;/div&gt;
            &lt;/div&gt;
            &lt;div id="productSearch2_methodNoField" class="field-wide both" style=""&gt;
                &lt;p class="field-label"&gt;&lt;label for="productSearch2_methodNo" class=""&gt;仕様No&lt;/label&gt;&lt;/p&gt;
                &lt;div class="field-control"&gt;
                    &lt;div class="container-normal"&gt;
                        &lt;div class="oneItem"&gt;
                            &lt;input id="productSearch2_methodNo" name="productSearch2_methodNo" class="control-textbox     " type="text" style=""&gt;
                    &lt;/div&gt;
                    &lt;/div&gt;
                &lt;/div&gt;
                &lt;div class="error-message" id="productSearch2_methodNo-error"&gt;&lt;/div&gt;
            &lt;/div&gt;
            &lt;div id="productSearch2_KANJINameField" class="field-wide both" style=""&gt;
                &lt;p class="field-label"&gt;&lt;label for="productSearch2_KANJIName" class=""&gt;漢字名称&lt;/label&gt;&lt;/p&gt;
                &lt;div class="field-control"&gt;
                    &lt;div class="container-normal"&gt;
                        &lt;div class="oneItem"&gt;
                            &lt;input id="productSearch2_KANJIName" name="productSearch2_KANJIName" class="control-textbox     " type="text" style=""&gt;
                    &lt;/div&gt;
                    &lt;/div&gt;
                &lt;/div&gt;
                &lt;div class="error-message" id="productSearch2_KANJIName-error"&gt;&lt;/div&gt;
            &lt;/div&gt;
            &lt;div id="productSearch2_mainSupplierField" class="field-wide both" style=""&gt;
                &lt;p class="field-label"&gt;&lt;label for="productSearch2_mainSupplier" class=""&gt;主仕入先&lt;/label&gt;&lt;/p&gt;
                &lt;div class="field-control"&gt;
                    &lt;div class="container-normal"&gt;
                        &lt;div class="oneItem"&gt;
                            &lt;input id="productSearch2_mainSupplier" name="productSearch2_mainSupplier" class="control-textbox     " type="text" style=""&gt;
                    &lt;/div&gt;
                    &lt;/div&gt;
                &lt;/div&gt;
                &lt;div class="error-message" id="productSearch2_mainSupplier-error"&gt;&lt;/div&gt;
            &lt;/div&gt;
        &lt;/div&gt;&lt;div style="display: inline-block;width: 33%;vertical-align: top;"&gt;
            &lt;div id="productSearch2_WField" class="field-wide both" style=""&gt;
                &lt;p class="field-label"&gt;&lt;label for="productSearch2_W" class=""&gt;W&lt;/label&gt;&lt;/p&gt;
                &lt;div class="field-control"&gt;
                    &lt;div class="container-normal"&gt;
                        &lt;div class="oneItem"&gt;
                            &lt;input id="productSearch2_W" name="productSearch2_W" class="control-textbox     " type="text" style=""&gt;
                    &lt;/div&gt;
                    &lt;/div&gt;
                &lt;/div&gt;
                &lt;div class="error-message" id="productSearch2_W-error"&gt;&lt;/div&gt;
            &lt;/div&gt;
            &lt;div id="productSearch2_DField" class="field-wide both" style=""&gt;
                &lt;p class="field-label"&gt;&lt;label for="productSearch2_D" class=""&gt;D&lt;/label&gt;&lt;/p&gt;
                &lt;div class="field-control"&gt;
                    &lt;div class="container-normal"&gt;
                        &lt;div class="oneItem"&gt;
                            &lt;input id="productSearch2_D" name="productSearch2_D" class="control-textbox     " type="text" style=""&gt;
                    &lt;/div&gt;
                    &lt;/div&gt;
                &lt;/div&gt;
                &lt;div class="error-message" id="productSearch2_D-error"&gt;&lt;/div&gt;
            &lt;/div&gt;
            &lt;div id="productSearch2_HField" class="field-wide both" style=""&gt;
                &lt;p class="field-label"&gt;&lt;label for="productSearch2_H" class=""&gt;H&lt;/label&gt;&lt;/p&gt;
                &lt;div class="field-control"&gt;
                    &lt;div class="container-normal"&gt;
                        &lt;div class="oneItem"&gt;
                            &lt;input id="productSearch2_H" name="productSearch2_H" class="control-textbox     " type="text" style=""&gt;
                    &lt;/div&gt;
                    &lt;/div&gt;
                &lt;/div&gt;
                &lt;div class="error-message" id="productSearch2_H-error"&gt;&lt;/div&gt;
            &lt;/div&gt;
        &lt;/div&gt;&lt;div style="display: inline-block;width: 33%;vertical-align: top;"&gt;
            &lt;div id="productSearch2_D1Field" class="field-wide both" style=""&gt;
                &lt;p class="field-label"&gt;&lt;label for="productSearch2_D1" class=""&gt;D1&lt;/label&gt;&lt;/p&gt;
                &lt;div class="field-control"&gt;
                    &lt;div class="container-normal"&gt;
                        &lt;div class="oneItem"&gt;
                            &lt;input id="productSearch2_D1" name="productSearch2_D1" class="control-textbox     " type="text" style=""&gt;
                    &lt;/div&gt;
                    &lt;/div&gt;
                &lt;/div&gt;
                &lt;div class="error-message" id="productSearch2_D1-error"&gt;&lt;/div&gt;
            &lt;/div&gt;
            &lt;div id="productSearch2_D2Field" class="field-wide both" style=""&gt;
                &lt;p class="field-label"&gt;&lt;label for="productSearch2_D2" class=""&gt;D2&lt;/label&gt;&lt;/p&gt;
                &lt;div class="field-control"&gt;
                    &lt;div class="container-normal"&gt;
                        &lt;div class="oneItem"&gt;
                            &lt;input id="productSearch2_D2" name="productSearch2_D2" class="control-textbox     " type="text" style=""&gt;
                    &lt;/div&gt;
                    &lt;/div&gt;
                &lt;/div&gt;
                &lt;div class="error-message" id="productSearch2_D2-error"&gt;&lt;/div&gt;
            &lt;/div&gt;
            &lt;div id="productSearch2_H1Field" class="field-wide both" style=""&gt;
                &lt;p class="field-label"&gt;&lt;label for="productSearch2_H1" class=""&gt;H1&lt;/label&gt;&lt;/p&gt;
                &lt;div class="field-control"&gt;
                    &lt;div class="container-normal"&gt;
                        &lt;div class="oneItem"&gt;
                            &lt;input id="productSearch2_H1" name="productSearch2_H1" class="control-textbox     " type="text" style=""&gt;
                    &lt;/div&gt;
                    &lt;/div&gt;
                &lt;/div&gt;
                &lt;div class="error-message" id="productSearch2_H1-error"&gt;&lt;/div&gt;
            &lt;/div&gt;
            &lt;div id="productSearch2_H2Field" class="field-wide both" style=""&gt;
                &lt;p class="field-label"&gt;&lt;label for="productSearch2_H2" class=""&gt;H2&lt;/label&gt;&lt;/p&gt;
                &lt;div class="field-control"&gt;
                    &lt;div class="container-normal"&gt;
                        &lt;div class="oneItem"&gt;
                            &lt;input id="productSearch2_H2" name="productSearch2_H2" class="control-textbox     " type="text" style=""&gt;
                    &lt;/div&gt;
                    &lt;/div&gt;
                &lt;/div&gt;
                &lt;div class="error-message" id="productSearch2_H2-error"&gt;&lt;/div&gt;
            &lt;/div&gt;
        &lt;/div&gt;&lt;div style="display: block;"&gt;
            &lt;div style="width:80%; display: flex;justify-content: end;"&gt;
                &lt;button id="productSearch2_searchTable_searchButton" class="button button-icon ui-button ui-corner-all ui-widget applied customized" data-icon="ui-icon-search" type="button" style="z-index: 9999;" onclick="create_searchList($(this));"&gt;
                    &lt;span class="ui-button-icon ui-icon ui-icon-search search" style="position: static;"&gt;&lt;/span&gt;
                    &lt;span class="ui-button-icon-space"&gt; &lt;/span&gt;検索
                &lt;/button&gt;
            &lt;/div&gt;
            &lt;div id="productSearch2_searchTable_readTable" class="ui-dialog-content ui-widget-content" style="display: inline-block; margin-top:20px; width: 98%;margin-left:1%;"&gt;
                &lt;div class="field-vertical " style="width: 100%;"&gt;
                    &lt;div class="field-control"&gt;
                        &lt;div class="container-selectable"&gt;
                            &lt;div class="wrapper h300"&gt;
                                &lt;table class="table searchTable"&gt;
                                    &lt;thead style="position: sticky; top:0; background-color: gold; z-index:9999"&gt;
                                        &lt;tr&gt;
                                            &lt;th style="text-align: center;border-collapse: collapse; display:none;"&gt;&lt;/th&gt;&lt;th style="text-align: center;border-collapse: collapse; "&gt;製品No&lt;/th&gt;&lt;th style="text-align: center;border-collapse: collapse; "&gt;仕様No&lt;/th&gt;&lt;th style="text-align: center;border-collapse: collapse; "&gt;漢字名称&lt;/th&gt;&lt;th style="text-align: center;border-collapse: collapse; "&gt;主仕入先&lt;/th&gt;&lt;th style="text-align: center;border-collapse: collapse; "&gt;W&lt;/th&gt;&lt;th style="text-align: center;border-collapse: collapse; "&gt;D&lt;/th&gt;&lt;th style="text-align: center;border-collapse: collapse; "&gt;H&lt;/th&gt;&lt;th style="text-align: center;border-collapse: collapse; "&gt;D1&lt;/th&gt;&lt;th style="text-align: center;border-collapse: collapse; "&gt;D2&lt;/th&gt;&lt;th style="text-align: center;border-collapse: collapse; "&gt;H1&lt;/th&gt;&lt;th style="text-align: center;border-collapse: collapse; "&gt;H2&lt;/th&gt;&lt;th style="text-align: center;border-collapse: collapse; "&gt;仕入先名&lt;/th&gt;
                                        &lt;/tr&gt;
                                    &lt;/thead&gt;
                                    &lt;tbody&gt;
                                    &lt;/tbody&gt;
                                &lt;/table&gt;
                            &lt;/div&gt;
                        &lt;/div&gt;
                    &lt;/div&gt;
                &lt;/div&gt;
            &lt;/div&gt;
        &lt;/div&gt;
        &lt;div class="command-center"&gt;
            &lt;button id="productSearch2_close" class="button button-icon ui-button ui-corner-all ui-widget applied customized" type="button" onclick="closeDialog('productSearch2Dialog',false);" style="position:relative;"&gt;
                &lt;span class="ui-button-icon ui-icon ui-icon-cancel"&gt;&lt;/span&gt;
                &lt;span class="ui-button-icon-space"&gt; &lt;/span&gt;終了
            &lt;/button&gt;
        &lt;/div&gt;
    &lt;/div&gt;
`
</t>
    <phoneticPr fontId="2"/>
  </si>
  <si>
    <t>22_ダイアログ共通.js</t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</si>
  <si>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</si>
  <si>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</si>
  <si>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</si>
  <si>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</si>
  <si>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</si>
  <si>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</si>
  <si>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</si>
  <si>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</si>
  <si>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</si>
  <si>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</si>
  <si>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</si>
  <si>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  <phoneticPr fontId="2"/>
  </si>
  <si>
    <t>H1</t>
    <phoneticPr fontId="2"/>
  </si>
  <si>
    <t>H2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</si>
</sst>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32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3134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144780</xdr:colOff>
      <xdr:row>5</xdr:row>
      <xdr:rowOff>106680</xdr:rowOff>
    </xdr:from>
    <xdr:to>
      <xdr:col>23</xdr:col>
      <xdr:colOff>126980</xdr:colOff>
      <xdr:row>31</xdr:row>
      <xdr:rowOff>53340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982980"/>
          <a:ext cx="14231600" cy="64846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7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4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7620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272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1</xdr:col>
      <xdr:colOff>137160</xdr:colOff>
      <xdr:row>5</xdr:row>
      <xdr:rowOff>144781</xdr:rowOff>
    </xdr:from>
    <xdr:to>
      <xdr:col>23</xdr:col>
      <xdr:colOff>206260</xdr:colOff>
      <xdr:row>27</xdr:row>
      <xdr:rowOff>236221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980" y="1021081"/>
          <a:ext cx="12306820" cy="56235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41</xdr:col>
          <xdr:colOff>299720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50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60" t="s">
        <v>256</v>
      </c>
      <c r="D8" s="162"/>
      <c r="E8" s="160" t="s">
        <v>257</v>
      </c>
      <c r="F8" s="161"/>
      <c r="G8" s="161"/>
      <c r="H8" s="161"/>
      <c r="I8" s="161"/>
      <c r="J8" s="161"/>
      <c r="K8" s="161"/>
      <c r="L8" s="161"/>
      <c r="M8" s="161"/>
      <c r="N8" s="162"/>
      <c r="O8" s="160" t="s">
        <v>258</v>
      </c>
      <c r="P8" s="161"/>
      <c r="Q8" s="162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2">
        <f>ROW()-8</f>
        <v>1</v>
      </c>
      <c r="D9" s="153"/>
      <c r="E9" s="154" t="s">
        <v>17</v>
      </c>
      <c r="F9" s="155"/>
      <c r="G9" s="155"/>
      <c r="H9" s="155"/>
      <c r="I9" s="155"/>
      <c r="J9" s="155"/>
      <c r="K9" s="155"/>
      <c r="L9" s="155"/>
      <c r="M9" s="155"/>
      <c r="N9" s="156"/>
      <c r="O9" s="157" t="str">
        <f>HYPERLINK("#"&amp;E9&amp;"!A1","リンク")</f>
        <v>リンク</v>
      </c>
      <c r="P9" s="158"/>
      <c r="Q9" s="159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2">
        <f t="shared" ref="C10:C18" si="0">ROW()-8</f>
        <v>2</v>
      </c>
      <c r="D10" s="153"/>
      <c r="E10" s="154" t="s">
        <v>259</v>
      </c>
      <c r="F10" s="155"/>
      <c r="G10" s="155"/>
      <c r="H10" s="155"/>
      <c r="I10" s="155"/>
      <c r="J10" s="155"/>
      <c r="K10" s="155"/>
      <c r="L10" s="155"/>
      <c r="M10" s="155"/>
      <c r="N10" s="156"/>
      <c r="O10" s="157" t="str">
        <f t="shared" ref="O10:O15" si="1">HYPERLINK("#"&amp;E10&amp;"!A1","リンク")</f>
        <v>リンク</v>
      </c>
      <c r="P10" s="158"/>
      <c r="Q10" s="159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2">
        <f t="shared" si="0"/>
        <v>3</v>
      </c>
      <c r="D11" s="153"/>
      <c r="E11" s="154" t="s">
        <v>260</v>
      </c>
      <c r="F11" s="155"/>
      <c r="G11" s="155"/>
      <c r="H11" s="155"/>
      <c r="I11" s="155"/>
      <c r="J11" s="155"/>
      <c r="K11" s="155"/>
      <c r="L11" s="155"/>
      <c r="M11" s="155"/>
      <c r="N11" s="156"/>
      <c r="O11" s="157" t="str">
        <f t="shared" si="1"/>
        <v>リンク</v>
      </c>
      <c r="P11" s="158"/>
      <c r="Q11" s="159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2">
        <f t="shared" si="0"/>
        <v>4</v>
      </c>
      <c r="D12" s="153"/>
      <c r="E12" s="154" t="s">
        <v>261</v>
      </c>
      <c r="F12" s="155"/>
      <c r="G12" s="155"/>
      <c r="H12" s="155"/>
      <c r="I12" s="155"/>
      <c r="J12" s="155"/>
      <c r="K12" s="155"/>
      <c r="L12" s="155"/>
      <c r="M12" s="155"/>
      <c r="N12" s="156"/>
      <c r="O12" s="157" t="str">
        <f t="shared" si="1"/>
        <v>リンク</v>
      </c>
      <c r="P12" s="158"/>
      <c r="Q12" s="159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2">
        <f t="shared" si="0"/>
        <v>5</v>
      </c>
      <c r="D13" s="153"/>
      <c r="E13" s="154" t="s">
        <v>263</v>
      </c>
      <c r="F13" s="155"/>
      <c r="G13" s="155"/>
      <c r="H13" s="155"/>
      <c r="I13" s="155"/>
      <c r="J13" s="155"/>
      <c r="K13" s="155"/>
      <c r="L13" s="155"/>
      <c r="M13" s="155"/>
      <c r="N13" s="156"/>
      <c r="O13" s="157" t="str">
        <f t="shared" si="1"/>
        <v>リンク</v>
      </c>
      <c r="P13" s="158"/>
      <c r="Q13" s="159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2">
        <f t="shared" si="0"/>
        <v>6</v>
      </c>
      <c r="D14" s="153"/>
      <c r="E14" s="154" t="s">
        <v>264</v>
      </c>
      <c r="F14" s="155"/>
      <c r="G14" s="155"/>
      <c r="H14" s="155"/>
      <c r="I14" s="155"/>
      <c r="J14" s="155"/>
      <c r="K14" s="155"/>
      <c r="L14" s="155"/>
      <c r="M14" s="155"/>
      <c r="N14" s="156"/>
      <c r="O14" s="157" t="str">
        <f t="shared" si="1"/>
        <v>リンク</v>
      </c>
      <c r="P14" s="158"/>
      <c r="Q14" s="159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2">
        <f t="shared" si="0"/>
        <v>7</v>
      </c>
      <c r="D15" s="153"/>
      <c r="E15" s="154" t="s">
        <v>262</v>
      </c>
      <c r="F15" s="155"/>
      <c r="G15" s="155"/>
      <c r="H15" s="155"/>
      <c r="I15" s="155"/>
      <c r="J15" s="155"/>
      <c r="K15" s="155"/>
      <c r="L15" s="155"/>
      <c r="M15" s="155"/>
      <c r="N15" s="156"/>
      <c r="O15" s="157" t="str">
        <f t="shared" si="1"/>
        <v>リンク</v>
      </c>
      <c r="P15" s="158"/>
      <c r="Q15" s="159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2">
        <f t="shared" si="0"/>
        <v>8</v>
      </c>
      <c r="D16" s="153"/>
      <c r="E16" s="154" t="s">
        <v>265</v>
      </c>
      <c r="F16" s="155"/>
      <c r="G16" s="155"/>
      <c r="H16" s="155"/>
      <c r="I16" s="155"/>
      <c r="J16" s="155"/>
      <c r="K16" s="155"/>
      <c r="L16" s="155"/>
      <c r="M16" s="155"/>
      <c r="N16" s="156"/>
      <c r="O16" s="157" t="str">
        <f>HYPERLINK("#"&amp;E16&amp;"!A1","リンク")</f>
        <v>リンク</v>
      </c>
      <c r="P16" s="158"/>
      <c r="Q16" s="159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2">
        <f t="shared" si="0"/>
        <v>9</v>
      </c>
      <c r="D17" s="153"/>
      <c r="E17" s="154" t="s">
        <v>266</v>
      </c>
      <c r="F17" s="155"/>
      <c r="G17" s="155"/>
      <c r="H17" s="155"/>
      <c r="I17" s="155"/>
      <c r="J17" s="155"/>
      <c r="K17" s="155"/>
      <c r="L17" s="155"/>
      <c r="M17" s="155"/>
      <c r="N17" s="156"/>
      <c r="O17" s="157" t="str">
        <f>HYPERLINK("#"&amp;E17&amp;"!A1","リンク")</f>
        <v>リンク</v>
      </c>
      <c r="P17" s="158"/>
      <c r="Q17" s="159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2">
        <f t="shared" si="0"/>
        <v>10</v>
      </c>
      <c r="D18" s="153"/>
      <c r="E18" s="154" t="s">
        <v>294</v>
      </c>
      <c r="F18" s="155"/>
      <c r="G18" s="155"/>
      <c r="H18" s="155"/>
      <c r="I18" s="155"/>
      <c r="J18" s="155"/>
      <c r="K18" s="155"/>
      <c r="L18" s="155"/>
      <c r="M18" s="155"/>
      <c r="N18" s="156"/>
      <c r="O18" s="157" t="str">
        <f>HYPERLINK("#"&amp;E18&amp;"!A1","リンク")</f>
        <v>リンク</v>
      </c>
      <c r="P18" s="158"/>
      <c r="Q18" s="159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8:D8"/>
    <mergeCell ref="C9:D9"/>
    <mergeCell ref="C10:D10"/>
    <mergeCell ref="C11:D11"/>
    <mergeCell ref="E9:N9"/>
    <mergeCell ref="E10:N10"/>
    <mergeCell ref="E11:N11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5" t="s">
        <v>0</v>
      </c>
      <c r="C2" s="168"/>
      <c r="D2" s="168"/>
      <c r="E2" s="168"/>
      <c r="F2" s="168"/>
      <c r="G2" s="168"/>
      <c r="H2" s="168" t="s">
        <v>314</v>
      </c>
      <c r="I2" s="168"/>
      <c r="J2" s="168"/>
      <c r="K2" s="168"/>
      <c r="L2" s="168" t="s">
        <v>313</v>
      </c>
      <c r="M2" s="168"/>
      <c r="N2" s="168"/>
      <c r="O2" s="168"/>
      <c r="P2" s="168"/>
      <c r="Q2" s="168"/>
      <c r="R2" s="168" t="s">
        <v>1</v>
      </c>
      <c r="S2" s="168"/>
      <c r="T2" s="168"/>
      <c r="U2" s="168"/>
      <c r="V2" s="168"/>
      <c r="W2" s="168"/>
      <c r="X2" s="180" t="s">
        <v>2</v>
      </c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2"/>
      <c r="AK2" s="180" t="s">
        <v>15</v>
      </c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2"/>
      <c r="AX2" s="168" t="s">
        <v>4</v>
      </c>
      <c r="AY2" s="168"/>
      <c r="AZ2" s="168"/>
      <c r="BA2" s="168"/>
      <c r="BB2" s="168" t="s">
        <v>3</v>
      </c>
      <c r="BC2" s="168"/>
      <c r="BD2" s="168"/>
      <c r="BE2" s="168"/>
      <c r="BF2" s="168" t="s">
        <v>5</v>
      </c>
      <c r="BG2" s="168"/>
      <c r="BH2" s="168"/>
      <c r="BI2" s="168"/>
      <c r="BJ2" s="168" t="s">
        <v>6</v>
      </c>
      <c r="BK2" s="168"/>
      <c r="BL2" s="168"/>
      <c r="BM2" s="169"/>
      <c r="BN2" s="15"/>
    </row>
    <row r="3" spans="1:66" ht="20.100000000000001" customHeight="1" x14ac:dyDescent="0.45">
      <c r="A3" s="9"/>
      <c r="B3" s="183" t="s">
        <v>311</v>
      </c>
      <c r="C3" s="171"/>
      <c r="D3" s="171"/>
      <c r="E3" s="171"/>
      <c r="F3" s="171"/>
      <c r="G3" s="171"/>
      <c r="H3" s="171" t="str">
        <f ca="1">LEFT($X$3,FIND("_",$X$3)-1)</f>
        <v>マスタ</v>
      </c>
      <c r="I3" s="171"/>
      <c r="J3" s="171"/>
      <c r="K3" s="171"/>
      <c r="L3" s="171" t="s">
        <v>312</v>
      </c>
      <c r="M3" s="171"/>
      <c r="N3" s="171"/>
      <c r="O3" s="171"/>
      <c r="P3" s="171"/>
      <c r="Q3" s="171"/>
      <c r="R3" s="184" t="str">
        <f ca="1">MID($X$3,FIND("_",$X$3,FIND("_",$X$3)+1)+1,LEN($X$3)-FIND("_",$X$3,FIND("_",$X$3)+1))</f>
        <v>画面設計書</v>
      </c>
      <c r="S3" s="171"/>
      <c r="T3" s="171"/>
      <c r="U3" s="171"/>
      <c r="V3" s="171"/>
      <c r="W3" s="171"/>
      <c r="X3" s="174" t="str">
        <f ca="1">REPLACE(LEFT(CELL("filename",$B$2),FIND(".x",CELL("filename",$B$2))-1),1,FIND("[",CELL("filename",$B$2)),)</f>
        <v>マスタ_棚番マスタ_画面設計書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6"/>
      <c r="AK3" s="174" t="str">
        <f ca="1">MID($X$3,FIND("_",$X$3)+1,FIND("_",$X$3,FIND("_",$X$3)+1)-FIND("_",$X$3)-1)</f>
        <v>棚番マスタ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6"/>
      <c r="AX3" s="170">
        <v>45439</v>
      </c>
      <c r="AY3" s="171"/>
      <c r="AZ3" s="171"/>
      <c r="BA3" s="171"/>
      <c r="BB3" s="171" t="s">
        <v>315</v>
      </c>
      <c r="BC3" s="171"/>
      <c r="BD3" s="171"/>
      <c r="BE3" s="171"/>
      <c r="BF3" s="170">
        <v>45439</v>
      </c>
      <c r="BG3" s="171"/>
      <c r="BH3" s="171"/>
      <c r="BI3" s="171"/>
      <c r="BJ3" s="171" t="s">
        <v>315</v>
      </c>
      <c r="BK3" s="171"/>
      <c r="BL3" s="171"/>
      <c r="BM3" s="173"/>
      <c r="BN3" s="15"/>
    </row>
    <row r="4" spans="1:66" ht="20.100000000000001" customHeight="1" thickBot="1" x14ac:dyDescent="0.5">
      <c r="A4" s="9"/>
      <c r="B4" s="176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7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9"/>
      <c r="AK4" s="177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9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4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67" t="s">
        <v>7</v>
      </c>
      <c r="D8" s="167"/>
      <c r="E8" s="167"/>
      <c r="F8" s="167"/>
      <c r="G8" s="167" t="s">
        <v>8</v>
      </c>
      <c r="H8" s="167"/>
      <c r="I8" s="167"/>
      <c r="J8" s="167"/>
      <c r="K8" s="167" t="s">
        <v>9</v>
      </c>
      <c r="L8" s="167"/>
      <c r="M8" s="167"/>
      <c r="N8" s="167"/>
      <c r="O8" s="167" t="s">
        <v>10</v>
      </c>
      <c r="P8" s="167"/>
      <c r="Q8" s="167"/>
      <c r="R8" s="167"/>
      <c r="S8" s="167"/>
      <c r="T8" s="167"/>
      <c r="U8" s="167"/>
      <c r="V8" s="167"/>
      <c r="W8" s="167"/>
      <c r="X8" s="167"/>
      <c r="Y8" s="167" t="s">
        <v>11</v>
      </c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8"/>
      <c r="BN8" s="15"/>
    </row>
    <row r="9" spans="1:66" ht="20.100000000000001" customHeight="1" x14ac:dyDescent="0.45">
      <c r="A9" s="9"/>
      <c r="B9" s="8"/>
      <c r="C9" s="166">
        <v>45439</v>
      </c>
      <c r="D9" s="164"/>
      <c r="E9" s="164"/>
      <c r="F9" s="165"/>
      <c r="G9" s="154" t="s">
        <v>18</v>
      </c>
      <c r="H9" s="155"/>
      <c r="I9" s="155"/>
      <c r="J9" s="156"/>
      <c r="K9" s="163" t="s">
        <v>315</v>
      </c>
      <c r="L9" s="164"/>
      <c r="M9" s="164"/>
      <c r="N9" s="165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66"/>
      <c r="D10" s="164"/>
      <c r="E10" s="164"/>
      <c r="F10" s="165"/>
      <c r="G10" s="154"/>
      <c r="H10" s="155"/>
      <c r="I10" s="155"/>
      <c r="J10" s="156"/>
      <c r="K10" s="163"/>
      <c r="L10" s="164"/>
      <c r="M10" s="164"/>
      <c r="N10" s="16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66"/>
      <c r="D11" s="164"/>
      <c r="E11" s="164"/>
      <c r="F11" s="165"/>
      <c r="G11" s="154"/>
      <c r="H11" s="155"/>
      <c r="I11" s="155"/>
      <c r="J11" s="156"/>
      <c r="K11" s="163"/>
      <c r="L11" s="164"/>
      <c r="M11" s="164"/>
      <c r="N11" s="16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66"/>
      <c r="D36" s="164"/>
      <c r="E36" s="164"/>
      <c r="F36" s="165"/>
      <c r="G36" s="154"/>
      <c r="H36" s="155"/>
      <c r="I36" s="155"/>
      <c r="J36" s="156"/>
      <c r="K36" s="163"/>
      <c r="L36" s="164"/>
      <c r="M36" s="164"/>
      <c r="N36" s="16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66"/>
      <c r="D37" s="164"/>
      <c r="E37" s="164"/>
      <c r="F37" s="165"/>
      <c r="G37" s="154"/>
      <c r="H37" s="155"/>
      <c r="I37" s="155"/>
      <c r="J37" s="156"/>
      <c r="K37" s="163"/>
      <c r="L37" s="164"/>
      <c r="M37" s="164"/>
      <c r="N37" s="16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66"/>
      <c r="D38" s="164"/>
      <c r="E38" s="164"/>
      <c r="F38" s="165"/>
      <c r="G38" s="154"/>
      <c r="H38" s="155"/>
      <c r="I38" s="155"/>
      <c r="J38" s="156"/>
      <c r="K38" s="163"/>
      <c r="L38" s="164"/>
      <c r="M38" s="164"/>
      <c r="N38" s="16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66"/>
      <c r="D39" s="164"/>
      <c r="E39" s="164"/>
      <c r="F39" s="165"/>
      <c r="G39" s="154"/>
      <c r="H39" s="155"/>
      <c r="I39" s="155"/>
      <c r="J39" s="156"/>
      <c r="K39" s="163"/>
      <c r="L39" s="164"/>
      <c r="M39" s="164"/>
      <c r="N39" s="16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66"/>
      <c r="D40" s="164"/>
      <c r="E40" s="164"/>
      <c r="F40" s="165"/>
      <c r="G40" s="154"/>
      <c r="H40" s="155"/>
      <c r="I40" s="155"/>
      <c r="J40" s="156"/>
      <c r="K40" s="163"/>
      <c r="L40" s="164"/>
      <c r="M40" s="164"/>
      <c r="N40" s="16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66"/>
      <c r="D41" s="164"/>
      <c r="E41" s="164"/>
      <c r="F41" s="165"/>
      <c r="G41" s="154"/>
      <c r="H41" s="155"/>
      <c r="I41" s="155"/>
      <c r="J41" s="156"/>
      <c r="K41" s="163"/>
      <c r="L41" s="164"/>
      <c r="M41" s="164"/>
      <c r="N41" s="16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66"/>
      <c r="D42" s="164"/>
      <c r="E42" s="164"/>
      <c r="F42" s="165"/>
      <c r="G42" s="154"/>
      <c r="H42" s="155"/>
      <c r="I42" s="155"/>
      <c r="J42" s="156"/>
      <c r="K42" s="163"/>
      <c r="L42" s="164"/>
      <c r="M42" s="164"/>
      <c r="N42" s="16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66"/>
      <c r="D43" s="164"/>
      <c r="E43" s="164"/>
      <c r="F43" s="165"/>
      <c r="G43" s="154"/>
      <c r="H43" s="155"/>
      <c r="I43" s="155"/>
      <c r="J43" s="156"/>
      <c r="K43" s="163"/>
      <c r="L43" s="164"/>
      <c r="M43" s="164"/>
      <c r="N43" s="16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66"/>
      <c r="D44" s="164"/>
      <c r="E44" s="164"/>
      <c r="F44" s="165"/>
      <c r="G44" s="154"/>
      <c r="H44" s="155"/>
      <c r="I44" s="155"/>
      <c r="J44" s="156"/>
      <c r="K44" s="163"/>
      <c r="L44" s="164"/>
      <c r="M44" s="164"/>
      <c r="N44" s="16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66"/>
      <c r="D45" s="164"/>
      <c r="E45" s="164"/>
      <c r="F45" s="165"/>
      <c r="G45" s="154"/>
      <c r="H45" s="155"/>
      <c r="I45" s="155"/>
      <c r="J45" s="156"/>
      <c r="K45" s="163"/>
      <c r="L45" s="164"/>
      <c r="M45" s="164"/>
      <c r="N45" s="16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66"/>
      <c r="D46" s="164"/>
      <c r="E46" s="164"/>
      <c r="F46" s="165"/>
      <c r="G46" s="154"/>
      <c r="H46" s="155"/>
      <c r="I46" s="155"/>
      <c r="J46" s="156"/>
      <c r="K46" s="163"/>
      <c r="L46" s="164"/>
      <c r="M46" s="164"/>
      <c r="N46" s="16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66"/>
      <c r="D47" s="164"/>
      <c r="E47" s="164"/>
      <c r="F47" s="165"/>
      <c r="G47" s="154"/>
      <c r="H47" s="155"/>
      <c r="I47" s="155"/>
      <c r="J47" s="156"/>
      <c r="K47" s="163"/>
      <c r="L47" s="164"/>
      <c r="M47" s="164"/>
      <c r="N47" s="16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Y63"/>
  <sheetViews>
    <sheetView showGridLines="0" view="pageBreakPreview" topLeftCell="A4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5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5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5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5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5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5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5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5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5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5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5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5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5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5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5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5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5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5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5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5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5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5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5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5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5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5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32" t="s">
        <v>316</v>
      </c>
      <c r="E40" s="39"/>
      <c r="F40" s="19">
        <v>1</v>
      </c>
      <c r="G40" s="132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32" t="s">
        <v>301</v>
      </c>
      <c r="E41" s="39"/>
      <c r="F41" s="19">
        <v>2</v>
      </c>
      <c r="G41" s="132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32" t="s">
        <v>302</v>
      </c>
      <c r="E42" s="39"/>
      <c r="F42" s="19">
        <v>3</v>
      </c>
      <c r="G42" s="132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32" t="s">
        <v>303</v>
      </c>
      <c r="E43" s="39"/>
      <c r="F43" s="19">
        <v>4</v>
      </c>
      <c r="G43" s="132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32" t="s">
        <v>354</v>
      </c>
      <c r="E44" s="39"/>
      <c r="F44" s="19">
        <v>5</v>
      </c>
      <c r="G44" s="132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32" t="s">
        <v>355</v>
      </c>
      <c r="E45" s="39"/>
      <c r="F45" s="19">
        <v>6</v>
      </c>
      <c r="G45" s="132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356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357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358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359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 t="s">
        <v>360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/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EY13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BI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CV139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AF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Y60"/>
  <sheetViews>
    <sheetView showGridLines="0" view="pageBreakPreview" topLeftCell="A19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5"/>
      <c r="S34" s="5"/>
      <c r="T34" s="5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316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301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302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303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361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362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363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364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365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366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367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/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5" max="2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pageSetUpPr fitToPage="1"/>
  </sheetPr>
  <dimension ref="A1:KY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9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17.1992187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4.2968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148" t="s">
        <v>306</v>
      </c>
      <c r="E10" s="147" t="s">
        <v>301</v>
      </c>
      <c r="F10" s="146" t="s">
        <v>38</v>
      </c>
      <c r="G10" s="105"/>
      <c r="H10" s="105"/>
      <c r="I10" s="42" t="s">
        <v>49</v>
      </c>
      <c r="J10" s="42"/>
      <c r="K10" s="42"/>
      <c r="L10" s="42"/>
      <c r="M10" s="42"/>
      <c r="N10" s="42"/>
      <c r="O10" s="105"/>
      <c r="P10" s="105"/>
      <c r="Q10" s="105" t="s">
        <v>322</v>
      </c>
      <c r="R10" s="105"/>
      <c r="S10" s="42" t="s">
        <v>322</v>
      </c>
      <c r="T10" s="42"/>
      <c r="U10" s="42"/>
      <c r="V10" s="42"/>
      <c r="W10" s="42" t="s">
        <v>267</v>
      </c>
      <c r="X10" s="42"/>
      <c r="Y10" s="42"/>
      <c r="Z10" s="100"/>
      <c r="AA10" s="100"/>
      <c r="AB10" s="118"/>
      <c r="AC10" s="120" t="s">
        <v>304</v>
      </c>
      <c r="AE10" s="19">
        <v>1</v>
      </c>
      <c r="AF10" s="96" t="s">
        <v>333</v>
      </c>
      <c r="AG10" s="100" t="s">
        <v>327</v>
      </c>
      <c r="AH10" s="146" t="s">
        <v>38</v>
      </c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 t="s">
        <v>340</v>
      </c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 t="s">
        <v>20</v>
      </c>
      <c r="CU10" s="42" t="s">
        <v>20</v>
      </c>
      <c r="CV10" s="42" t="s">
        <v>20</v>
      </c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148" t="s">
        <v>307</v>
      </c>
      <c r="E11" s="147" t="s">
        <v>302</v>
      </c>
      <c r="F11" s="146" t="s">
        <v>38</v>
      </c>
      <c r="G11" s="105"/>
      <c r="H11" s="105"/>
      <c r="I11" s="42"/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 t="s">
        <v>317</v>
      </c>
      <c r="Y11" s="42"/>
      <c r="Z11" s="42" t="s">
        <v>49</v>
      </c>
      <c r="AA11" s="100"/>
      <c r="AB11" s="118"/>
      <c r="AC11" s="120" t="s">
        <v>305</v>
      </c>
      <c r="AE11" s="19">
        <v>2</v>
      </c>
      <c r="AF11" s="96" t="s">
        <v>334</v>
      </c>
      <c r="AG11" s="100" t="s">
        <v>309</v>
      </c>
      <c r="AH11" s="146" t="s">
        <v>38</v>
      </c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 t="s">
        <v>340</v>
      </c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148" t="s">
        <v>308</v>
      </c>
      <c r="E12" s="147" t="s">
        <v>303</v>
      </c>
      <c r="F12" s="146" t="s">
        <v>38</v>
      </c>
      <c r="G12" s="105"/>
      <c r="H12" s="105"/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/>
      <c r="Y12" s="42"/>
      <c r="Z12" s="42" t="s">
        <v>49</v>
      </c>
      <c r="AA12" s="100"/>
      <c r="AB12" s="118"/>
      <c r="AC12" s="120"/>
      <c r="AE12" s="19">
        <v>3</v>
      </c>
      <c r="AF12" s="96" t="s">
        <v>335</v>
      </c>
      <c r="AG12" s="100" t="s">
        <v>328</v>
      </c>
      <c r="AH12" s="146" t="s">
        <v>38</v>
      </c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 t="s">
        <v>340</v>
      </c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151" t="s">
        <v>319</v>
      </c>
      <c r="E13" s="147" t="s">
        <v>320</v>
      </c>
      <c r="F13" s="146" t="s">
        <v>38</v>
      </c>
      <c r="G13" s="105"/>
      <c r="H13" s="105"/>
      <c r="I13" s="42"/>
      <c r="J13" s="42"/>
      <c r="K13" s="42"/>
      <c r="L13" s="42"/>
      <c r="M13" s="42"/>
      <c r="N13" s="42"/>
      <c r="O13" s="105"/>
      <c r="P13" s="105"/>
      <c r="Q13" s="105"/>
      <c r="R13" s="105"/>
      <c r="S13" s="42"/>
      <c r="T13" s="42"/>
      <c r="U13" s="42"/>
      <c r="V13" s="42"/>
      <c r="W13" s="42"/>
      <c r="X13" s="42"/>
      <c r="Y13" s="42"/>
      <c r="Z13" s="100"/>
      <c r="AA13" s="100"/>
      <c r="AB13" s="118"/>
      <c r="AC13" s="120" t="s">
        <v>321</v>
      </c>
      <c r="AE13" s="19">
        <v>4</v>
      </c>
      <c r="AF13" s="96" t="s">
        <v>339</v>
      </c>
      <c r="AG13" s="100" t="s">
        <v>329</v>
      </c>
      <c r="AH13" s="146" t="s">
        <v>38</v>
      </c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 t="s">
        <v>340</v>
      </c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151" t="s">
        <v>310</v>
      </c>
      <c r="E14" s="147" t="s">
        <v>323</v>
      </c>
      <c r="F14" s="146" t="s">
        <v>38</v>
      </c>
      <c r="G14" s="105">
        <v>40</v>
      </c>
      <c r="H14" s="105"/>
      <c r="I14" s="42" t="s">
        <v>49</v>
      </c>
      <c r="J14" s="42"/>
      <c r="K14" s="42" t="s">
        <v>49</v>
      </c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/>
      <c r="Y14" s="42"/>
      <c r="Z14" s="100"/>
      <c r="AA14" s="100"/>
      <c r="AB14" s="118"/>
      <c r="AC14" s="120" t="s">
        <v>318</v>
      </c>
      <c r="AE14" s="19">
        <v>5</v>
      </c>
      <c r="AF14" s="98" t="s">
        <v>336</v>
      </c>
      <c r="AG14" s="100" t="s">
        <v>330</v>
      </c>
      <c r="AH14" s="146" t="s">
        <v>38</v>
      </c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 t="s">
        <v>340</v>
      </c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149"/>
      <c r="E15" s="147"/>
      <c r="F15" s="146"/>
      <c r="G15" s="105"/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/>
      <c r="Y15" s="42"/>
      <c r="Z15" s="100"/>
      <c r="AA15" s="100"/>
      <c r="AB15" s="118"/>
      <c r="AC15" s="120"/>
      <c r="AE15" s="19">
        <v>6</v>
      </c>
      <c r="AF15" s="96" t="s">
        <v>337</v>
      </c>
      <c r="AG15" s="100" t="s">
        <v>331</v>
      </c>
      <c r="AH15" s="146" t="s">
        <v>38</v>
      </c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 t="s">
        <v>340</v>
      </c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/>
      <c r="E16" s="100"/>
      <c r="F16" s="105"/>
      <c r="G16" s="105"/>
      <c r="H16" s="105"/>
      <c r="I16" s="42"/>
      <c r="J16" s="42"/>
      <c r="K16" s="42"/>
      <c r="L16" s="42"/>
      <c r="M16" s="42"/>
      <c r="N16" s="42"/>
      <c r="O16" s="105"/>
      <c r="P16" s="105"/>
      <c r="Q16" s="118"/>
      <c r="R16" s="105"/>
      <c r="S16" s="42"/>
      <c r="T16" s="42"/>
      <c r="U16" s="42"/>
      <c r="V16" s="42"/>
      <c r="W16" s="42"/>
      <c r="X16" s="42"/>
      <c r="Y16" s="42"/>
      <c r="Z16" s="100"/>
      <c r="AA16" s="100"/>
      <c r="AB16" s="118"/>
      <c r="AC16" s="120"/>
      <c r="AE16" s="19">
        <v>7</v>
      </c>
      <c r="AF16" s="96" t="s">
        <v>338</v>
      </c>
      <c r="AG16" s="100" t="s">
        <v>332</v>
      </c>
      <c r="AH16" s="146" t="s">
        <v>38</v>
      </c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 t="s">
        <v>340</v>
      </c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/>
      <c r="E17" s="100"/>
      <c r="F17" s="105"/>
      <c r="G17" s="105"/>
      <c r="H17" s="105"/>
      <c r="I17" s="42"/>
      <c r="J17" s="42"/>
      <c r="K17" s="42"/>
      <c r="L17" s="42"/>
      <c r="M17" s="42"/>
      <c r="N17" s="42"/>
      <c r="O17" s="105"/>
      <c r="P17" s="105"/>
      <c r="Q17" s="105"/>
      <c r="R17" s="105"/>
      <c r="S17" s="42"/>
      <c r="T17" s="42"/>
      <c r="U17" s="42"/>
      <c r="V17" s="42"/>
      <c r="W17" s="42"/>
      <c r="X17" s="42"/>
      <c r="Y17" s="42"/>
      <c r="Z17" s="100"/>
      <c r="AA17" s="100"/>
      <c r="AB17" s="118"/>
      <c r="AC17" s="120"/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thickBot="1" x14ac:dyDescent="0.5">
      <c r="A18" s="5"/>
      <c r="B18" s="5"/>
      <c r="C18" s="27">
        <v>9</v>
      </c>
      <c r="D18" s="97"/>
      <c r="E18" s="102"/>
      <c r="F18" s="107"/>
      <c r="G18" s="107"/>
      <c r="H18" s="107"/>
      <c r="I18" s="50" t="s">
        <v>20</v>
      </c>
      <c r="J18" s="50" t="s">
        <v>20</v>
      </c>
      <c r="K18" s="50" t="s">
        <v>20</v>
      </c>
      <c r="L18" s="50" t="s">
        <v>20</v>
      </c>
      <c r="M18" s="50" t="s">
        <v>20</v>
      </c>
      <c r="N18" s="50" t="s">
        <v>20</v>
      </c>
      <c r="O18" s="107"/>
      <c r="P18" s="107"/>
      <c r="Q18" s="107"/>
      <c r="R18" s="107"/>
      <c r="S18" s="50" t="s">
        <v>20</v>
      </c>
      <c r="T18" s="50" t="s">
        <v>20</v>
      </c>
      <c r="U18" s="50" t="s">
        <v>20</v>
      </c>
      <c r="V18" s="50" t="s">
        <v>20</v>
      </c>
      <c r="W18" s="50" t="s">
        <v>20</v>
      </c>
      <c r="X18" s="50" t="s">
        <v>20</v>
      </c>
      <c r="Y18" s="50" t="s">
        <v>20</v>
      </c>
      <c r="Z18" s="102"/>
      <c r="AA18" s="117"/>
      <c r="AB18" s="119"/>
      <c r="AC18" s="112"/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thickTop="1" thickBot="1" x14ac:dyDescent="0.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E19" s="27">
        <v>10</v>
      </c>
      <c r="AF19" s="97"/>
      <c r="AG19" s="102"/>
      <c r="AH19" s="107"/>
      <c r="AI19" s="107"/>
      <c r="AJ19" s="50" t="s">
        <v>20</v>
      </c>
      <c r="AK19" s="50" t="s">
        <v>20</v>
      </c>
      <c r="AL19" s="50" t="s">
        <v>20</v>
      </c>
      <c r="AM19" s="50" t="s">
        <v>20</v>
      </c>
      <c r="AN19" s="50" t="s">
        <v>20</v>
      </c>
      <c r="AO19" s="50" t="s">
        <v>20</v>
      </c>
      <c r="AP19" s="107"/>
      <c r="AQ19" s="107"/>
      <c r="AR19" s="50" t="s">
        <v>20</v>
      </c>
      <c r="AS19" s="107"/>
      <c r="AT19" s="107"/>
      <c r="AU19" s="107"/>
      <c r="AV19" s="107"/>
      <c r="AW19" s="107"/>
      <c r="AX19" s="107"/>
      <c r="AY19" s="107"/>
      <c r="AZ19" s="50" t="s">
        <v>20</v>
      </c>
      <c r="BA19" s="50" t="s">
        <v>20</v>
      </c>
      <c r="BB19" s="50" t="s">
        <v>20</v>
      </c>
      <c r="BC19" s="102"/>
      <c r="BD19" s="117"/>
      <c r="BE19" s="119"/>
      <c r="BF19" s="112"/>
      <c r="BH19" s="27">
        <v>10</v>
      </c>
      <c r="BI19" s="97"/>
      <c r="BJ19" s="102"/>
      <c r="BK19" s="107"/>
      <c r="BL19" s="107"/>
      <c r="BM19" s="50" t="s">
        <v>20</v>
      </c>
      <c r="BN19" s="50" t="s">
        <v>20</v>
      </c>
      <c r="BO19" s="50" t="s">
        <v>20</v>
      </c>
      <c r="BP19" s="50" t="s">
        <v>20</v>
      </c>
      <c r="BQ19" s="50" t="s">
        <v>20</v>
      </c>
      <c r="BR19" s="107"/>
      <c r="BS19" s="107"/>
      <c r="BT19" s="107"/>
      <c r="BU19" s="50" t="s">
        <v>20</v>
      </c>
      <c r="BV19" s="50" t="s">
        <v>20</v>
      </c>
      <c r="BW19" s="50" t="s">
        <v>20</v>
      </c>
      <c r="BX19" s="102"/>
      <c r="BY19" s="117"/>
      <c r="BZ19" s="119"/>
      <c r="CA19" s="112"/>
      <c r="CC19" s="27">
        <v>10</v>
      </c>
      <c r="CD19" s="97"/>
      <c r="CE19" s="102"/>
      <c r="CF19" s="107"/>
      <c r="CG19" s="107"/>
      <c r="CH19" s="107"/>
      <c r="CI19" s="107"/>
      <c r="CJ19" s="50" t="s">
        <v>20</v>
      </c>
      <c r="CK19" s="50" t="s">
        <v>20</v>
      </c>
      <c r="CL19" s="50" t="s">
        <v>20</v>
      </c>
      <c r="CM19" s="50" t="s">
        <v>20</v>
      </c>
      <c r="CN19" s="50" t="s">
        <v>20</v>
      </c>
      <c r="CO19" s="50" t="s">
        <v>20</v>
      </c>
      <c r="CP19" s="50" t="s">
        <v>20</v>
      </c>
      <c r="CQ19" s="107"/>
      <c r="CR19" s="107"/>
      <c r="CS19" s="107"/>
      <c r="CT19" s="50" t="s">
        <v>20</v>
      </c>
      <c r="CU19" s="50" t="s">
        <v>20</v>
      </c>
      <c r="CV19" s="50" t="s">
        <v>20</v>
      </c>
      <c r="CW19" s="102"/>
      <c r="CX19" s="117"/>
      <c r="CY19" s="119"/>
      <c r="CZ19" s="112"/>
      <c r="DB19" s="27">
        <v>10</v>
      </c>
      <c r="DC19" s="97"/>
      <c r="DD19" s="102"/>
      <c r="DE19" s="107"/>
      <c r="DF19" s="107"/>
      <c r="DG19" s="50" t="s">
        <v>20</v>
      </c>
      <c r="DH19" s="50" t="s">
        <v>20</v>
      </c>
      <c r="DI19" s="50" t="s">
        <v>20</v>
      </c>
      <c r="DJ19" s="50" t="s">
        <v>20</v>
      </c>
      <c r="DK19" s="50" t="s">
        <v>20</v>
      </c>
      <c r="DL19" s="107"/>
      <c r="DM19" s="50" t="s">
        <v>20</v>
      </c>
      <c r="DN19" s="50" t="s">
        <v>20</v>
      </c>
      <c r="DO19" s="50" t="s">
        <v>20</v>
      </c>
      <c r="DP19" s="102"/>
      <c r="DQ19" s="117"/>
      <c r="DR19" s="119"/>
      <c r="DS19" s="112"/>
      <c r="DU19" s="27">
        <v>10</v>
      </c>
      <c r="DV19" s="97"/>
      <c r="DW19" s="102"/>
      <c r="DX19" s="107"/>
      <c r="DY19" s="50" t="s">
        <v>20</v>
      </c>
      <c r="DZ19" s="50" t="s">
        <v>20</v>
      </c>
      <c r="EA19" s="50" t="s">
        <v>20</v>
      </c>
      <c r="EB19" s="50"/>
      <c r="EC19" s="50" t="s">
        <v>20</v>
      </c>
      <c r="ED19" s="107"/>
      <c r="EE19" s="107"/>
      <c r="EF19" s="107"/>
      <c r="EG19" s="107"/>
      <c r="EH19" s="50" t="s">
        <v>20</v>
      </c>
      <c r="EI19" s="50" t="s">
        <v>20</v>
      </c>
      <c r="EJ19" s="50" t="s">
        <v>20</v>
      </c>
      <c r="EK19" s="102"/>
      <c r="EL19" s="117"/>
      <c r="EM19" s="119"/>
      <c r="EN19" s="112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thickTop="1" x14ac:dyDescent="0.45">
      <c r="A20" s="5"/>
      <c r="B20" s="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E20" s="5"/>
      <c r="AF20" s="5"/>
      <c r="AG20" s="5"/>
    </row>
    <row r="21" spans="1:167" ht="20.100000000000001" customHeight="1" x14ac:dyDescent="0.45">
      <c r="B21" s="8"/>
      <c r="AD21" s="8"/>
      <c r="AE21" s="8"/>
      <c r="AF21" s="8"/>
      <c r="AG21" s="8"/>
    </row>
    <row r="22" spans="1:167" customFormat="1" ht="20.100000000000001" customHeight="1" x14ac:dyDescent="0.4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167" ht="20.100000000000001" customHeight="1" x14ac:dyDescent="0.45">
      <c r="A23" s="8"/>
    </row>
    <row r="24" spans="1:167" ht="20.100000000000001" customHeight="1" x14ac:dyDescent="0.45">
      <c r="A24" s="8"/>
      <c r="CS24"/>
      <c r="CT24"/>
      <c r="CU24"/>
      <c r="CV24"/>
      <c r="CW24"/>
      <c r="CX24"/>
      <c r="CY24"/>
      <c r="CZ24"/>
    </row>
    <row r="25" spans="1:167" ht="19.5" customHeight="1" x14ac:dyDescent="0.45">
      <c r="CS25"/>
      <c r="CT25"/>
      <c r="CU25"/>
      <c r="CV25"/>
      <c r="CW25"/>
      <c r="CX25"/>
      <c r="CY25"/>
      <c r="CZ25"/>
    </row>
    <row r="26" spans="1:16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16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7" spans="2:33" ht="20.100000000000001" customHeight="1" x14ac:dyDescent="0.45">
      <c r="C37"/>
      <c r="D37"/>
      <c r="E37"/>
      <c r="Z37" s="8"/>
      <c r="AA37" s="8"/>
      <c r="AB37" s="8"/>
      <c r="AC37" s="8"/>
    </row>
    <row r="38" spans="2:33" ht="20.100000000000001" customHeight="1" x14ac:dyDescent="0.45">
      <c r="B38" s="8"/>
      <c r="C38"/>
      <c r="D38"/>
      <c r="E38"/>
      <c r="Z38" s="8"/>
      <c r="AA38" s="8"/>
      <c r="AB38" s="8"/>
      <c r="AC38" s="8"/>
      <c r="AD38" s="8"/>
      <c r="AE38" s="8"/>
      <c r="AF38" s="8"/>
      <c r="AG38" s="8"/>
    </row>
    <row r="39" spans="2:33" ht="20.100000000000001" customHeight="1" x14ac:dyDescent="0.45">
      <c r="B39" s="8"/>
      <c r="C39" s="40"/>
      <c r="D39" s="40"/>
      <c r="Z39" s="8"/>
      <c r="AA39" s="8"/>
      <c r="AB39" s="8"/>
      <c r="AC39" s="8"/>
      <c r="AD39" s="8"/>
      <c r="AE39" s="8"/>
      <c r="AF39" s="8"/>
      <c r="AG39" s="8"/>
    </row>
    <row r="40" spans="2:33" ht="20.100000000000001" customHeight="1" x14ac:dyDescent="0.45">
      <c r="B40" s="8"/>
      <c r="C40"/>
      <c r="D40"/>
      <c r="Z40"/>
      <c r="AA40"/>
      <c r="AB40"/>
      <c r="AC40"/>
      <c r="AD40" s="8"/>
      <c r="AE40" s="8"/>
      <c r="AF40" s="8"/>
      <c r="AG40" s="8"/>
    </row>
    <row r="41" spans="2:33" customFormat="1" ht="20.100000000000001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33" customFormat="1" ht="20.100000000000001" customHeight="1" x14ac:dyDescent="0.4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33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33" customFormat="1" ht="20.100000000000001" customHeight="1" x14ac:dyDescent="0.45"/>
    <row r="45" spans="2:33" customFormat="1" ht="20.100000000000001" customHeight="1" x14ac:dyDescent="0.45"/>
    <row r="46" spans="2:33" customFormat="1" ht="20.100000000000001" customHeight="1" x14ac:dyDescent="0.45"/>
    <row r="47" spans="2:33" customFormat="1" ht="20.100000000000001" customHeight="1" x14ac:dyDescent="0.45"/>
    <row r="48" spans="2:33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spans="3:29" customFormat="1" ht="20.100000000000001" customHeight="1" x14ac:dyDescent="0.45"/>
    <row r="66" spans="3:29" customFormat="1" ht="20.100000000000001" customHeight="1" x14ac:dyDescent="0.45"/>
    <row r="67" spans="3:29" customFormat="1" ht="20.100000000000001" customHeight="1" x14ac:dyDescent="0.45"/>
    <row r="68" spans="3:29" customFormat="1" ht="20.100000000000001" customHeight="1" x14ac:dyDescent="0.45"/>
    <row r="69" spans="3:29" customFormat="1" ht="20.100000000000001" customHeight="1" x14ac:dyDescent="0.45"/>
    <row r="70" spans="3:29" customFormat="1" ht="20.100000000000001" customHeight="1" x14ac:dyDescent="0.45"/>
    <row r="71" spans="3:29" customFormat="1" ht="20.100000000000001" customHeight="1" x14ac:dyDescent="0.45"/>
    <row r="72" spans="3:29" customFormat="1" ht="20.100000000000001" customHeight="1" x14ac:dyDescent="0.45"/>
    <row r="73" spans="3:29" customFormat="1" ht="20.100000000000001" customHeight="1" x14ac:dyDescent="0.45"/>
    <row r="74" spans="3:29" customFormat="1" ht="20.100000000000001" customHeight="1" x14ac:dyDescent="0.45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</sheetData>
  <phoneticPr fontId="2"/>
  <dataValidations count="1">
    <dataValidation type="list" showInputMessage="1" showErrorMessage="1" sqref="AJ10:AO19 AR10:AR19 KG10:KI10 BM10:BQ19 CJ10:CP19 BU10:BW19 DG10:DK19 CT10:CV19 DY10:EC19 DM10:DO19 EH10:EJ19 EU10:EV10 ES10 FQ10:FV10 FF10:FG10 GO10:GU10 GB10:GD10 HM10:HQ10 GZ10:HB10 II10:IM10 HV10:HZ10 JE10:JI10 IR10:IV10 KA10:KE10 JN10:JR10 KR10:KT10 AZ10:BB19 Z11:Z12 I10:N18 S10:Y18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4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AQ10:AQ19</xm:sqref>
        </x14:dataValidation>
        <x14:dataValidation type="list" allowBlank="1" showInputMessage="1" showErrorMessage="1">
          <x14:formula1>
            <xm:f>OFFSET(参照!$E$1,0,,COUNTA(配置))</xm:f>
          </x14:formula1>
          <xm:sqref>KP10 F10:F18 BK10:BK19 CF10:CF19 DE10:DE19 DX10:DX19 FC10 EQ10 FN10 GK10 HI10:HJ10 IG10 JC10 JY10 AH10:AH19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JZ10 AI10:AI19 BL10:BL19 DF10:DF19 FD10 ER10 FP10 HL10 IH10 JD10 H10:H18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AV10:AV19 HU10 IQ10 R10:R18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KX10 BE10:BE19 BZ10:BZ19 CY10:CY19 DR10:DR19 EM10:EM19 FJ10 EY10 GG10 HE10 IC10 IY10 JU10 KL10 AB10:AB18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AU10:AU19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BR10:BR19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CH10:CH19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CI10:CI19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AF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325</v>
      </c>
      <c r="V10" s="150" t="s">
        <v>326</v>
      </c>
      <c r="X10" s="42"/>
      <c r="Y10" s="42" t="s">
        <v>324</v>
      </c>
      <c r="Z10" s="42" t="s">
        <v>324</v>
      </c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341</v>
      </c>
      <c r="V11" s="150" t="s">
        <v>342</v>
      </c>
      <c r="W11" s="42"/>
      <c r="X11" s="42"/>
      <c r="Y11" s="42" t="s">
        <v>49</v>
      </c>
      <c r="Z11" s="42" t="s">
        <v>49</v>
      </c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343</v>
      </c>
      <c r="V12" s="150" t="s">
        <v>344</v>
      </c>
      <c r="W12" s="42"/>
      <c r="X12" s="42"/>
      <c r="Y12" s="42" t="s">
        <v>49</v>
      </c>
      <c r="Z12" s="42" t="s">
        <v>49</v>
      </c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345</v>
      </c>
      <c r="V13" s="150" t="s">
        <v>346</v>
      </c>
      <c r="W13" s="42"/>
      <c r="X13" s="42"/>
      <c r="Y13" s="42" t="s">
        <v>49</v>
      </c>
      <c r="Z13" s="42" t="s">
        <v>49</v>
      </c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347</v>
      </c>
      <c r="V14" s="150" t="s">
        <v>348</v>
      </c>
      <c r="W14" s="42" t="s">
        <v>20</v>
      </c>
      <c r="X14" s="42" t="s">
        <v>20</v>
      </c>
      <c r="Y14" s="42" t="s">
        <v>49</v>
      </c>
      <c r="Z14" s="42" t="s">
        <v>49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19.8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353</v>
      </c>
      <c r="V15" s="134"/>
      <c r="W15" s="42" t="s">
        <v>20</v>
      </c>
      <c r="X15" s="42" t="s">
        <v>20</v>
      </c>
      <c r="Y15" s="42" t="s">
        <v>49</v>
      </c>
      <c r="Z15" s="42" t="s">
        <v>49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349</v>
      </c>
      <c r="V16" s="150" t="s">
        <v>350</v>
      </c>
      <c r="W16" s="42" t="s">
        <v>20</v>
      </c>
      <c r="X16" s="42" t="s">
        <v>20</v>
      </c>
      <c r="Y16" s="42" t="s">
        <v>49</v>
      </c>
      <c r="Z16" s="42" t="s">
        <v>49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351</v>
      </c>
      <c r="V17" s="150" t="s">
        <v>352</v>
      </c>
      <c r="W17" s="42" t="s">
        <v>20</v>
      </c>
      <c r="X17" s="42" t="s">
        <v>20</v>
      </c>
      <c r="Y17" s="42" t="s">
        <v>49</v>
      </c>
      <c r="Z17" s="42" t="s">
        <v>49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AN11:AO19 X10 W11:X19 H10:R19 G10 F11:G19 AP10:AZ19 AO10 Y10:AI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G55"/>
  <sheetViews>
    <sheetView topLeftCell="B1" workbookViewId="0">
      <selection activeCell="E14" sqref="E14"/>
    </sheetView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6" t="s">
        <v>136</v>
      </c>
      <c r="B2" s="189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7"/>
      <c r="B3" s="190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7"/>
      <c r="B4" s="190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7"/>
      <c r="B5" s="190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8"/>
      <c r="B6" s="191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92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7"/>
      <c r="B8" s="193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7"/>
      <c r="B9" s="190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7"/>
      <c r="B10" s="191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7"/>
      <c r="B11" s="189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7"/>
      <c r="B12" s="190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7"/>
      <c r="B13" s="191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7"/>
      <c r="B14" s="193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7"/>
      <c r="B15" s="190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7"/>
      <c r="B16" s="191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7"/>
      <c r="B17" s="189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7"/>
      <c r="B18" s="190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7"/>
      <c r="B19" s="191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7"/>
      <c r="B20" s="189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7"/>
      <c r="B21" s="191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7"/>
      <c r="B22" s="189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8"/>
      <c r="B23" s="191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2025-05-24T04:43:03Z</dcterms:modified>
</cp:coreProperties>
</file>