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T-190016\Desktop\www\sanwasyouken\sanwa-main\FastAPI\app\templates\xlsx\"/>
    </mc:Choice>
  </mc:AlternateContent>
  <bookViews>
    <workbookView xWindow="0" yWindow="0" windowWidth="28800" windowHeight="12336"/>
  </bookViews>
  <sheets>
    <sheet name="別紙_テンプレート" sheetId="1" r:id="rId1"/>
  </sheets>
  <definedNames>
    <definedName name="CoreCells" localSheetId="0">別紙_テンプレート!$A$6:$I$6</definedName>
    <definedName name="CoreCells">#REF!</definedName>
    <definedName name="NenRetu" localSheetId="0">別紙_テンプレート!$D:$I</definedName>
    <definedName name="NenRetu">#REF!</definedName>
    <definedName name="_xlnm.Print_Titles" localSheetId="0">別紙_テンプレート!$A:$C,別紙_テンプレート!$1:$5</definedName>
    <definedName name="SumCore" localSheetId="0">別紙_テンプレート!#REF!</definedName>
    <definedName name="SumCore">#REF!</definedName>
    <definedName name="YearNamePos" localSheetId="0">別紙_テンプレート!$D$3</definedName>
    <definedName name="YearNamePos">#REF!</definedName>
    <definedName name="集計範囲" localSheetId="0">別紙_テンプレート!$C$1</definedName>
    <definedName name="集計範囲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" i="1" l="1"/>
  <c r="K7" i="1"/>
  <c r="I7" i="1"/>
  <c r="E7" i="1"/>
  <c r="O6" i="1"/>
  <c r="K6" i="1"/>
  <c r="I6" i="1"/>
  <c r="E6" i="1"/>
  <c r="N4" i="1"/>
  <c r="L4" i="1"/>
  <c r="M4" i="1" s="1"/>
  <c r="H4" i="1"/>
  <c r="G4" i="1" s="1"/>
  <c r="F4" i="1"/>
</calcChain>
</file>

<file path=xl/sharedStrings.xml><?xml version="1.0" encoding="utf-8"?>
<sst xmlns="http://schemas.openxmlformats.org/spreadsheetml/2006/main" count="19" uniqueCount="12">
  <si>
    <t>2012年～2012年</t>
    <rPh sb="4" eb="5">
      <t>ネン</t>
    </rPh>
    <rPh sb="10" eb="11">
      <t>ネン</t>
    </rPh>
    <phoneticPr fontId="3"/>
  </si>
  <si>
    <t>仕入先別年間仕入順位推移表</t>
    <phoneticPr fontId="3"/>
  </si>
  <si>
    <t>計</t>
    <rPh sb="0" eb="1">
      <t>ケイ</t>
    </rPh>
    <phoneticPr fontId="3"/>
  </si>
  <si>
    <t>仕入先CD</t>
    <rPh sb="0" eb="2">
      <t>シイレ</t>
    </rPh>
    <phoneticPr fontId="3"/>
  </si>
  <si>
    <t>仕入先名1</t>
    <rPh sb="0" eb="2">
      <t>シイレ</t>
    </rPh>
    <phoneticPr fontId="3"/>
  </si>
  <si>
    <t>仕入先名2</t>
    <rPh sb="0" eb="2">
      <t>シイレ</t>
    </rPh>
    <phoneticPr fontId="3"/>
  </si>
  <si>
    <t>順位</t>
    <rPh sb="0" eb="2">
      <t>ジュンイ</t>
    </rPh>
    <phoneticPr fontId="3"/>
  </si>
  <si>
    <t>前対比</t>
    <rPh sb="0" eb="1">
      <t>ゼン</t>
    </rPh>
    <rPh sb="1" eb="3">
      <t>タイヒ</t>
    </rPh>
    <phoneticPr fontId="3"/>
  </si>
  <si>
    <t>売上金額</t>
    <rPh sb="0" eb="2">
      <t>ウリアゲ</t>
    </rPh>
    <rPh sb="2" eb="4">
      <t>キンガク</t>
    </rPh>
    <phoneticPr fontId="3"/>
  </si>
  <si>
    <t>原価率</t>
    <rPh sb="0" eb="2">
      <t>ゲンカ</t>
    </rPh>
    <rPh sb="2" eb="3">
      <t>リツ</t>
    </rPh>
    <phoneticPr fontId="3"/>
  </si>
  <si>
    <t>純仕入金額</t>
    <rPh sb="1" eb="3">
      <t>シイレ</t>
    </rPh>
    <phoneticPr fontId="3"/>
  </si>
  <si>
    <t>ﾊﾟｰｾﾝﾄ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</si>
</sst>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&quot;¥&quot;#,##0_);[Red]\(&quot;¥&quot;#,##0\)"/>
    <numFmt numFmtId="177" formatCode="#,##0.0;[Red]\-#,##0.0"/>
    <numFmt numFmtId="178" formatCode="0.0;[Red]\-0.0;0.0"/>
    <numFmt numFmtId="179" formatCode="0.0;[Red]\-0.0;0"/>
  </numFmts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right" vertical="center"/>
    </xf>
    <xf numFmtId="0" fontId="1" fillId="0" borderId="1" xfId="1" applyBorder="1">
      <alignment vertical="center"/>
    </xf>
    <xf numFmtId="0" fontId="1" fillId="0" borderId="2" xfId="1" applyBorder="1">
      <alignment vertical="center"/>
    </xf>
    <xf numFmtId="0" fontId="1" fillId="0" borderId="3" xfId="1" applyBorder="1">
      <alignment vertical="center"/>
    </xf>
    <xf numFmtId="0" fontId="1" fillId="0" borderId="7" xfId="1" applyBorder="1">
      <alignment vertical="center"/>
    </xf>
    <xf numFmtId="0" fontId="1" fillId="0" borderId="8" xfId="1" applyBorder="1">
      <alignment vertical="center"/>
    </xf>
    <xf numFmtId="0" fontId="1" fillId="0" borderId="0" xfId="1" applyBorder="1">
      <alignment vertical="center"/>
    </xf>
    <xf numFmtId="3" fontId="1" fillId="0" borderId="11" xfId="1" applyNumberFormat="1" applyBorder="1">
      <alignment vertical="center"/>
    </xf>
    <xf numFmtId="4" fontId="1" fillId="0" borderId="10" xfId="1" applyNumberFormat="1" applyBorder="1">
      <alignment vertical="center"/>
    </xf>
    <xf numFmtId="0" fontId="1" fillId="0" borderId="12" xfId="1" applyBorder="1" applyAlignment="1">
      <alignment horizontal="center" vertical="center"/>
    </xf>
    <xf numFmtId="0" fontId="1" fillId="0" borderId="13" xfId="1" applyBorder="1">
      <alignment vertical="center"/>
    </xf>
    <xf numFmtId="0" fontId="1" fillId="0" borderId="14" xfId="1" applyBorder="1">
      <alignment vertical="center"/>
    </xf>
    <xf numFmtId="0" fontId="1" fillId="0" borderId="15" xfId="1" applyBorder="1">
      <alignment vertical="center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19" xfId="1" applyFill="1" applyBorder="1">
      <alignment vertical="center"/>
    </xf>
    <xf numFmtId="0" fontId="1" fillId="0" borderId="20" xfId="1" applyFill="1" applyBorder="1">
      <alignment vertical="center"/>
    </xf>
    <xf numFmtId="0" fontId="1" fillId="0" borderId="21" xfId="1" applyFill="1" applyBorder="1">
      <alignment vertical="center"/>
    </xf>
    <xf numFmtId="177" fontId="0" fillId="0" borderId="20" xfId="2" applyNumberFormat="1" applyFont="1" applyFill="1" applyBorder="1">
      <alignment vertical="center"/>
    </xf>
    <xf numFmtId="38" fontId="4" fillId="0" borderId="20" xfId="3" applyFont="1" applyFill="1" applyBorder="1">
      <alignment vertical="center"/>
    </xf>
    <xf numFmtId="178" fontId="1" fillId="0" borderId="21" xfId="1" applyNumberFormat="1" applyFill="1" applyBorder="1">
      <alignment vertical="center"/>
    </xf>
    <xf numFmtId="0" fontId="1" fillId="0" borderId="9" xfId="1" applyBorder="1">
      <alignment vertical="center"/>
    </xf>
    <xf numFmtId="0" fontId="1" fillId="0" borderId="10" xfId="1" applyBorder="1">
      <alignment vertical="center"/>
    </xf>
    <xf numFmtId="0" fontId="1" fillId="0" borderId="22" xfId="1" applyBorder="1">
      <alignment vertical="center"/>
    </xf>
    <xf numFmtId="178" fontId="1" fillId="0" borderId="22" xfId="1" applyNumberFormat="1" applyBorder="1">
      <alignment vertical="center"/>
    </xf>
    <xf numFmtId="0" fontId="1" fillId="0" borderId="0" xfId="1" applyAlignment="1">
      <alignment horizontal="left" vertical="center"/>
    </xf>
    <xf numFmtId="38" fontId="4" fillId="0" borderId="0" xfId="3" applyFont="1" applyBorder="1">
      <alignment vertical="center"/>
    </xf>
    <xf numFmtId="179" fontId="1" fillId="0" borderId="0" xfId="1" applyNumberFormat="1" applyBorder="1">
      <alignment vertical="center"/>
    </xf>
    <xf numFmtId="38" fontId="4" fillId="0" borderId="0" xfId="3" applyFont="1">
      <alignment vertical="center"/>
    </xf>
    <xf numFmtId="0" fontId="1" fillId="0" borderId="0" xfId="1" applyAlignment="1">
      <alignment vertical="center"/>
    </xf>
    <xf numFmtId="177" fontId="1" fillId="0" borderId="20" xfId="2" applyNumberFormat="1" applyFont="1" applyFill="1" applyBorder="1">
      <alignment vertical="center"/>
    </xf>
    <xf numFmtId="0" fontId="1" fillId="0" borderId="0" xfId="1" applyFont="1" applyAlignment="1">
      <alignment horizontal="left" vertical="center"/>
    </xf>
    <xf numFmtId="0" fontId="1" fillId="0" borderId="0" xfId="1" applyFont="1">
      <alignment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</cellXfs>
  <cellStyles count="4">
    <cellStyle name="桁区切り 2" xfId="3"/>
    <cellStyle name="通貨 2" xfId="2"/>
    <cellStyle name="標準" xfId="0" builtinId="0"/>
    <cellStyle name="標準 2" xfId="1"/>
  </cellStyles>
  <dxfs count="5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tabSelected="1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1" sqref="D1:D1048576"/>
    </sheetView>
  </sheetViews>
  <sheetFormatPr defaultRowHeight="13.2" x14ac:dyDescent="0.45"/>
  <cols>
    <col min="1" max="1" width="8.69921875" style="1" customWidth="1"/>
    <col min="2" max="2" width="12.69921875" style="1" customWidth="1"/>
    <col min="3" max="3" width="9.09765625" style="1" customWidth="1"/>
    <col min="4" max="4" width="5" style="1" customWidth="1"/>
    <col min="5" max="5" width="7.19921875" style="36" customWidth="1"/>
    <col min="6" max="6" width="9.3984375" style="1" hidden="1" customWidth="1"/>
    <col min="7" max="7" width="7.796875" style="36" customWidth="1"/>
    <col min="8" max="8" width="12.8984375" style="32" customWidth="1"/>
    <col min="9" max="9" width="6.796875" style="1" customWidth="1"/>
    <col min="10" max="10" width="5.5" style="1" customWidth="1"/>
    <col min="11" max="11" width="7.19921875" style="36" customWidth="1"/>
    <col min="12" max="12" width="16.3984375" style="36" customWidth="1"/>
    <col min="13" max="13" width="7" style="36" customWidth="1"/>
    <col min="14" max="14" width="12.8984375" style="32" customWidth="1"/>
    <col min="15" max="15" width="6.796875" style="1" customWidth="1"/>
    <col min="16" max="16" width="0.3984375" style="1" customWidth="1"/>
    <col min="17" max="17" width="8.69921875" style="1"/>
    <col min="18" max="16384" width="8.796875" style="1"/>
  </cols>
  <sheetData>
    <row r="1" spans="1:16" ht="14.25" customHeight="1" x14ac:dyDescent="0.45">
      <c r="B1" s="2"/>
      <c r="C1" s="3" t="s">
        <v>0</v>
      </c>
      <c r="D1" s="3"/>
      <c r="E1" s="3"/>
      <c r="F1" s="3"/>
      <c r="G1" s="3"/>
      <c r="H1" s="1"/>
      <c r="J1" s="3"/>
      <c r="K1" s="3"/>
      <c r="L1" s="3"/>
      <c r="M1" s="3"/>
      <c r="N1" s="1"/>
    </row>
    <row r="2" spans="1:16" ht="13.8" thickBot="1" x14ac:dyDescent="0.5">
      <c r="A2" s="1" t="s">
        <v>1</v>
      </c>
      <c r="E2" s="1"/>
      <c r="G2" s="1"/>
      <c r="H2" s="1"/>
      <c r="K2" s="1"/>
      <c r="L2" s="1"/>
      <c r="M2" s="1"/>
      <c r="N2" s="1"/>
    </row>
    <row r="3" spans="1:16" ht="13.5" customHeight="1" x14ac:dyDescent="0.45">
      <c r="A3" s="4"/>
      <c r="B3" s="5"/>
      <c r="C3" s="6"/>
      <c r="D3" s="37"/>
      <c r="E3" s="38"/>
      <c r="F3" s="38"/>
      <c r="G3" s="38"/>
      <c r="H3" s="38"/>
      <c r="I3" s="39"/>
      <c r="J3" s="37"/>
      <c r="K3" s="38"/>
      <c r="L3" s="38"/>
      <c r="M3" s="38"/>
      <c r="N3" s="38"/>
      <c r="O3" s="39"/>
    </row>
    <row r="4" spans="1:16" x14ac:dyDescent="0.45">
      <c r="A4" s="7"/>
      <c r="B4" s="8"/>
      <c r="C4" s="9"/>
      <c r="D4" s="40" t="s">
        <v>2</v>
      </c>
      <c r="E4" s="41"/>
      <c r="F4" s="10">
        <f>SUM(F6:F7)</f>
        <v>0</v>
      </c>
      <c r="G4" s="11">
        <f>IF(ISERROR(H4*100/F4),0,H4*100/F4)</f>
        <v>0</v>
      </c>
      <c r="H4" s="10">
        <f>SUM(H6:H7)</f>
        <v>0</v>
      </c>
      <c r="I4" s="12"/>
      <c r="J4" s="40" t="s">
        <v>2</v>
      </c>
      <c r="K4" s="41"/>
      <c r="L4" s="10">
        <f>SUM(L6:L7)</f>
        <v>0</v>
      </c>
      <c r="M4" s="11">
        <f>IF(ISERROR(N4*100/L4),0,N4*100/L4)</f>
        <v>0</v>
      </c>
      <c r="N4" s="10">
        <f>SUM(N6:N7)</f>
        <v>0</v>
      </c>
      <c r="O4" s="12"/>
    </row>
    <row r="5" spans="1:16" ht="13.8" thickBot="1" x14ac:dyDescent="0.5">
      <c r="A5" s="13" t="s">
        <v>3</v>
      </c>
      <c r="B5" s="14" t="s">
        <v>4</v>
      </c>
      <c r="C5" s="15" t="s">
        <v>5</v>
      </c>
      <c r="D5" s="16" t="s">
        <v>6</v>
      </c>
      <c r="E5" s="17" t="s">
        <v>7</v>
      </c>
      <c r="F5" s="17" t="s">
        <v>8</v>
      </c>
      <c r="G5" s="17" t="s">
        <v>9</v>
      </c>
      <c r="H5" s="17" t="s">
        <v>10</v>
      </c>
      <c r="I5" s="18" t="s">
        <v>11</v>
      </c>
      <c r="J5" s="16" t="s">
        <v>6</v>
      </c>
      <c r="K5" s="17" t="s">
        <v>7</v>
      </c>
      <c r="L5" s="17" t="s">
        <v>8</v>
      </c>
      <c r="M5" s="17" t="s">
        <v>9</v>
      </c>
      <c r="N5" s="17" t="s">
        <v>10</v>
      </c>
      <c r="O5" s="18" t="s">
        <v>11</v>
      </c>
    </row>
    <row r="6" spans="1:16" ht="19.5" customHeight="1" x14ac:dyDescent="0.45">
      <c r="A6" s="19"/>
      <c r="B6" s="20"/>
      <c r="C6" s="21"/>
      <c r="D6" s="19"/>
      <c r="E6" s="34">
        <f ca="1">IF(ISERROR(H6*100/OFFSET(H6,0,-6)),0,IF(OFFSET(H6,0,-6)=0,0,H6*100/OFFSET(H6,0,-6)))</f>
        <v>0</v>
      </c>
      <c r="F6" s="22"/>
      <c r="G6" s="34"/>
      <c r="H6" s="23"/>
      <c r="I6" s="24">
        <f>IF(H6=0,0,H6*100/H$4)</f>
        <v>0</v>
      </c>
      <c r="J6" s="19"/>
      <c r="K6" s="34">
        <f ca="1">IF(ISERROR(N6*100/OFFSET(N6,0,-6)),0,IF(OFFSET(N6,0,-6)=0,0,N6*100/OFFSET(N6,0,-6)))</f>
        <v>0</v>
      </c>
      <c r="L6" s="34"/>
      <c r="M6" s="34"/>
      <c r="N6" s="23"/>
      <c r="O6" s="24">
        <f>IF(N6=0,0,N6*100/N$4)</f>
        <v>0</v>
      </c>
      <c r="P6" s="7"/>
    </row>
    <row r="7" spans="1:16" ht="19.5" customHeight="1" x14ac:dyDescent="0.45">
      <c r="A7" s="25"/>
      <c r="B7" s="26"/>
      <c r="C7" s="27"/>
      <c r="D7" s="19"/>
      <c r="E7" s="34">
        <f ca="1">IF(ISERROR(H7*100/OFFSET(H7,0,-6)),0,IF(OFFSET(H7,0,-6)=0,0,H7*100/OFFSET(H7,0,-6)))</f>
        <v>0</v>
      </c>
      <c r="F7" s="22"/>
      <c r="G7" s="34"/>
      <c r="H7" s="23"/>
      <c r="I7" s="28">
        <f>IF(H7=0,0,H7*100/H$4)</f>
        <v>0</v>
      </c>
      <c r="J7" s="19"/>
      <c r="K7" s="34">
        <f ca="1">IF(ISERROR(N7*100/OFFSET(N7,0,-6)),0,IF(OFFSET(N7,0,-6)=0,0,N7*100/OFFSET(N7,0,-6)))</f>
        <v>0</v>
      </c>
      <c r="L7" s="34"/>
      <c r="M7" s="34"/>
      <c r="N7" s="23"/>
      <c r="O7" s="28">
        <f>IF(N7=0,0,N7*100/N$4)</f>
        <v>0</v>
      </c>
      <c r="P7" s="7"/>
    </row>
    <row r="9" spans="1:16" x14ac:dyDescent="0.45">
      <c r="B9" s="33"/>
      <c r="C9" s="33"/>
      <c r="D9" s="29"/>
      <c r="E9" s="35"/>
      <c r="F9" s="29"/>
      <c r="G9" s="35"/>
      <c r="H9" s="30"/>
      <c r="I9" s="31"/>
      <c r="J9" s="29"/>
      <c r="K9" s="35"/>
      <c r="L9" s="35"/>
      <c r="M9" s="35"/>
      <c r="N9" s="30"/>
      <c r="O9" s="31"/>
    </row>
    <row r="10" spans="1:16" x14ac:dyDescent="0.45">
      <c r="B10" s="33"/>
      <c r="C10" s="33"/>
      <c r="D10" s="29"/>
      <c r="E10" s="35"/>
      <c r="F10" s="29"/>
      <c r="G10" s="35"/>
      <c r="H10" s="30"/>
      <c r="I10" s="31"/>
      <c r="J10" s="29"/>
      <c r="K10" s="35"/>
      <c r="L10" s="35"/>
      <c r="M10" s="35"/>
      <c r="N10" s="30"/>
      <c r="O10" s="31"/>
    </row>
  </sheetData>
  <mergeCells count="4">
    <mergeCell ref="D3:I3"/>
    <mergeCell ref="J3:O3"/>
    <mergeCell ref="D4:E4"/>
    <mergeCell ref="J4:K4"/>
  </mergeCells>
  <phoneticPr fontId="2"/>
  <conditionalFormatting sqref="J6:J7 D6:D7">
    <cfRule type="expression" dxfId="4" priority="1" stopIfTrue="1">
      <formula>D6&gt;OFFSET(D6,0,-4)</formula>
    </cfRule>
  </conditionalFormatting>
  <conditionalFormatting sqref="E6:F7 K6:L7">
    <cfRule type="expression" dxfId="3" priority="2" stopIfTrue="1">
      <formula>IF(ISERROR(H6*100/OFFSET(H6,0,-4)),FALSE,E6&lt;100)</formula>
    </cfRule>
  </conditionalFormatting>
  <conditionalFormatting sqref="G4 M4">
    <cfRule type="expression" dxfId="2" priority="3" stopIfTrue="1">
      <formula>G4&gt;=90</formula>
    </cfRule>
  </conditionalFormatting>
  <conditionalFormatting sqref="G6:G7 M6:M7">
    <cfRule type="expression" dxfId="1" priority="4" stopIfTrue="1">
      <formula>IF(ISERROR(I6*100/OFFSET(I6,0,-6)),FALSE,G6&lt;100)</formula>
    </cfRule>
  </conditionalFormatting>
  <conditionalFormatting sqref="N6:N7 H6:H7">
    <cfRule type="expression" dxfId="0" priority="5" stopIfTrue="1">
      <formula>IF(ISERROR(H6*100/OFFSET(H6,0,-6)),FALSE,E6&lt;100)</formula>
    </cfRule>
  </conditionalFormatting>
  <pageMargins left="0.7" right="0.5" top="0.75" bottom="0.5" header="0.3" footer="0.3"/>
  <pageSetup paperSize="9" orientation="landscape" r:id="rId1"/>
  <headerFooter>
    <oddFooter>&amp;C㈱三和商研&amp;P/&amp;N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5</vt:i4>
      </vt:variant>
    </vt:vector>
  </HeadingPairs>
  <TitlesOfParts>
    <vt:vector size="6" baseType="lpstr">
      <vt:lpstr>別紙_テンプレート</vt:lpstr>
      <vt:lpstr>別紙_テンプレート!CoreCells</vt:lpstr>
      <vt:lpstr>別紙_テンプレート!NenRetu</vt:lpstr>
      <vt:lpstr>別紙_テンプレート!Print_Titles</vt:lpstr>
      <vt:lpstr>別紙_テンプレート!YearNamePos</vt:lpstr>
      <vt:lpstr>別紙_テンプレート!集計範囲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NT-210047</dc:creator>
  <cp:lastModifiedBy>NT-190016</cp:lastModifiedBy>
  <dcterms:created xsi:type="dcterms:W3CDTF">2024-12-05T00:26:00Z</dcterms:created>
  <dcterms:modified xsi:type="dcterms:W3CDTF">2025-05-24T07:52:19Z</dcterms:modified>
</cp:coreProperties>
</file>