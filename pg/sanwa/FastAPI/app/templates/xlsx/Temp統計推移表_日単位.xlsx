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T-240014\SVN\YJY_三和商研受発注システム\trunk\src\sanwa\FastAPI\app\templates\xlsx\"/>
    </mc:Choice>
  </mc:AlternateContent>
  <bookViews>
    <workbookView xWindow="0" yWindow="0" windowWidth="18024" windowHeight="7332" activeTab="1"/>
  </bookViews>
  <sheets>
    <sheet name="DB" sheetId="6" r:id="rId1"/>
    <sheet name="商研" sheetId="12" r:id="rId2"/>
  </sheets>
  <definedNames>
    <definedName name="_xlnm.Print_Area" localSheetId="0">DB!$A:$Q</definedName>
    <definedName name="_xlnm.Print_Area" localSheetId="1">商研!$A$1:$N$117</definedName>
    <definedName name="_xlnm.Print_Titles" localSheetId="1">商研!$A:$H,商研!$1:$9</definedName>
    <definedName name="TukiNamePos">#REF!</definedName>
    <definedName name="TukiNamePos_SS">#REF!</definedName>
    <definedName name="TukiRetu_SS">#REF!</definedName>
    <definedName name="TukiRetu_zen">#REF!</definedName>
    <definedName name="TukiRetu_顧客">商研!$L:$N</definedName>
    <definedName name="TukiRetu_工事">#REF!</definedName>
    <definedName name="サービス_営業外費_貨物" localSheetId="0">DB!$DA$3:$DA$65423</definedName>
    <definedName name="サービス_営業外費_物流" localSheetId="0">DB!$DC$3:$DC$65423</definedName>
    <definedName name="サービス_原額_貨物自_サンプラ" localSheetId="0">DB!$BU$3:$BU$65423</definedName>
    <definedName name="サービス_原額_貨物自_その他" localSheetId="0">DB!$CA$3:$CA$65423</definedName>
    <definedName name="サービス_原額_貨物自_トラン" localSheetId="0">DB!$BY$3:$BY$65423</definedName>
    <definedName name="サービス_原額_貨物自_三シャ" localSheetId="0">DB!$BW$3:$BW$65423</definedName>
    <definedName name="サービス_原額_貨物自_三商" localSheetId="0">DB!$BQ$3:$BQ$65423</definedName>
    <definedName name="サービス_原額_貨物自_事故" localSheetId="0">DB!$CC$3:$CC$65423</definedName>
    <definedName name="サービス_原額_貨物自_店装" localSheetId="0">DB!$BS$3:$BS$65423</definedName>
    <definedName name="サービス_原額_貨物庸_サンプラ" localSheetId="0">DB!$CI$3:$CI$65423</definedName>
    <definedName name="サービス_原額_貨物庸_その他" localSheetId="0">DB!$CO$3:$CO$65423</definedName>
    <definedName name="サービス_原額_貨物庸_トラン" localSheetId="0">DB!$CM$3:$CM$65423</definedName>
    <definedName name="サービス_原額_貨物庸_三シャ" localSheetId="0">DB!$CK$3:$CK$65423</definedName>
    <definedName name="サービス_原額_貨物庸_三商" localSheetId="0">DB!$CE$3:$CE$65423</definedName>
    <definedName name="サービス_原額_貨物庸_事故" localSheetId="0">DB!$CQ$3:$CQ$65423</definedName>
    <definedName name="サービス_原額_貨物庸_店装" localSheetId="0">DB!$CG$3:$CG$65423</definedName>
    <definedName name="サービス_原額_物流_その他" localSheetId="0">DB!$CW$3:$CW$65423</definedName>
    <definedName name="サービス_原額_物流_ルート" localSheetId="0">DB!$CS$3:$CS$65423</definedName>
    <definedName name="サービス_原額_物流_丸和" localSheetId="0">DB!$CU$3:$CU$65423</definedName>
    <definedName name="サービス_原額_物流_事故" localSheetId="0">DB!$CY$3:$CY$65423</definedName>
    <definedName name="サービス_人件一般費_貨物" localSheetId="0">DB!$CZ$3:$CZ$65423</definedName>
    <definedName name="サービス_人件一般費_物流" localSheetId="0">DB!$DB$3:$DB$65423</definedName>
    <definedName name="サービス_年月" localSheetId="0">DB!$BO$3:$BO$65423</definedName>
    <definedName name="サービス_売額_貨物自_サンプラ" localSheetId="0">DB!$BT$3:$BT$65423</definedName>
    <definedName name="サービス_売額_貨物自_その他" localSheetId="0">DB!$BZ$3:$BZ$65423</definedName>
    <definedName name="サービス_売額_貨物自_トラン" localSheetId="0">DB!$BX$3:$BX$65423</definedName>
    <definedName name="サービス_売額_貨物自_三シャ" localSheetId="0">DB!$BV$3:$BV$65423</definedName>
    <definedName name="サービス_売額_貨物自_三商" localSheetId="0">DB!$BP$3:$BP$65423</definedName>
    <definedName name="サービス_売額_貨物自_事故" localSheetId="0">DB!$CB$3:$CB$65423</definedName>
    <definedName name="サービス_売額_貨物自_店装" localSheetId="0">DB!$BR$3:$BR$65423</definedName>
    <definedName name="サービス_売額_貨物庸_サンプラ" localSheetId="0">DB!$CH$3:$CH$65423</definedName>
    <definedName name="サービス_売額_貨物庸_その他" localSheetId="0">DB!$CN$3:$CN$65423</definedName>
    <definedName name="サービス_売額_貨物庸_トラン" localSheetId="0">DB!$CL$3:$CL$65423</definedName>
    <definedName name="サービス_売額_貨物庸_三シャ" localSheetId="0">DB!$CJ$3:$CJ$65423</definedName>
    <definedName name="サービス_売額_貨物庸_三商" localSheetId="0">DB!$CD$3:$CD$65423</definedName>
    <definedName name="サービス_売額_貨物庸_事故" localSheetId="0">DB!$CP$3:$CP$65423</definedName>
    <definedName name="サービス_売額_貨物庸_店装" localSheetId="0">DB!$CF$3:$CF$65423</definedName>
    <definedName name="サービス_売額_物流_その他" localSheetId="0">DB!$CV$3:$CV$65423</definedName>
    <definedName name="サービス_売額_物流_ルート" localSheetId="0">DB!$CR$3:$CR$65423</definedName>
    <definedName name="サービス_売額_物流_丸和" localSheetId="0">DB!$CT$3:$CT$65423</definedName>
    <definedName name="サービス_売額_物流_事故" localSheetId="0">DB!$CX$3:$CX$65423</definedName>
    <definedName name="サービス予測_年月" localSheetId="0">DB!$BA$3:$BA$65423</definedName>
    <definedName name="サービス予測_予測原価金額_貨物" localSheetId="0">DB!$BC$3:$BC$65423</definedName>
    <definedName name="サービス予測_予測原価金額_物流" localSheetId="0">DB!$BE$3:$BE$65423</definedName>
    <definedName name="サービス予測_予測売上金額_貨物" localSheetId="0">DB!$BB$3:$BB$65423</definedName>
    <definedName name="サービス予測_予測売上金額_物流" localSheetId="0">DB!$BD$3:$BD$65423</definedName>
    <definedName name="フロント_営業外費" localSheetId="0">DB!$BL$3:$BL$65423</definedName>
    <definedName name="フロント_原価税抜金額" localSheetId="0">DB!$BJ$3:$BJ$65423</definedName>
    <definedName name="フロント_人件一般費" localSheetId="0">DB!$BK$3:$BK$65423</definedName>
    <definedName name="フロント_年月" localSheetId="0">DB!$BH$3:$BH$65423</definedName>
    <definedName name="フロント_売上税抜金額" localSheetId="0">DB!$BI$3:$BI$65423</definedName>
    <definedName name="フロント予測_年月" localSheetId="0">DB!$AV$3:$AV$65423</definedName>
    <definedName name="フロント予測_予測原価金額" localSheetId="0">DB!$AX$3:$AX$65423</definedName>
    <definedName name="フロント予測_予測売上金額" localSheetId="0">DB!$AW$3:$AW$65423</definedName>
    <definedName name="三研_営業外費" localSheetId="0">DB!$AI$3:$AI$65423</definedName>
    <definedName name="三研_原価税抜金額" localSheetId="0">DB!$AG$3:$AG$65423</definedName>
    <definedName name="三研_人件一般費" localSheetId="0">DB!$AH$3:$AH$65423</definedName>
    <definedName name="三研_年月" localSheetId="0">DB!$AE$3:$AE$65423</definedName>
    <definedName name="三研_売上税抜金額" localSheetId="0">DB!$AF$3:$AF$65423</definedName>
    <definedName name="三研予測_年月" localSheetId="0">DB!$AQ$3:$AQ$65423</definedName>
    <definedName name="三研予測_予測原価金額" localSheetId="0">DB!$AS$3:$AS$65423</definedName>
    <definedName name="三研予測_予測売上金額" localSheetId="0">DB!$AR$3:$AR$65423</definedName>
    <definedName name="統計集計先_CD" localSheetId="0">DB!$DF$3:$DF$65423</definedName>
    <definedName name="統計集計先_経費合計" localSheetId="0">DB!$DJ$3:$DJ$65423</definedName>
    <definedName name="統計集計先_人件費一般費" localSheetId="0">DB!$DI$3:$DI$65423</definedName>
    <definedName name="統計集計先_年月" localSheetId="0">DB!$DH$3:$DH$65423</definedName>
    <definedName name="統計集計先_部CD" localSheetId="0">DB!$DG$3:$DG$65423</definedName>
  </definedNames>
  <calcPr calcId="162913"/>
</workbook>
</file>

<file path=xl/calcChain.xml><?xml version="1.0" encoding="utf-8"?>
<calcChain xmlns="http://schemas.openxmlformats.org/spreadsheetml/2006/main">
  <c r="K4" i="12" l="1"/>
  <c r="J4" i="12"/>
  <c r="I16" i="12"/>
  <c r="K36" i="12"/>
  <c r="K35" i="12"/>
  <c r="K34" i="12"/>
  <c r="K33" i="12"/>
  <c r="K32" i="12"/>
  <c r="H32" i="12" s="1"/>
  <c r="K31" i="12"/>
  <c r="K27" i="12"/>
  <c r="H27" i="12" s="1"/>
  <c r="K26" i="12"/>
  <c r="K25" i="12"/>
  <c r="K24" i="12"/>
  <c r="K23" i="12"/>
  <c r="H23" i="12" s="1"/>
  <c r="K22" i="12"/>
  <c r="K18" i="12"/>
  <c r="H18" i="12" s="1"/>
  <c r="K17" i="12"/>
  <c r="K16" i="12"/>
  <c r="H16" i="12" s="1"/>
  <c r="K15" i="12"/>
  <c r="K14" i="12"/>
  <c r="I36" i="12"/>
  <c r="F36" i="12" s="1"/>
  <c r="I35" i="12"/>
  <c r="I34" i="12"/>
  <c r="I33" i="12"/>
  <c r="I32" i="12"/>
  <c r="I31" i="12"/>
  <c r="I27" i="12"/>
  <c r="F27" i="12" s="1"/>
  <c r="I26" i="12"/>
  <c r="I25" i="12"/>
  <c r="I24" i="12"/>
  <c r="I23" i="12"/>
  <c r="I22" i="12"/>
  <c r="I18" i="12"/>
  <c r="I17" i="12"/>
  <c r="I15" i="12"/>
  <c r="I14" i="12"/>
  <c r="I13" i="12"/>
  <c r="K13" i="12"/>
  <c r="F26" i="12" l="1"/>
  <c r="H35" i="12"/>
  <c r="H31" i="12"/>
  <c r="F22" i="12"/>
  <c r="H26" i="12"/>
  <c r="H13" i="12"/>
  <c r="H24" i="12"/>
  <c r="F35" i="12"/>
  <c r="F34" i="12"/>
  <c r="F14" i="12"/>
  <c r="F25" i="12"/>
  <c r="H15" i="12"/>
  <c r="H17" i="12"/>
  <c r="H22" i="12"/>
  <c r="H33" i="12"/>
  <c r="H25" i="12"/>
  <c r="H34" i="12"/>
  <c r="H14" i="12"/>
  <c r="H36" i="12"/>
  <c r="F32" i="12"/>
  <c r="F31" i="12"/>
  <c r="F33" i="12"/>
  <c r="F23" i="12"/>
  <c r="F24" i="12"/>
  <c r="F13" i="12"/>
  <c r="F15" i="12"/>
  <c r="F16" i="12"/>
  <c r="F17" i="12"/>
  <c r="F18" i="12"/>
  <c r="K29" i="12" l="1"/>
  <c r="I28" i="12"/>
  <c r="K20" i="12"/>
  <c r="I19" i="12"/>
  <c r="K11" i="12"/>
  <c r="I10" i="12"/>
  <c r="K5" i="12" l="1"/>
  <c r="I4" i="12"/>
  <c r="H20" i="12"/>
  <c r="H11" i="12"/>
  <c r="I30" i="12"/>
  <c r="K30" i="12" s="1"/>
  <c r="H29" i="12"/>
  <c r="I21" i="12"/>
  <c r="K21" i="12" s="1"/>
  <c r="I12" i="12"/>
  <c r="K12" i="12" s="1"/>
  <c r="H5" i="12" l="1"/>
  <c r="I6" i="12"/>
  <c r="F2" i="12" l="1"/>
  <c r="J36" i="12"/>
  <c r="J35" i="12"/>
  <c r="J34" i="12"/>
  <c r="J33" i="12"/>
  <c r="J32" i="12"/>
  <c r="J31" i="12"/>
  <c r="J27" i="12"/>
  <c r="J26" i="12"/>
  <c r="J25" i="12"/>
  <c r="J24" i="12"/>
  <c r="J23" i="12"/>
  <c r="J22" i="12"/>
  <c r="F19" i="12"/>
  <c r="F21" i="12" s="1"/>
  <c r="H21" i="12" s="1"/>
  <c r="J18" i="12"/>
  <c r="J17" i="12"/>
  <c r="J16" i="12"/>
  <c r="J15" i="12"/>
  <c r="J14" i="12"/>
  <c r="J13" i="12"/>
  <c r="I7" i="12"/>
  <c r="K116" i="12"/>
  <c r="I116" i="12"/>
  <c r="K115" i="12"/>
  <c r="I115" i="12"/>
  <c r="K114" i="12"/>
  <c r="I114" i="12"/>
  <c r="K113" i="12"/>
  <c r="I113" i="12"/>
  <c r="K112" i="12"/>
  <c r="I112" i="12"/>
  <c r="K111" i="12"/>
  <c r="I111" i="12"/>
  <c r="K110" i="12"/>
  <c r="I110" i="12"/>
  <c r="K108" i="12"/>
  <c r="K100" i="12" s="1"/>
  <c r="I108" i="12"/>
  <c r="I100" i="12" s="1"/>
  <c r="K107" i="12"/>
  <c r="I107" i="12"/>
  <c r="K106" i="12"/>
  <c r="I106" i="12"/>
  <c r="K105" i="12"/>
  <c r="I105" i="12"/>
  <c r="K104" i="12"/>
  <c r="I104" i="12"/>
  <c r="K103" i="12"/>
  <c r="I103" i="12"/>
  <c r="K102" i="12"/>
  <c r="I102" i="12"/>
  <c r="I94" i="12" s="1"/>
  <c r="F28" i="12" l="1"/>
  <c r="F30" i="12" s="1"/>
  <c r="H30" i="12" s="1"/>
  <c r="F4" i="12"/>
  <c r="G25" i="12"/>
  <c r="F7" i="12"/>
  <c r="G22" i="12"/>
  <c r="G26" i="12"/>
  <c r="G36" i="12"/>
  <c r="G15" i="12"/>
  <c r="G17" i="12"/>
  <c r="G33" i="12"/>
  <c r="G35" i="12"/>
  <c r="F10" i="12"/>
  <c r="F12" i="12" s="1"/>
  <c r="H12" i="12" s="1"/>
  <c r="G16" i="12"/>
  <c r="G18" i="12"/>
  <c r="K7" i="12"/>
  <c r="G34" i="12"/>
  <c r="G27" i="12"/>
  <c r="G31" i="12"/>
  <c r="G32" i="12"/>
  <c r="G13" i="12"/>
  <c r="G14" i="12"/>
  <c r="G24" i="12"/>
  <c r="G23" i="12"/>
  <c r="H108" i="12"/>
  <c r="H100" i="12"/>
  <c r="F100" i="12"/>
  <c r="F113" i="12"/>
  <c r="I99" i="12"/>
  <c r="K99" i="12"/>
  <c r="I98" i="12"/>
  <c r="K98" i="12"/>
  <c r="K97" i="12"/>
  <c r="I97" i="12"/>
  <c r="I96" i="12"/>
  <c r="K96" i="12"/>
  <c r="I109" i="12"/>
  <c r="K95" i="12"/>
  <c r="K109" i="12"/>
  <c r="F106" i="12"/>
  <c r="I95" i="12"/>
  <c r="H95" i="12"/>
  <c r="K94" i="12"/>
  <c r="J104" i="12"/>
  <c r="J103" i="12"/>
  <c r="F102" i="12"/>
  <c r="H104" i="12"/>
  <c r="H106" i="12"/>
  <c r="J107" i="12"/>
  <c r="H105" i="12"/>
  <c r="H107" i="12"/>
  <c r="H115" i="12"/>
  <c r="J111" i="12"/>
  <c r="J113" i="12"/>
  <c r="H113" i="12"/>
  <c r="J112" i="12"/>
  <c r="J115" i="12"/>
  <c r="F110" i="12"/>
  <c r="F111" i="12"/>
  <c r="H111" i="12"/>
  <c r="F116" i="12"/>
  <c r="H112" i="12"/>
  <c r="J114" i="12"/>
  <c r="H116" i="12"/>
  <c r="H110" i="12"/>
  <c r="F112" i="12"/>
  <c r="H103" i="12"/>
  <c r="J105" i="12"/>
  <c r="F107" i="12"/>
  <c r="K101" i="12"/>
  <c r="J106" i="12"/>
  <c r="F108" i="12"/>
  <c r="F105" i="12"/>
  <c r="F103" i="12"/>
  <c r="J110" i="12"/>
  <c r="F114" i="12"/>
  <c r="F115" i="12"/>
  <c r="H114" i="12"/>
  <c r="I101" i="12"/>
  <c r="H102" i="12"/>
  <c r="F104" i="12"/>
  <c r="J102" i="12"/>
  <c r="G113" i="12" l="1"/>
  <c r="H7" i="12"/>
  <c r="H109" i="12"/>
  <c r="K93" i="12"/>
  <c r="I93" i="12"/>
  <c r="F99" i="12"/>
  <c r="F109" i="12"/>
  <c r="H98" i="12"/>
  <c r="G106" i="12"/>
  <c r="G104" i="12"/>
  <c r="J99" i="12"/>
  <c r="F98" i="12"/>
  <c r="J96" i="12"/>
  <c r="F96" i="12"/>
  <c r="H99" i="12"/>
  <c r="J109" i="12"/>
  <c r="J95" i="12"/>
  <c r="H96" i="12"/>
  <c r="F97" i="12"/>
  <c r="H94" i="12"/>
  <c r="G103" i="12"/>
  <c r="G107" i="12"/>
  <c r="G102" i="12"/>
  <c r="H101" i="12"/>
  <c r="J98" i="12"/>
  <c r="G105" i="12"/>
  <c r="G115" i="12"/>
  <c r="G112" i="12"/>
  <c r="J94" i="12"/>
  <c r="F95" i="12"/>
  <c r="G95" i="12" s="1"/>
  <c r="G110" i="12"/>
  <c r="F94" i="12"/>
  <c r="G111" i="12"/>
  <c r="H97" i="12"/>
  <c r="J97" i="12"/>
  <c r="F101" i="12"/>
  <c r="J101" i="12"/>
  <c r="G114" i="12"/>
  <c r="G109" i="12" l="1"/>
  <c r="H93" i="12"/>
  <c r="G99" i="12"/>
  <c r="J93" i="12"/>
  <c r="F93" i="12"/>
  <c r="G98" i="12"/>
  <c r="G96" i="12"/>
  <c r="G97" i="12"/>
  <c r="G94" i="12"/>
  <c r="G101" i="12"/>
  <c r="G93" i="12" l="1"/>
  <c r="I38" i="12" l="1"/>
  <c r="K84" i="12" l="1"/>
  <c r="I84" i="12"/>
  <c r="K83" i="12"/>
  <c r="I83" i="12"/>
  <c r="K82" i="12"/>
  <c r="I82" i="12"/>
  <c r="K81" i="12"/>
  <c r="I81" i="12"/>
  <c r="K80" i="12"/>
  <c r="I80" i="12"/>
  <c r="K79" i="12"/>
  <c r="I79" i="12"/>
  <c r="K78" i="12"/>
  <c r="I78" i="12"/>
  <c r="K76" i="12"/>
  <c r="I76" i="12"/>
  <c r="K75" i="12"/>
  <c r="I75" i="12"/>
  <c r="K74" i="12"/>
  <c r="I74" i="12"/>
  <c r="K73" i="12"/>
  <c r="I73" i="12"/>
  <c r="K72" i="12"/>
  <c r="I72" i="12"/>
  <c r="K71" i="12"/>
  <c r="I71" i="12"/>
  <c r="K70" i="12"/>
  <c r="I70" i="12"/>
  <c r="I69" i="12" l="1"/>
  <c r="F84" i="12"/>
  <c r="F83" i="12"/>
  <c r="H74" i="12"/>
  <c r="F70" i="12"/>
  <c r="H84" i="12"/>
  <c r="F79" i="12"/>
  <c r="H73" i="12"/>
  <c r="H82" i="12"/>
  <c r="F73" i="12"/>
  <c r="H72" i="12"/>
  <c r="F74" i="12"/>
  <c r="F76" i="12"/>
  <c r="J79" i="12"/>
  <c r="J81" i="12"/>
  <c r="F71" i="12"/>
  <c r="H79" i="12"/>
  <c r="H83" i="12"/>
  <c r="J71" i="12"/>
  <c r="J75" i="12"/>
  <c r="J78" i="12"/>
  <c r="J80" i="12"/>
  <c r="H71" i="12"/>
  <c r="J74" i="12"/>
  <c r="K77" i="12"/>
  <c r="H81" i="12"/>
  <c r="J70" i="12"/>
  <c r="H80" i="12"/>
  <c r="J83" i="12"/>
  <c r="K69" i="12"/>
  <c r="F75" i="12"/>
  <c r="H76" i="12"/>
  <c r="F80" i="12"/>
  <c r="F82" i="12"/>
  <c r="J82" i="12"/>
  <c r="J72" i="12"/>
  <c r="H75" i="12"/>
  <c r="F78" i="12"/>
  <c r="F81" i="12"/>
  <c r="J73" i="12"/>
  <c r="I77" i="12"/>
  <c r="H78" i="12"/>
  <c r="H70" i="12"/>
  <c r="F72" i="12"/>
  <c r="K90" i="12"/>
  <c r="I90" i="12"/>
  <c r="K66" i="12"/>
  <c r="I66" i="12"/>
  <c r="I67" i="12"/>
  <c r="K67" i="12"/>
  <c r="K58" i="12"/>
  <c r="I58" i="12"/>
  <c r="K50" i="12"/>
  <c r="I50" i="12"/>
  <c r="K42" i="12"/>
  <c r="I42" i="12"/>
  <c r="J69" i="12" l="1"/>
  <c r="G70" i="12"/>
  <c r="G83" i="12"/>
  <c r="F69" i="12"/>
  <c r="G79" i="12"/>
  <c r="G74" i="12"/>
  <c r="H77" i="12"/>
  <c r="G73" i="12"/>
  <c r="G72" i="12"/>
  <c r="G82" i="12"/>
  <c r="G81" i="12"/>
  <c r="G80" i="12"/>
  <c r="G71" i="12"/>
  <c r="G75" i="12"/>
  <c r="G78" i="12"/>
  <c r="H69" i="12"/>
  <c r="F77" i="12"/>
  <c r="J77" i="12"/>
  <c r="J90" i="12"/>
  <c r="H90" i="12"/>
  <c r="F90" i="12"/>
  <c r="H66" i="12"/>
  <c r="H67" i="12"/>
  <c r="J67" i="12"/>
  <c r="F66" i="12"/>
  <c r="F67" i="12"/>
  <c r="J66" i="12"/>
  <c r="J58" i="12"/>
  <c r="H58" i="12"/>
  <c r="F58" i="12"/>
  <c r="J50" i="12"/>
  <c r="F50" i="12"/>
  <c r="H50" i="12"/>
  <c r="J42" i="12"/>
  <c r="F42" i="12"/>
  <c r="H42" i="12"/>
  <c r="G69" i="12" l="1"/>
  <c r="G77" i="12"/>
  <c r="G90" i="12"/>
  <c r="G67" i="12"/>
  <c r="G66" i="12"/>
  <c r="G58" i="12"/>
  <c r="G42" i="12"/>
  <c r="G50" i="12"/>
  <c r="K68" i="12"/>
  <c r="I68" i="12"/>
  <c r="K65" i="12"/>
  <c r="I65" i="12"/>
  <c r="K64" i="12"/>
  <c r="I64" i="12"/>
  <c r="K63" i="12"/>
  <c r="I63" i="12"/>
  <c r="K62" i="12"/>
  <c r="I62" i="12"/>
  <c r="K60" i="12"/>
  <c r="I60" i="12"/>
  <c r="K59" i="12"/>
  <c r="I59" i="12"/>
  <c r="K57" i="12"/>
  <c r="I57" i="12"/>
  <c r="K56" i="12"/>
  <c r="I56" i="12"/>
  <c r="K55" i="12"/>
  <c r="I55" i="12"/>
  <c r="K54" i="12"/>
  <c r="I54" i="12"/>
  <c r="I86" i="12"/>
  <c r="K86" i="12"/>
  <c r="I87" i="12"/>
  <c r="K87" i="12"/>
  <c r="I88" i="12"/>
  <c r="K88" i="12"/>
  <c r="I89" i="12"/>
  <c r="K89" i="12"/>
  <c r="I91" i="12"/>
  <c r="K91" i="12"/>
  <c r="I92" i="12"/>
  <c r="K92" i="12"/>
  <c r="K43" i="12"/>
  <c r="I43" i="12"/>
  <c r="K41" i="12"/>
  <c r="I41" i="12"/>
  <c r="K40" i="12"/>
  <c r="I40" i="12"/>
  <c r="K39" i="12"/>
  <c r="I39" i="12"/>
  <c r="K38" i="12"/>
  <c r="I51" i="12"/>
  <c r="I49" i="12"/>
  <c r="I48" i="12"/>
  <c r="I47" i="12"/>
  <c r="K51" i="12"/>
  <c r="K49" i="12"/>
  <c r="K48" i="12"/>
  <c r="K47" i="12"/>
  <c r="K46" i="12"/>
  <c r="I46" i="12"/>
  <c r="K52" i="12"/>
  <c r="I52" i="12"/>
  <c r="K44" i="12"/>
  <c r="K9" i="12" s="1"/>
  <c r="I44" i="12"/>
  <c r="I9" i="12" s="1"/>
  <c r="F9" i="12" l="1"/>
  <c r="H9" i="12"/>
  <c r="F6" i="12"/>
  <c r="H68" i="12"/>
  <c r="J65" i="12"/>
  <c r="H54" i="12"/>
  <c r="F60" i="12"/>
  <c r="F88" i="12"/>
  <c r="F92" i="12"/>
  <c r="H88" i="12"/>
  <c r="H62" i="12"/>
  <c r="H91" i="12"/>
  <c r="H86" i="12"/>
  <c r="F89" i="12"/>
  <c r="F87" i="12"/>
  <c r="F63" i="12"/>
  <c r="F55" i="12"/>
  <c r="F57" i="12"/>
  <c r="H65" i="12"/>
  <c r="F64" i="12"/>
  <c r="J64" i="12"/>
  <c r="H63" i="12"/>
  <c r="K61" i="12"/>
  <c r="J62" i="12"/>
  <c r="F68" i="12"/>
  <c r="J88" i="12"/>
  <c r="J63" i="12"/>
  <c r="F65" i="12"/>
  <c r="H92" i="12"/>
  <c r="F62" i="12"/>
  <c r="H64" i="12"/>
  <c r="H89" i="12"/>
  <c r="F56" i="12"/>
  <c r="J89" i="12"/>
  <c r="I85" i="12"/>
  <c r="I61" i="12"/>
  <c r="J91" i="12"/>
  <c r="H87" i="12"/>
  <c r="J59" i="12"/>
  <c r="J54" i="12"/>
  <c r="H59" i="12"/>
  <c r="K53" i="12"/>
  <c r="H55" i="12"/>
  <c r="J57" i="12"/>
  <c r="H57" i="12"/>
  <c r="H60" i="12"/>
  <c r="J56" i="12"/>
  <c r="J55" i="12"/>
  <c r="F54" i="12"/>
  <c r="H56" i="12"/>
  <c r="F59" i="12"/>
  <c r="F91" i="12"/>
  <c r="F86" i="12"/>
  <c r="J87" i="12"/>
  <c r="K85" i="12"/>
  <c r="I53" i="12"/>
  <c r="J86" i="12"/>
  <c r="J38" i="12"/>
  <c r="J41" i="12"/>
  <c r="J40" i="12"/>
  <c r="J43" i="12"/>
  <c r="J39" i="12"/>
  <c r="F49" i="12"/>
  <c r="J51" i="12"/>
  <c r="J46" i="12"/>
  <c r="H47" i="12"/>
  <c r="F39" i="12"/>
  <c r="F40" i="12"/>
  <c r="F48" i="12"/>
  <c r="H38" i="12"/>
  <c r="H41" i="12"/>
  <c r="H44" i="12"/>
  <c r="H51" i="12"/>
  <c r="F47" i="12"/>
  <c r="H52" i="12"/>
  <c r="F52" i="12"/>
  <c r="J49" i="12"/>
  <c r="H49" i="12"/>
  <c r="J48" i="12"/>
  <c r="K45" i="12"/>
  <c r="H46" i="12"/>
  <c r="F41" i="12"/>
  <c r="J47" i="12"/>
  <c r="F46" i="12"/>
  <c r="H48" i="12"/>
  <c r="F51" i="12"/>
  <c r="H43" i="12"/>
  <c r="I45" i="12"/>
  <c r="F44" i="12"/>
  <c r="H39" i="12"/>
  <c r="K37" i="12"/>
  <c r="H40" i="12"/>
  <c r="F43" i="12"/>
  <c r="F38" i="12"/>
  <c r="I37" i="12"/>
  <c r="I8" i="12" l="1"/>
  <c r="K6" i="12"/>
  <c r="G54" i="12"/>
  <c r="H53" i="12"/>
  <c r="H61" i="12"/>
  <c r="G91" i="12"/>
  <c r="G62" i="12"/>
  <c r="G86" i="12"/>
  <c r="G88" i="12"/>
  <c r="G57" i="12"/>
  <c r="G87" i="12"/>
  <c r="G89" i="12"/>
  <c r="G63" i="12"/>
  <c r="F85" i="12"/>
  <c r="G56" i="12"/>
  <c r="G55" i="12"/>
  <c r="G59" i="12"/>
  <c r="G48" i="12"/>
  <c r="G65" i="12"/>
  <c r="G64" i="12"/>
  <c r="J61" i="12"/>
  <c r="F61" i="12"/>
  <c r="J85" i="12"/>
  <c r="J53" i="12"/>
  <c r="F53" i="12"/>
  <c r="H85" i="12"/>
  <c r="G39" i="12"/>
  <c r="G49" i="12"/>
  <c r="G40" i="12"/>
  <c r="G38" i="12"/>
  <c r="G47" i="12"/>
  <c r="G41" i="12"/>
  <c r="G51" i="12"/>
  <c r="G46" i="12"/>
  <c r="H45" i="12"/>
  <c r="G43" i="12"/>
  <c r="J45" i="12"/>
  <c r="F45" i="12"/>
  <c r="H37" i="12"/>
  <c r="J37" i="12"/>
  <c r="F37" i="12"/>
  <c r="F8" i="12" l="1"/>
  <c r="H8" i="12" s="1"/>
  <c r="H6" i="12"/>
  <c r="K8" i="12"/>
  <c r="G53" i="12"/>
  <c r="G61" i="12"/>
  <c r="G85" i="12"/>
  <c r="G45" i="12"/>
  <c r="G37" i="12"/>
</calcChain>
</file>

<file path=xl/sharedStrings.xml><?xml version="1.0" encoding="utf-8"?>
<sst xmlns="http://schemas.openxmlformats.org/spreadsheetml/2006/main" count="258" uniqueCount="113">
  <si>
    <t>項目</t>
    <rPh sb="0" eb="2">
      <t>コウモク</t>
    </rPh>
    <phoneticPr fontId="3"/>
  </si>
  <si>
    <t>営業</t>
    <rPh sb="0" eb="2">
      <t>エイギョウ</t>
    </rPh>
    <phoneticPr fontId="3"/>
  </si>
  <si>
    <t>クレーム</t>
    <phoneticPr fontId="3"/>
  </si>
  <si>
    <t>チームCD</t>
  </si>
  <si>
    <t>番号</t>
  </si>
  <si>
    <t>集計CD</t>
  </si>
  <si>
    <t>作業区分CD</t>
  </si>
  <si>
    <t>売上税抜金額</t>
  </si>
  <si>
    <t>原価税抜金額</t>
  </si>
  <si>
    <t>予測売上金額</t>
    <rPh sb="0" eb="2">
      <t>ヨソク</t>
    </rPh>
    <rPh sb="2" eb="4">
      <t>ウリアゲ</t>
    </rPh>
    <rPh sb="4" eb="6">
      <t>キンガク</t>
    </rPh>
    <phoneticPr fontId="2"/>
  </si>
  <si>
    <t>予測原価金額</t>
    <rPh sb="0" eb="2">
      <t>ヨソク</t>
    </rPh>
    <rPh sb="2" eb="4">
      <t>ゲンカ</t>
    </rPh>
    <rPh sb="4" eb="6">
      <t>キンガク</t>
    </rPh>
    <phoneticPr fontId="2"/>
  </si>
  <si>
    <t>入出庫</t>
    <rPh sb="0" eb="3">
      <t>ニュウシュッコ</t>
    </rPh>
    <phoneticPr fontId="2"/>
  </si>
  <si>
    <t>入庫金額</t>
    <rPh sb="0" eb="2">
      <t>ニュウコ</t>
    </rPh>
    <rPh sb="2" eb="4">
      <t>キンガク</t>
    </rPh>
    <phoneticPr fontId="2"/>
  </si>
  <si>
    <t>出庫金額</t>
    <rPh sb="0" eb="2">
      <t>シュッコ</t>
    </rPh>
    <rPh sb="2" eb="4">
      <t>キンガク</t>
    </rPh>
    <phoneticPr fontId="2"/>
  </si>
  <si>
    <t>人件一般費</t>
    <rPh sb="0" eb="2">
      <t>ジンケン</t>
    </rPh>
    <rPh sb="2" eb="4">
      <t>イッパン</t>
    </rPh>
    <rPh sb="4" eb="5">
      <t>ヒ</t>
    </rPh>
    <phoneticPr fontId="2"/>
  </si>
  <si>
    <t>営業外費</t>
    <rPh sb="0" eb="2">
      <t>エイギョウ</t>
    </rPh>
    <rPh sb="3" eb="4">
      <t>ヒ</t>
    </rPh>
    <phoneticPr fontId="2"/>
  </si>
  <si>
    <t>2016年　担当別原価埋込</t>
    <rPh sb="4" eb="5">
      <t>ネン</t>
    </rPh>
    <rPh sb="6" eb="8">
      <t>タントウ</t>
    </rPh>
    <rPh sb="8" eb="9">
      <t>ベツ</t>
    </rPh>
    <rPh sb="9" eb="11">
      <t>ゲンカ</t>
    </rPh>
    <rPh sb="11" eb="12">
      <t>ウ</t>
    </rPh>
    <rPh sb="12" eb="13">
      <t>コ</t>
    </rPh>
    <phoneticPr fontId="2"/>
  </si>
  <si>
    <t>原価金額</t>
    <rPh sb="0" eb="2">
      <t>ゲンカ</t>
    </rPh>
    <rPh sb="2" eb="4">
      <t>キンガク</t>
    </rPh>
    <phoneticPr fontId="2"/>
  </si>
  <si>
    <t>三研予測(円)</t>
    <rPh sb="0" eb="1">
      <t>サン</t>
    </rPh>
    <rPh sb="1" eb="2">
      <t>ケン</t>
    </rPh>
    <rPh sb="2" eb="4">
      <t>ヨソク</t>
    </rPh>
    <rPh sb="5" eb="6">
      <t>エン</t>
    </rPh>
    <phoneticPr fontId="2"/>
  </si>
  <si>
    <t>三研　売上（円）</t>
    <rPh sb="0" eb="1">
      <t>サン</t>
    </rPh>
    <rPh sb="1" eb="2">
      <t>ケン</t>
    </rPh>
    <rPh sb="3" eb="5">
      <t>ウリアゲ</t>
    </rPh>
    <rPh sb="6" eb="7">
      <t>エン</t>
    </rPh>
    <phoneticPr fontId="2"/>
  </si>
  <si>
    <t>原価</t>
  </si>
  <si>
    <t>原価</t>
    <phoneticPr fontId="2"/>
  </si>
  <si>
    <t>売上</t>
  </si>
  <si>
    <t>フロント予測(円)</t>
    <rPh sb="4" eb="6">
      <t>ヨソク</t>
    </rPh>
    <rPh sb="7" eb="8">
      <t>エン</t>
    </rPh>
    <phoneticPr fontId="2"/>
  </si>
  <si>
    <t>サービス予測(円)</t>
    <rPh sb="4" eb="6">
      <t>ヨソク</t>
    </rPh>
    <rPh sb="7" eb="8">
      <t>エン</t>
    </rPh>
    <phoneticPr fontId="2"/>
  </si>
  <si>
    <t>フロント　売上（円）</t>
    <rPh sb="5" eb="7">
      <t>ウリアゲ</t>
    </rPh>
    <rPh sb="8" eb="9">
      <t>エン</t>
    </rPh>
    <phoneticPr fontId="2"/>
  </si>
  <si>
    <t>サービス　売上（円）</t>
    <rPh sb="5" eb="7">
      <t>ウリアゲ</t>
    </rPh>
    <rPh sb="8" eb="9">
      <t>エン</t>
    </rPh>
    <phoneticPr fontId="2"/>
  </si>
  <si>
    <t>人件費一般費</t>
  </si>
  <si>
    <t>その他</t>
    <rPh sb="2" eb="3">
      <t>タ</t>
    </rPh>
    <phoneticPr fontId="2"/>
  </si>
  <si>
    <t>予測売上額_貨物</t>
  </si>
  <si>
    <t>予測原価額_貨物</t>
  </si>
  <si>
    <t>予測売上額_物流</t>
  </si>
  <si>
    <t>予測原価額_物流</t>
  </si>
  <si>
    <t>売額_貨物自_三商</t>
  </si>
  <si>
    <t>原額_貨物自_三商</t>
  </si>
  <si>
    <t>原額_貨物自_店装</t>
  </si>
  <si>
    <t>原額_貨物自_サンプラ</t>
  </si>
  <si>
    <t>売額_貨物自_三シャ</t>
  </si>
  <si>
    <t>原額_貨物自_三シャ</t>
  </si>
  <si>
    <t>売額_貨物自_トラン</t>
  </si>
  <si>
    <t>原額_貨物自_トラン</t>
  </si>
  <si>
    <t>売額_貨物自_その他</t>
  </si>
  <si>
    <t>原額_貨物自_その他</t>
  </si>
  <si>
    <t>売額_貨物自_事故</t>
  </si>
  <si>
    <t>原額_貨物自_事故</t>
  </si>
  <si>
    <t>売額_貨物庸_三商</t>
  </si>
  <si>
    <t>原額_貨物庸_三商</t>
  </si>
  <si>
    <t>売額_貨物庸_店装</t>
  </si>
  <si>
    <t>原額_貨物庸_店装</t>
  </si>
  <si>
    <t>売額_貨物庸_サンプラ</t>
  </si>
  <si>
    <t>原額_貨物庸_サンプラ</t>
  </si>
  <si>
    <t>売額_貨物庸_三シャ</t>
  </si>
  <si>
    <t>原額_貨物庸_三シャ</t>
  </si>
  <si>
    <t>売額_貨物庸_トラン</t>
  </si>
  <si>
    <t>原額_貨物庸_トラン</t>
  </si>
  <si>
    <t>売額_貨物庸_その他</t>
  </si>
  <si>
    <t>原額_貨物庸_その他</t>
  </si>
  <si>
    <t>売額_貨物庸_事故</t>
  </si>
  <si>
    <t>原額_貨物庸_事故</t>
  </si>
  <si>
    <t>売額_物流_ルート</t>
  </si>
  <si>
    <t>原額_物流_ルート</t>
  </si>
  <si>
    <t>売額_物流_丸和</t>
  </si>
  <si>
    <t>原額_物流_丸和</t>
  </si>
  <si>
    <t>売額_物流_その他</t>
  </si>
  <si>
    <t>原額_物流_その他</t>
  </si>
  <si>
    <t>売額_物流_事故</t>
  </si>
  <si>
    <t>原額_物流_事故</t>
  </si>
  <si>
    <t>売額_貨物自_店装</t>
    <phoneticPr fontId="2"/>
  </si>
  <si>
    <t>売額_貨物自_サンプラ</t>
    <phoneticPr fontId="2"/>
  </si>
  <si>
    <t>人件一般費_貨物</t>
    <rPh sb="0" eb="2">
      <t>ジンケン</t>
    </rPh>
    <rPh sb="2" eb="4">
      <t>イッパン</t>
    </rPh>
    <rPh sb="4" eb="5">
      <t>ヒ</t>
    </rPh>
    <rPh sb="6" eb="8">
      <t>カモツ</t>
    </rPh>
    <phoneticPr fontId="2"/>
  </si>
  <si>
    <t>営業外費_貨物</t>
    <rPh sb="0" eb="2">
      <t>エイギョウ</t>
    </rPh>
    <rPh sb="3" eb="4">
      <t>ヒ</t>
    </rPh>
    <rPh sb="5" eb="7">
      <t>カモツ</t>
    </rPh>
    <phoneticPr fontId="2"/>
  </si>
  <si>
    <t>人件一般費_物流</t>
    <rPh sb="0" eb="2">
      <t>ジンケン</t>
    </rPh>
    <rPh sb="2" eb="4">
      <t>イッパン</t>
    </rPh>
    <rPh sb="4" eb="5">
      <t>ヒ</t>
    </rPh>
    <rPh sb="6" eb="8">
      <t>ブツリュウ</t>
    </rPh>
    <phoneticPr fontId="2"/>
  </si>
  <si>
    <t>営業外費_物流</t>
    <rPh sb="0" eb="2">
      <t>エイギョウ</t>
    </rPh>
    <rPh sb="3" eb="4">
      <t>ヒ</t>
    </rPh>
    <rPh sb="5" eb="7">
      <t>ブツリュウ</t>
    </rPh>
    <phoneticPr fontId="2"/>
  </si>
  <si>
    <t>在庫</t>
    <rPh sb="0" eb="2">
      <t>ザイコ</t>
    </rPh>
    <phoneticPr fontId="3"/>
  </si>
  <si>
    <t>⇔</t>
    <phoneticPr fontId="3"/>
  </si>
  <si>
    <t>⇔</t>
  </si>
  <si>
    <t>集計CD</t>
    <phoneticPr fontId="2"/>
  </si>
  <si>
    <t>営業チーム統計</t>
    <rPh sb="0" eb="2">
      <t>エイギョウ</t>
    </rPh>
    <rPh sb="5" eb="7">
      <t>トウケイ</t>
    </rPh>
    <phoneticPr fontId="3"/>
  </si>
  <si>
    <t>売上総利益</t>
    <rPh sb="0" eb="2">
      <t>ウリアゲ</t>
    </rPh>
    <rPh sb="2" eb="3">
      <t>ソウ</t>
    </rPh>
    <rPh sb="3" eb="5">
      <t>リエキ</t>
    </rPh>
    <phoneticPr fontId="3"/>
  </si>
  <si>
    <t>Y</t>
    <phoneticPr fontId="2"/>
  </si>
  <si>
    <t>LP</t>
    <phoneticPr fontId="2"/>
  </si>
  <si>
    <t>B</t>
    <phoneticPr fontId="2"/>
  </si>
  <si>
    <t>BX</t>
    <phoneticPr fontId="2"/>
  </si>
  <si>
    <t>W</t>
    <phoneticPr fontId="2"/>
  </si>
  <si>
    <t>営業担当CD</t>
    <rPh sb="0" eb="2">
      <t>エイギョウ</t>
    </rPh>
    <rPh sb="2" eb="4">
      <t>タントウ</t>
    </rPh>
    <phoneticPr fontId="2"/>
  </si>
  <si>
    <t>委託</t>
    <rPh sb="0" eb="2">
      <t>イタク</t>
    </rPh>
    <phoneticPr fontId="3"/>
  </si>
  <si>
    <t>工事　売上・原価</t>
    <rPh sb="0" eb="2">
      <t>コウジ</t>
    </rPh>
    <rPh sb="3" eb="5">
      <t>ウリアゲ</t>
    </rPh>
    <rPh sb="6" eb="8">
      <t>ゲンカ</t>
    </rPh>
    <phoneticPr fontId="2"/>
  </si>
  <si>
    <t>工事担当CD</t>
    <rPh sb="0" eb="2">
      <t>コウジ</t>
    </rPh>
    <rPh sb="2" eb="4">
      <t>タントウ</t>
    </rPh>
    <phoneticPr fontId="2"/>
  </si>
  <si>
    <t>部CD（未使用）</t>
    <rPh sb="0" eb="1">
      <t>ブ</t>
    </rPh>
    <rPh sb="4" eb="7">
      <t>ミシヨウ</t>
    </rPh>
    <phoneticPr fontId="2"/>
  </si>
  <si>
    <t>集計CD（未使用）</t>
    <rPh sb="5" eb="8">
      <t>ミシヨウ</t>
    </rPh>
    <phoneticPr fontId="2"/>
  </si>
  <si>
    <t>工事</t>
    <phoneticPr fontId="3"/>
  </si>
  <si>
    <t>コール</t>
    <phoneticPr fontId="3"/>
  </si>
  <si>
    <t>工事</t>
    <phoneticPr fontId="2"/>
  </si>
  <si>
    <t>営業担当別経費</t>
    <rPh sb="0" eb="2">
      <t>エイギョウ</t>
    </rPh>
    <rPh sb="2" eb="4">
      <t>タントウ</t>
    </rPh>
    <rPh sb="4" eb="5">
      <t>ベツ</t>
    </rPh>
    <rPh sb="5" eb="7">
      <t>ケイヒ</t>
    </rPh>
    <phoneticPr fontId="2"/>
  </si>
  <si>
    <t>AL</t>
    <phoneticPr fontId="2"/>
  </si>
  <si>
    <t>業種区分</t>
    <rPh sb="0" eb="2">
      <t>ギョウシュ</t>
    </rPh>
    <rPh sb="2" eb="4">
      <t>クブン</t>
    </rPh>
    <phoneticPr fontId="2"/>
  </si>
  <si>
    <t>原/売</t>
  </si>
  <si>
    <t>EC</t>
    <phoneticPr fontId="2"/>
  </si>
  <si>
    <t>Amazon</t>
    <phoneticPr fontId="2"/>
  </si>
  <si>
    <t>ﾒﾙｶﾘ</t>
    <phoneticPr fontId="2"/>
  </si>
  <si>
    <t>売上</t>
    <rPh sb="0" eb="2">
      <t>ウリアゲ</t>
    </rPh>
    <phoneticPr fontId="3"/>
  </si>
  <si>
    <t>販管費</t>
    <rPh sb="0" eb="3">
      <t>ハンカンヒ</t>
    </rPh>
    <phoneticPr fontId="3"/>
  </si>
  <si>
    <t>営業利益</t>
    <rPh sb="0" eb="2">
      <t>エイギョウ</t>
    </rPh>
    <rPh sb="2" eb="4">
      <t>リエキ</t>
    </rPh>
    <phoneticPr fontId="3"/>
  </si>
  <si>
    <t>営業１部</t>
    <rPh sb="0" eb="2">
      <t>エイギョウ</t>
    </rPh>
    <rPh sb="3" eb="4">
      <t>ブ</t>
    </rPh>
    <phoneticPr fontId="2"/>
  </si>
  <si>
    <t>店装</t>
    <rPh sb="0" eb="2">
      <t>テンソウ</t>
    </rPh>
    <phoneticPr fontId="3"/>
  </si>
  <si>
    <t>営業２部</t>
    <rPh sb="0" eb="2">
      <t>エイギョウ</t>
    </rPh>
    <rPh sb="3" eb="4">
      <t>ブ</t>
    </rPh>
    <phoneticPr fontId="2"/>
  </si>
  <si>
    <t>営業３部</t>
    <rPh sb="0" eb="2">
      <t>エイギョウ</t>
    </rPh>
    <rPh sb="3" eb="4">
      <t>ブ</t>
    </rPh>
    <phoneticPr fontId="2"/>
  </si>
  <si>
    <t>原価</t>
    <rPh sb="0" eb="2">
      <t>ゲンカ</t>
    </rPh>
    <phoneticPr fontId="3"/>
  </si>
  <si>
    <t>顧客別　売上・原価</t>
    <rPh sb="0" eb="3">
      <t>コキャクベツ</t>
    </rPh>
    <rPh sb="4" eb="6">
      <t>ウリアゲ</t>
    </rPh>
    <rPh sb="7" eb="9">
      <t>ゲンカ</t>
    </rPh>
    <phoneticPr fontId="2"/>
  </si>
  <si>
    <t>部署</t>
    <rPh sb="0" eb="2">
      <t>ブショ</t>
    </rPh>
    <phoneticPr fontId="2"/>
  </si>
  <si>
    <t>部署別　売上・原価</t>
    <rPh sb="0" eb="2">
      <t>ブショ</t>
    </rPh>
    <rPh sb="2" eb="3">
      <t>ベツ</t>
    </rPh>
    <rPh sb="4" eb="6">
      <t>ウリアゲ</t>
    </rPh>
    <rPh sb="7" eb="9">
      <t>ゲンカ</t>
    </rPh>
    <phoneticPr fontId="2"/>
  </si>
  <si>
    <t>年月日</t>
  </si>
  <si>
    <t>年月日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</si>
</sst>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trike/>
      <sz val="11"/>
      <color theme="1"/>
      <name val="ＭＳ Ｐゴシック"/>
      <family val="3"/>
      <charset val="128"/>
      <scheme val="minor"/>
    </font>
    <font>
      <sz val="11"/>
      <color indexed="8"/>
      <name val="BIZ UDPゴシック"/>
      <family val="3"/>
      <charset val="128"/>
    </font>
    <font>
      <b/>
      <sz val="10"/>
      <color indexed="8"/>
      <name val="BIZ UDPゴシック"/>
      <family val="3"/>
      <charset val="128"/>
    </font>
    <font>
      <sz val="8"/>
      <color indexed="8"/>
      <name val="BIZ UDPゴシック"/>
      <family val="3"/>
      <charset val="128"/>
    </font>
    <font>
      <sz val="10"/>
      <color theme="1"/>
      <name val="BIZ UDPゴシック"/>
      <family val="3"/>
      <charset val="128"/>
    </font>
    <font>
      <sz val="10"/>
      <color indexed="8"/>
      <name val="BIZ UDPゴシック"/>
      <family val="3"/>
      <charset val="128"/>
    </font>
    <font>
      <sz val="9"/>
      <color indexed="8"/>
      <name val="BIZ UDPゴシック"/>
      <family val="3"/>
      <charset val="128"/>
    </font>
    <font>
      <sz val="7"/>
      <color indexed="8"/>
      <name val="BIZ UDPゴシック"/>
      <family val="3"/>
      <charset val="128"/>
    </font>
    <font>
      <sz val="9"/>
      <color theme="1"/>
      <name val="BIZ UDPゴシック"/>
      <family val="3"/>
      <charset val="128"/>
    </font>
    <font>
      <sz val="8"/>
      <color theme="1"/>
      <name val="BIZ UDPゴシック"/>
      <family val="3"/>
      <charset val="128"/>
    </font>
    <font>
      <b/>
      <sz val="9"/>
      <color indexed="8"/>
      <name val="BIZ UDPゴシック"/>
      <family val="3"/>
      <charset val="128"/>
    </font>
    <font>
      <sz val="6"/>
      <color indexed="8"/>
      <name val="BIZ UDPゴシック"/>
      <family val="3"/>
      <charset val="128"/>
    </font>
    <font>
      <sz val="5"/>
      <color indexed="8"/>
      <name val="BIZ UDPゴシック"/>
      <family val="3"/>
      <charset val="128"/>
    </font>
    <font>
      <sz val="14"/>
      <color indexed="8"/>
      <name val="BIZ UDPゴシック"/>
      <family val="3"/>
      <charset val="128"/>
    </font>
    <font>
      <sz val="6"/>
      <color theme="1"/>
      <name val="BIZ UDPゴシック"/>
      <family val="3"/>
      <charset val="128"/>
    </font>
    <font>
      <sz val="12"/>
      <color indexed="8"/>
      <name val="BIZ UDP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auto="1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auto="1"/>
      </bottom>
      <diagonal/>
    </border>
    <border>
      <left/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 style="double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auto="1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auto="1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auto="1"/>
      </bottom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hair">
        <color auto="1"/>
      </top>
      <bottom/>
      <diagonal/>
    </border>
    <border>
      <left style="hair">
        <color indexed="64"/>
      </left>
      <right style="thin">
        <color indexed="64"/>
      </right>
      <top style="hair">
        <color auto="1"/>
      </top>
      <bottom/>
      <diagonal/>
    </border>
  </borders>
  <cellStyleXfs count="12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13">
    <xf numFmtId="0" fontId="0" fillId="0" borderId="0" xfId="0">
      <alignment vertical="center"/>
    </xf>
    <xf numFmtId="14" fontId="0" fillId="0" borderId="0" xfId="0" applyNumberFormat="1">
      <alignment vertical="center"/>
    </xf>
    <xf numFmtId="38" fontId="0" fillId="0" borderId="0" xfId="1" applyFont="1">
      <alignment vertical="center"/>
    </xf>
    <xf numFmtId="49" fontId="0" fillId="0" borderId="0" xfId="0" applyNumberFormat="1">
      <alignment vertical="center"/>
    </xf>
    <xf numFmtId="0" fontId="5" fillId="0" borderId="0" xfId="0" applyFont="1">
      <alignment vertical="center"/>
    </xf>
    <xf numFmtId="14" fontId="5" fillId="0" borderId="0" xfId="0" applyNumberFormat="1" applyFont="1">
      <alignment vertical="center"/>
    </xf>
    <xf numFmtId="38" fontId="5" fillId="0" borderId="0" xfId="1" applyFont="1">
      <alignment vertical="center"/>
    </xf>
    <xf numFmtId="14" fontId="7" fillId="0" borderId="0" xfId="0" applyNumberFormat="1" applyFont="1">
      <alignment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15" fillId="0" borderId="0" xfId="0" applyFont="1">
      <alignment vertical="center"/>
    </xf>
    <xf numFmtId="14" fontId="15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9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1" fillId="3" borderId="45" xfId="0" applyFont="1" applyFill="1" applyBorder="1" applyAlignment="1">
      <alignment horizontal="center" vertical="center"/>
    </xf>
    <xf numFmtId="55" fontId="11" fillId="3" borderId="5" xfId="0" applyNumberFormat="1" applyFont="1" applyFill="1" applyBorder="1" applyAlignment="1">
      <alignment horizontal="center" vertical="center"/>
    </xf>
    <xf numFmtId="55" fontId="10" fillId="3" borderId="5" xfId="0" applyNumberFormat="1" applyFont="1" applyFill="1" applyBorder="1" applyAlignment="1">
      <alignment horizontal="center" vertical="center"/>
    </xf>
    <xf numFmtId="55" fontId="11" fillId="3" borderId="6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2" applyNumberFormat="1" applyFont="1" applyFill="1" applyBorder="1" applyAlignment="1">
      <alignment vertical="center" shrinkToFit="1"/>
    </xf>
    <xf numFmtId="0" fontId="8" fillId="0" borderId="0" xfId="1" applyNumberFormat="1" applyFont="1" applyFill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/>
    </xf>
    <xf numFmtId="0" fontId="18" fillId="0" borderId="0" xfId="2" applyNumberFormat="1" applyFont="1" applyFill="1" applyBorder="1" applyAlignment="1">
      <alignment horizontal="center" vertical="center" shrinkToFit="1"/>
    </xf>
    <xf numFmtId="0" fontId="14" fillId="0" borderId="0" xfId="0" applyFont="1" applyAlignment="1">
      <alignment horizontal="center" vertical="center" shrinkToFit="1"/>
    </xf>
    <xf numFmtId="0" fontId="8" fillId="0" borderId="43" xfId="0" applyFont="1" applyBorder="1" applyAlignment="1">
      <alignment horizontal="right" vertical="center"/>
    </xf>
    <xf numFmtId="0" fontId="8" fillId="0" borderId="44" xfId="0" applyFont="1" applyBorder="1" applyAlignment="1">
      <alignment horizontal="right" vertical="center"/>
    </xf>
    <xf numFmtId="0" fontId="8" fillId="0" borderId="22" xfId="0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9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38" fontId="12" fillId="0" borderId="32" xfId="2" applyNumberFormat="1" applyFont="1" applyBorder="1" applyAlignment="1">
      <alignment vertical="center" shrinkToFit="1"/>
    </xf>
    <xf numFmtId="10" fontId="19" fillId="0" borderId="20" xfId="0" applyNumberFormat="1" applyFont="1" applyBorder="1" applyAlignment="1">
      <alignment horizontal="center" vertical="center" shrinkToFit="1"/>
    </xf>
    <xf numFmtId="10" fontId="19" fillId="0" borderId="23" xfId="0" applyNumberFormat="1" applyFont="1" applyBorder="1" applyAlignment="1">
      <alignment horizontal="center" vertical="center" shrinkToFit="1"/>
    </xf>
    <xf numFmtId="10" fontId="19" fillId="0" borderId="11" xfId="0" applyNumberFormat="1" applyFont="1" applyBorder="1" applyAlignment="1">
      <alignment horizontal="center" vertical="center" shrinkToFit="1"/>
    </xf>
    <xf numFmtId="49" fontId="20" fillId="0" borderId="17" xfId="2" applyNumberFormat="1" applyFont="1" applyFill="1" applyBorder="1" applyAlignment="1">
      <alignment horizontal="center" vertical="center" shrinkToFit="1"/>
    </xf>
    <xf numFmtId="38" fontId="8" fillId="0" borderId="19" xfId="2" applyNumberFormat="1" applyFont="1" applyFill="1" applyBorder="1" applyAlignment="1">
      <alignment horizontal="right" vertical="center" shrinkToFit="1"/>
    </xf>
    <xf numFmtId="38" fontId="8" fillId="0" borderId="34" xfId="2" applyNumberFormat="1" applyFont="1" applyFill="1" applyBorder="1" applyAlignment="1">
      <alignment horizontal="right" vertical="center" shrinkToFit="1"/>
    </xf>
    <xf numFmtId="38" fontId="8" fillId="0" borderId="10" xfId="2" applyNumberFormat="1" applyFont="1" applyFill="1" applyBorder="1" applyAlignment="1">
      <alignment horizontal="right" vertical="center" shrinkToFit="1"/>
    </xf>
    <xf numFmtId="38" fontId="8" fillId="0" borderId="13" xfId="2" applyNumberFormat="1" applyFont="1" applyFill="1" applyBorder="1" applyAlignment="1">
      <alignment horizontal="right" vertical="center" shrinkToFit="1"/>
    </xf>
    <xf numFmtId="38" fontId="8" fillId="0" borderId="33" xfId="2" applyNumberFormat="1" applyFont="1" applyBorder="1" applyAlignment="1">
      <alignment horizontal="right" vertical="center" shrinkToFit="1"/>
    </xf>
    <xf numFmtId="38" fontId="8" fillId="0" borderId="29" xfId="2" applyNumberFormat="1" applyFont="1" applyBorder="1" applyAlignment="1">
      <alignment horizontal="right" vertical="center" shrinkToFit="1"/>
    </xf>
    <xf numFmtId="38" fontId="8" fillId="0" borderId="27" xfId="2" applyNumberFormat="1" applyFont="1" applyBorder="1" applyAlignment="1">
      <alignment horizontal="right" vertical="center" shrinkToFit="1"/>
    </xf>
    <xf numFmtId="38" fontId="8" fillId="0" borderId="40" xfId="2" applyNumberFormat="1" applyFont="1" applyFill="1" applyBorder="1" applyAlignment="1">
      <alignment horizontal="right" vertical="center" shrinkToFit="1"/>
    </xf>
    <xf numFmtId="38" fontId="12" fillId="0" borderId="16" xfId="2" applyNumberFormat="1" applyFont="1" applyFill="1" applyBorder="1" applyAlignment="1">
      <alignment vertical="center" shrinkToFit="1"/>
    </xf>
    <xf numFmtId="38" fontId="12" fillId="0" borderId="31" xfId="2" applyNumberFormat="1" applyFont="1" applyBorder="1" applyAlignment="1">
      <alignment vertical="center" shrinkToFit="1"/>
    </xf>
    <xf numFmtId="38" fontId="12" fillId="0" borderId="15" xfId="2" applyNumberFormat="1" applyFont="1" applyFill="1" applyBorder="1" applyAlignment="1">
      <alignment vertical="center" shrinkToFit="1"/>
    </xf>
    <xf numFmtId="0" fontId="9" fillId="5" borderId="6" xfId="0" applyFont="1" applyFill="1" applyBorder="1" applyAlignment="1">
      <alignment horizontal="center" vertical="center"/>
    </xf>
    <xf numFmtId="0" fontId="9" fillId="5" borderId="1" xfId="0" applyFont="1" applyFill="1" applyBorder="1">
      <alignment vertical="center"/>
    </xf>
    <xf numFmtId="0" fontId="9" fillId="5" borderId="5" xfId="0" applyFont="1" applyFill="1" applyBorder="1" applyAlignment="1">
      <alignment horizontal="center" vertical="center"/>
    </xf>
    <xf numFmtId="47" fontId="0" fillId="0" borderId="0" xfId="0" applyNumberFormat="1">
      <alignment vertical="center"/>
    </xf>
    <xf numFmtId="0" fontId="11" fillId="0" borderId="25" xfId="0" applyFont="1" applyBorder="1" applyAlignment="1">
      <alignment horizontal="distributed" vertical="center"/>
    </xf>
    <xf numFmtId="0" fontId="11" fillId="0" borderId="1" xfId="0" applyFont="1" applyBorder="1" applyAlignment="1">
      <alignment horizontal="distributed" vertical="center"/>
    </xf>
    <xf numFmtId="10" fontId="19" fillId="0" borderId="14" xfId="0" applyNumberFormat="1" applyFont="1" applyBorder="1" applyAlignment="1">
      <alignment horizontal="center" vertical="center" shrinkToFit="1"/>
    </xf>
    <xf numFmtId="38" fontId="8" fillId="0" borderId="40" xfId="2" applyNumberFormat="1" applyFont="1" applyBorder="1" applyAlignment="1">
      <alignment horizontal="right" vertical="center" shrinkToFit="1"/>
    </xf>
    <xf numFmtId="38" fontId="12" fillId="0" borderId="16" xfId="2" applyNumberFormat="1" applyFont="1" applyBorder="1" applyAlignment="1">
      <alignment vertical="center" shrinkToFit="1"/>
    </xf>
    <xf numFmtId="38" fontId="12" fillId="0" borderId="15" xfId="2" applyNumberFormat="1" applyFont="1" applyBorder="1" applyAlignment="1">
      <alignment vertical="center" shrinkToFit="1"/>
    </xf>
    <xf numFmtId="0" fontId="8" fillId="0" borderId="30" xfId="0" applyFont="1" applyBorder="1" applyAlignment="1">
      <alignment horizontal="distributed" vertical="center" justifyLastLine="1"/>
    </xf>
    <xf numFmtId="0" fontId="8" fillId="0" borderId="28" xfId="0" applyFont="1" applyBorder="1" applyAlignment="1">
      <alignment horizontal="distributed" vertical="center" justifyLastLine="1"/>
    </xf>
    <xf numFmtId="0" fontId="11" fillId="0" borderId="1" xfId="0" applyFont="1" applyBorder="1" applyAlignment="1">
      <alignment horizontal="distributed" vertical="center" justifyLastLine="1"/>
    </xf>
    <xf numFmtId="0" fontId="8" fillId="0" borderId="35" xfId="0" applyFont="1" applyBorder="1" applyAlignment="1">
      <alignment horizontal="distributed" vertical="center" justifyLastLine="1"/>
    </xf>
    <xf numFmtId="0" fontId="5" fillId="0" borderId="0" xfId="11" applyFont="1">
      <alignment vertical="center"/>
    </xf>
    <xf numFmtId="0" fontId="9" fillId="0" borderId="5" xfId="0" applyFont="1" applyBorder="1" applyAlignment="1">
      <alignment horizontal="right" vertical="center"/>
    </xf>
    <xf numFmtId="10" fontId="16" fillId="4" borderId="29" xfId="1" applyNumberFormat="1" applyFont="1" applyFill="1" applyBorder="1" applyAlignment="1">
      <alignment vertical="center" shrinkToFit="1"/>
    </xf>
    <xf numFmtId="10" fontId="17" fillId="4" borderId="56" xfId="1" applyNumberFormat="1" applyFont="1" applyFill="1" applyBorder="1" applyAlignment="1">
      <alignment vertical="center" shrinkToFit="1"/>
    </xf>
    <xf numFmtId="10" fontId="16" fillId="4" borderId="8" xfId="1" applyNumberFormat="1" applyFont="1" applyFill="1" applyBorder="1" applyAlignment="1">
      <alignment vertical="center" shrinkToFit="1"/>
    </xf>
    <xf numFmtId="10" fontId="17" fillId="4" borderId="53" xfId="1" applyNumberFormat="1" applyFont="1" applyFill="1" applyBorder="1" applyAlignment="1">
      <alignment vertical="center" shrinkToFit="1"/>
    </xf>
    <xf numFmtId="0" fontId="11" fillId="4" borderId="7" xfId="0" applyFont="1" applyFill="1" applyBorder="1" applyAlignment="1">
      <alignment vertical="center" justifyLastLine="1"/>
    </xf>
    <xf numFmtId="0" fontId="11" fillId="0" borderId="1" xfId="0" applyFont="1" applyBorder="1" applyAlignment="1">
      <alignment horizontal="right" vertical="center" justifyLastLine="1"/>
    </xf>
    <xf numFmtId="0" fontId="11" fillId="0" borderId="1" xfId="0" applyFont="1" applyBorder="1">
      <alignment vertical="center"/>
    </xf>
    <xf numFmtId="0" fontId="8" fillId="0" borderId="1" xfId="0" applyFont="1" applyBorder="1">
      <alignment vertical="center"/>
    </xf>
    <xf numFmtId="38" fontId="8" fillId="0" borderId="13" xfId="2" applyNumberFormat="1" applyFont="1" applyFill="1" applyBorder="1" applyAlignment="1">
      <alignment vertical="center" shrinkToFit="1"/>
    </xf>
    <xf numFmtId="38" fontId="8" fillId="0" borderId="40" xfId="2" applyNumberFormat="1" applyFont="1" applyFill="1" applyBorder="1" applyAlignment="1">
      <alignment vertical="center" shrinkToFit="1"/>
    </xf>
    <xf numFmtId="38" fontId="12" fillId="0" borderId="66" xfId="2" applyNumberFormat="1" applyFont="1" applyFill="1" applyBorder="1" applyAlignment="1">
      <alignment vertical="center" shrinkToFit="1"/>
    </xf>
    <xf numFmtId="0" fontId="11" fillId="6" borderId="4" xfId="0" applyFont="1" applyFill="1" applyBorder="1">
      <alignment vertical="center"/>
    </xf>
    <xf numFmtId="0" fontId="11" fillId="6" borderId="12" xfId="0" applyFont="1" applyFill="1" applyBorder="1">
      <alignment vertical="center"/>
    </xf>
    <xf numFmtId="10" fontId="16" fillId="6" borderId="27" xfId="1" applyNumberFormat="1" applyFont="1" applyFill="1" applyBorder="1" applyAlignment="1">
      <alignment vertical="center" shrinkToFit="1"/>
    </xf>
    <xf numFmtId="10" fontId="17" fillId="6" borderId="53" xfId="1" applyNumberFormat="1" applyFont="1" applyFill="1" applyBorder="1" applyAlignment="1">
      <alignment vertical="center" shrinkToFit="1"/>
    </xf>
    <xf numFmtId="0" fontId="8" fillId="0" borderId="35" xfId="0" applyFont="1" applyBorder="1" applyAlignment="1">
      <alignment horizontal="right" vertical="center" justifyLastLine="1"/>
    </xf>
    <xf numFmtId="0" fontId="8" fillId="0" borderId="43" xfId="0" applyFont="1" applyBorder="1">
      <alignment vertical="center"/>
    </xf>
    <xf numFmtId="38" fontId="8" fillId="0" borderId="34" xfId="2" applyNumberFormat="1" applyFont="1" applyFill="1" applyBorder="1" applyAlignment="1">
      <alignment vertical="center" shrinkToFit="1"/>
    </xf>
    <xf numFmtId="38" fontId="8" fillId="0" borderId="33" xfId="2" applyNumberFormat="1" applyFont="1" applyBorder="1" applyAlignment="1">
      <alignment vertical="center" shrinkToFit="1"/>
    </xf>
    <xf numFmtId="38" fontId="12" fillId="0" borderId="67" xfId="2" applyNumberFormat="1" applyFont="1" applyBorder="1" applyAlignment="1">
      <alignment vertical="center" shrinkToFit="1"/>
    </xf>
    <xf numFmtId="0" fontId="8" fillId="0" borderId="30" xfId="0" applyFont="1" applyBorder="1" applyAlignment="1">
      <alignment horizontal="right" vertical="center" justifyLastLine="1"/>
    </xf>
    <xf numFmtId="0" fontId="8" fillId="0" borderId="44" xfId="0" applyFont="1" applyBorder="1">
      <alignment vertical="center"/>
    </xf>
    <xf numFmtId="38" fontId="8" fillId="0" borderId="10" xfId="2" applyNumberFormat="1" applyFont="1" applyFill="1" applyBorder="1" applyAlignment="1">
      <alignment vertical="center" shrinkToFit="1"/>
    </xf>
    <xf numFmtId="38" fontId="8" fillId="0" borderId="29" xfId="2" applyNumberFormat="1" applyFont="1" applyBorder="1" applyAlignment="1">
      <alignment vertical="center" shrinkToFit="1"/>
    </xf>
    <xf numFmtId="38" fontId="12" fillId="0" borderId="68" xfId="2" applyNumberFormat="1" applyFont="1" applyBorder="1" applyAlignment="1">
      <alignment vertical="center" shrinkToFit="1"/>
    </xf>
    <xf numFmtId="38" fontId="12" fillId="0" borderId="56" xfId="2" applyNumberFormat="1" applyFont="1" applyBorder="1" applyAlignment="1">
      <alignment vertical="center" shrinkToFit="1"/>
    </xf>
    <xf numFmtId="0" fontId="8" fillId="0" borderId="28" xfId="0" applyFont="1" applyBorder="1" applyAlignment="1">
      <alignment horizontal="right" vertical="center" justifyLastLine="1"/>
    </xf>
    <xf numFmtId="0" fontId="8" fillId="0" borderId="22" xfId="0" applyFont="1" applyBorder="1">
      <alignment vertical="center"/>
    </xf>
    <xf numFmtId="38" fontId="8" fillId="0" borderId="19" xfId="2" applyNumberFormat="1" applyFont="1" applyFill="1" applyBorder="1" applyAlignment="1">
      <alignment vertical="center" shrinkToFit="1"/>
    </xf>
    <xf numFmtId="38" fontId="8" fillId="0" borderId="27" xfId="2" applyNumberFormat="1" applyFont="1" applyBorder="1" applyAlignment="1">
      <alignment vertical="center" shrinkToFit="1"/>
    </xf>
    <xf numFmtId="38" fontId="12" fillId="0" borderId="69" xfId="2" applyNumberFormat="1" applyFont="1" applyBorder="1" applyAlignment="1">
      <alignment vertical="center" shrinkToFit="1"/>
    </xf>
    <xf numFmtId="38" fontId="12" fillId="0" borderId="9" xfId="2" applyNumberFormat="1" applyFont="1" applyBorder="1" applyAlignment="1">
      <alignment vertical="center" shrinkToFit="1"/>
    </xf>
    <xf numFmtId="0" fontId="8" fillId="0" borderId="0" xfId="1" applyNumberFormat="1" applyFont="1" applyFill="1" applyBorder="1" applyAlignment="1">
      <alignment vertical="center" shrinkToFit="1"/>
    </xf>
    <xf numFmtId="38" fontId="16" fillId="0" borderId="13" xfId="2" applyNumberFormat="1" applyFont="1" applyFill="1" applyBorder="1" applyAlignment="1">
      <alignment horizontal="right" vertical="center" shrinkToFit="1"/>
    </xf>
    <xf numFmtId="38" fontId="16" fillId="0" borderId="40" xfId="2" applyNumberFormat="1" applyFont="1" applyBorder="1" applyAlignment="1">
      <alignment horizontal="right" vertical="center" shrinkToFit="1"/>
    </xf>
    <xf numFmtId="38" fontId="16" fillId="0" borderId="16" xfId="2" applyNumberFormat="1" applyFont="1" applyBorder="1" applyAlignment="1">
      <alignment vertical="center" shrinkToFit="1"/>
    </xf>
    <xf numFmtId="38" fontId="16" fillId="0" borderId="15" xfId="2" applyNumberFormat="1" applyFont="1" applyBorder="1" applyAlignment="1">
      <alignment vertical="center" shrinkToFit="1"/>
    </xf>
    <xf numFmtId="38" fontId="16" fillId="0" borderId="34" xfId="2" applyNumberFormat="1" applyFont="1" applyFill="1" applyBorder="1" applyAlignment="1">
      <alignment horizontal="right" vertical="center" shrinkToFit="1"/>
    </xf>
    <xf numFmtId="38" fontId="16" fillId="0" borderId="33" xfId="2" applyNumberFormat="1" applyFont="1" applyBorder="1" applyAlignment="1">
      <alignment horizontal="right" vertical="center" shrinkToFit="1"/>
    </xf>
    <xf numFmtId="38" fontId="16" fillId="0" borderId="32" xfId="2" applyNumberFormat="1" applyFont="1" applyBorder="1" applyAlignment="1">
      <alignment vertical="center" shrinkToFit="1"/>
    </xf>
    <xf numFmtId="38" fontId="16" fillId="0" borderId="31" xfId="2" applyNumberFormat="1" applyFont="1" applyBorder="1" applyAlignment="1">
      <alignment vertical="center" shrinkToFit="1"/>
    </xf>
    <xf numFmtId="38" fontId="16" fillId="0" borderId="10" xfId="2" applyNumberFormat="1" applyFont="1" applyFill="1" applyBorder="1" applyAlignment="1">
      <alignment horizontal="right" vertical="center" shrinkToFit="1"/>
    </xf>
    <xf numFmtId="38" fontId="16" fillId="0" borderId="29" xfId="2" applyNumberFormat="1" applyFont="1" applyBorder="1" applyAlignment="1">
      <alignment horizontal="right" vertical="center" shrinkToFit="1"/>
    </xf>
    <xf numFmtId="38" fontId="16" fillId="0" borderId="19" xfId="2" applyNumberFormat="1" applyFont="1" applyFill="1" applyBorder="1" applyAlignment="1">
      <alignment horizontal="right" vertical="center" shrinkToFit="1"/>
    </xf>
    <xf numFmtId="38" fontId="16" fillId="0" borderId="27" xfId="2" applyNumberFormat="1" applyFont="1" applyBorder="1" applyAlignment="1">
      <alignment horizontal="right" vertical="center" shrinkToFit="1"/>
    </xf>
    <xf numFmtId="49" fontId="16" fillId="0" borderId="17" xfId="2" applyNumberFormat="1" applyFont="1" applyFill="1" applyBorder="1" applyAlignment="1">
      <alignment horizontal="center" vertical="center" shrinkToFit="1"/>
    </xf>
    <xf numFmtId="38" fontId="16" fillId="0" borderId="40" xfId="2" applyNumberFormat="1" applyFont="1" applyFill="1" applyBorder="1" applyAlignment="1">
      <alignment horizontal="right" vertical="center" shrinkToFit="1"/>
    </xf>
    <xf numFmtId="38" fontId="16" fillId="0" borderId="16" xfId="2" applyNumberFormat="1" applyFont="1" applyFill="1" applyBorder="1" applyAlignment="1">
      <alignment vertical="center" shrinkToFit="1"/>
    </xf>
    <xf numFmtId="38" fontId="16" fillId="0" borderId="15" xfId="2" applyNumberFormat="1" applyFont="1" applyFill="1" applyBorder="1" applyAlignment="1">
      <alignment vertical="center" shrinkToFit="1"/>
    </xf>
    <xf numFmtId="38" fontId="16" fillId="0" borderId="52" xfId="2" applyNumberFormat="1" applyFont="1" applyBorder="1" applyAlignment="1">
      <alignment vertical="center" shrinkToFit="1"/>
    </xf>
    <xf numFmtId="38" fontId="16" fillId="0" borderId="53" xfId="2" applyNumberFormat="1" applyFont="1" applyBorder="1" applyAlignment="1">
      <alignment vertical="center" shrinkToFit="1"/>
    </xf>
    <xf numFmtId="0" fontId="11" fillId="0" borderId="25" xfId="0" applyFont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1" fillId="4" borderId="48" xfId="0" applyFont="1" applyFill="1" applyBorder="1">
      <alignment vertical="center"/>
    </xf>
    <xf numFmtId="0" fontId="11" fillId="4" borderId="50" xfId="0" applyFont="1" applyFill="1" applyBorder="1">
      <alignment vertical="center"/>
    </xf>
    <xf numFmtId="0" fontId="11" fillId="4" borderId="44" xfId="0" applyFont="1" applyFill="1" applyBorder="1">
      <alignment vertical="center"/>
    </xf>
    <xf numFmtId="0" fontId="11" fillId="4" borderId="30" xfId="0" applyFont="1" applyFill="1" applyBorder="1">
      <alignment vertical="center"/>
    </xf>
    <xf numFmtId="0" fontId="11" fillId="4" borderId="22" xfId="0" applyFont="1" applyFill="1" applyBorder="1">
      <alignment vertical="center"/>
    </xf>
    <xf numFmtId="0" fontId="11" fillId="4" borderId="28" xfId="0" applyFont="1" applyFill="1" applyBorder="1">
      <alignment vertical="center"/>
    </xf>
    <xf numFmtId="0" fontId="11" fillId="5" borderId="43" xfId="0" applyFont="1" applyFill="1" applyBorder="1" applyAlignment="1">
      <alignment vertical="center" justifyLastLine="1"/>
    </xf>
    <xf numFmtId="0" fontId="11" fillId="5" borderId="70" xfId="0" applyFont="1" applyFill="1" applyBorder="1" applyAlignment="1">
      <alignment vertical="center" justifyLastLine="1"/>
    </xf>
    <xf numFmtId="0" fontId="11" fillId="5" borderId="44" xfId="0" applyFont="1" applyFill="1" applyBorder="1">
      <alignment vertical="center"/>
    </xf>
    <xf numFmtId="0" fontId="11" fillId="5" borderId="30" xfId="0" applyFont="1" applyFill="1" applyBorder="1">
      <alignment vertical="center"/>
    </xf>
    <xf numFmtId="38" fontId="8" fillId="5" borderId="43" xfId="2" applyNumberFormat="1" applyFont="1" applyFill="1" applyBorder="1" applyAlignment="1">
      <alignment horizontal="right" vertical="center" shrinkToFit="1"/>
    </xf>
    <xf numFmtId="38" fontId="8" fillId="5" borderId="41" xfId="2" applyNumberFormat="1" applyFont="1" applyFill="1" applyBorder="1" applyAlignment="1">
      <alignment horizontal="right" vertical="center" shrinkToFit="1"/>
    </xf>
    <xf numFmtId="38" fontId="8" fillId="5" borderId="72" xfId="2" applyNumberFormat="1" applyFont="1" applyFill="1" applyBorder="1" applyAlignment="1">
      <alignment horizontal="right" vertical="center" shrinkToFit="1"/>
    </xf>
    <xf numFmtId="38" fontId="12" fillId="5" borderId="71" xfId="2" applyNumberFormat="1" applyFont="1" applyFill="1" applyBorder="1" applyAlignment="1">
      <alignment horizontal="right" vertical="center" shrinkToFit="1"/>
    </xf>
    <xf numFmtId="38" fontId="12" fillId="5" borderId="41" xfId="2" applyNumberFormat="1" applyFont="1" applyFill="1" applyBorder="1" applyAlignment="1">
      <alignment horizontal="right" vertical="center" shrinkToFit="1"/>
    </xf>
    <xf numFmtId="38" fontId="12" fillId="5" borderId="70" xfId="2" applyNumberFormat="1" applyFont="1" applyFill="1" applyBorder="1" applyAlignment="1">
      <alignment horizontal="right" vertical="center" shrinkToFit="1"/>
    </xf>
    <xf numFmtId="0" fontId="11" fillId="6" borderId="7" xfId="0" applyFont="1" applyFill="1" applyBorder="1">
      <alignment vertical="center"/>
    </xf>
    <xf numFmtId="10" fontId="16" fillId="6" borderId="39" xfId="1" applyNumberFormat="1" applyFont="1" applyFill="1" applyBorder="1" applyAlignment="1">
      <alignment vertical="center" shrinkToFit="1"/>
    </xf>
    <xf numFmtId="10" fontId="17" fillId="6" borderId="74" xfId="1" applyNumberFormat="1" applyFont="1" applyFill="1" applyBorder="1" applyAlignment="1">
      <alignment vertical="center" shrinkToFit="1"/>
    </xf>
    <xf numFmtId="0" fontId="8" fillId="0" borderId="50" xfId="0" applyFont="1" applyBorder="1" applyAlignment="1">
      <alignment horizontal="right" vertical="center" justifyLastLine="1"/>
    </xf>
    <xf numFmtId="0" fontId="8" fillId="0" borderId="48" xfId="0" applyFont="1" applyBorder="1">
      <alignment vertical="center"/>
    </xf>
    <xf numFmtId="38" fontId="8" fillId="0" borderId="51" xfId="2" applyNumberFormat="1" applyFont="1" applyFill="1" applyBorder="1" applyAlignment="1">
      <alignment vertical="center" shrinkToFit="1"/>
    </xf>
    <xf numFmtId="10" fontId="19" fillId="0" borderId="18" xfId="0" applyNumberFormat="1" applyFont="1" applyBorder="1" applyAlignment="1">
      <alignment horizontal="center" vertical="center" shrinkToFit="1"/>
    </xf>
    <xf numFmtId="38" fontId="8" fillId="0" borderId="54" xfId="2" applyNumberFormat="1" applyFont="1" applyBorder="1" applyAlignment="1">
      <alignment vertical="center" shrinkToFit="1"/>
    </xf>
    <xf numFmtId="38" fontId="12" fillId="0" borderId="57" xfId="2" applyNumberFormat="1" applyFont="1" applyBorder="1" applyAlignment="1">
      <alignment vertical="center" shrinkToFit="1"/>
    </xf>
    <xf numFmtId="38" fontId="12" fillId="0" borderId="61" xfId="2" applyNumberFormat="1" applyFont="1" applyBorder="1" applyAlignment="1">
      <alignment vertical="center" shrinkToFit="1"/>
    </xf>
    <xf numFmtId="38" fontId="0" fillId="0" borderId="0" xfId="0" applyNumberFormat="1">
      <alignment vertical="center"/>
    </xf>
    <xf numFmtId="0" fontId="14" fillId="6" borderId="38" xfId="0" applyFont="1" applyFill="1" applyBorder="1">
      <alignment vertical="center"/>
    </xf>
    <xf numFmtId="0" fontId="14" fillId="6" borderId="37" xfId="0" applyFont="1" applyFill="1" applyBorder="1">
      <alignment vertical="center"/>
    </xf>
    <xf numFmtId="0" fontId="14" fillId="6" borderId="26" xfId="0" applyFont="1" applyFill="1" applyBorder="1">
      <alignment vertical="center"/>
    </xf>
    <xf numFmtId="0" fontId="11" fillId="6" borderId="48" xfId="0" applyFont="1" applyFill="1" applyBorder="1" applyAlignment="1">
      <alignment vertical="center" justifyLastLine="1"/>
    </xf>
    <xf numFmtId="0" fontId="11" fillId="6" borderId="49" xfId="0" applyFont="1" applyFill="1" applyBorder="1" applyAlignment="1">
      <alignment vertical="center" justifyLastLine="1"/>
    </xf>
    <xf numFmtId="38" fontId="8" fillId="6" borderId="48" xfId="2" applyNumberFormat="1" applyFont="1" applyFill="1" applyBorder="1" applyAlignment="1">
      <alignment horizontal="right" vertical="center" shrinkToFit="1"/>
    </xf>
    <xf numFmtId="38" fontId="8" fillId="6" borderId="63" xfId="2" applyNumberFormat="1" applyFont="1" applyFill="1" applyBorder="1" applyAlignment="1">
      <alignment horizontal="right" vertical="center" shrinkToFit="1"/>
    </xf>
    <xf numFmtId="38" fontId="8" fillId="6" borderId="64" xfId="2" applyNumberFormat="1" applyFont="1" applyFill="1" applyBorder="1" applyAlignment="1">
      <alignment horizontal="right" vertical="center" shrinkToFit="1"/>
    </xf>
    <xf numFmtId="38" fontId="12" fillId="6" borderId="65" xfId="2" applyNumberFormat="1" applyFont="1" applyFill="1" applyBorder="1" applyAlignment="1">
      <alignment horizontal="right" vertical="center" shrinkToFit="1"/>
    </xf>
    <xf numFmtId="38" fontId="12" fillId="6" borderId="63" xfId="2" applyNumberFormat="1" applyFont="1" applyFill="1" applyBorder="1" applyAlignment="1">
      <alignment horizontal="right" vertical="center" shrinkToFit="1"/>
    </xf>
    <xf numFmtId="38" fontId="12" fillId="6" borderId="49" xfId="2" applyNumberFormat="1" applyFont="1" applyFill="1" applyBorder="1" applyAlignment="1">
      <alignment horizontal="right" vertical="center" shrinkToFit="1"/>
    </xf>
    <xf numFmtId="0" fontId="11" fillId="6" borderId="42" xfId="0" applyFont="1" applyFill="1" applyBorder="1" applyAlignment="1">
      <alignment vertical="center" justifyLastLine="1"/>
    </xf>
    <xf numFmtId="0" fontId="11" fillId="6" borderId="46" xfId="0" applyFont="1" applyFill="1" applyBorder="1" applyAlignment="1">
      <alignment vertical="center" justifyLastLine="1"/>
    </xf>
    <xf numFmtId="38" fontId="8" fillId="6" borderId="42" xfId="2" applyNumberFormat="1" applyFont="1" applyFill="1" applyBorder="1" applyAlignment="1">
      <alignment vertical="center" shrinkToFit="1"/>
    </xf>
    <xf numFmtId="38" fontId="8" fillId="6" borderId="36" xfId="2" applyNumberFormat="1" applyFont="1" applyFill="1" applyBorder="1" applyAlignment="1">
      <alignment vertical="center" shrinkToFit="1"/>
    </xf>
    <xf numFmtId="38" fontId="12" fillId="6" borderId="73" xfId="2" applyNumberFormat="1" applyFont="1" applyFill="1" applyBorder="1" applyAlignment="1">
      <alignment vertical="center" shrinkToFit="1"/>
    </xf>
    <xf numFmtId="38" fontId="12" fillId="6" borderId="36" xfId="2" applyNumberFormat="1" applyFont="1" applyFill="1" applyBorder="1" applyAlignment="1">
      <alignment vertical="center" shrinkToFit="1"/>
    </xf>
    <xf numFmtId="0" fontId="11" fillId="6" borderId="60" xfId="0" applyFont="1" applyFill="1" applyBorder="1" applyAlignment="1">
      <alignment vertical="center" justifyLastLine="1"/>
    </xf>
    <xf numFmtId="38" fontId="8" fillId="6" borderId="22" xfId="2" applyNumberFormat="1" applyFont="1" applyFill="1" applyBorder="1" applyAlignment="1">
      <alignment vertical="center" shrinkToFit="1"/>
    </xf>
    <xf numFmtId="38" fontId="8" fillId="6" borderId="21" xfId="2" applyNumberFormat="1" applyFont="1" applyFill="1" applyBorder="1" applyAlignment="1">
      <alignment vertical="center" shrinkToFit="1"/>
    </xf>
    <xf numFmtId="38" fontId="12" fillId="6" borderId="59" xfId="2" applyNumberFormat="1" applyFont="1" applyFill="1" applyBorder="1" applyAlignment="1">
      <alignment vertical="center" shrinkToFit="1"/>
    </xf>
    <xf numFmtId="38" fontId="12" fillId="6" borderId="21" xfId="2" applyNumberFormat="1" applyFont="1" applyFill="1" applyBorder="1" applyAlignment="1">
      <alignment vertical="center" shrinkToFit="1"/>
    </xf>
    <xf numFmtId="0" fontId="11" fillId="4" borderId="44" xfId="0" applyFont="1" applyFill="1" applyBorder="1" applyAlignment="1">
      <alignment horizontal="left" vertical="center" justifyLastLine="1"/>
    </xf>
    <xf numFmtId="0" fontId="11" fillId="4" borderId="62" xfId="0" applyFont="1" applyFill="1" applyBorder="1" applyAlignment="1">
      <alignment horizontal="left" vertical="center" justifyLastLine="1"/>
    </xf>
    <xf numFmtId="38" fontId="8" fillId="4" borderId="44" xfId="2" applyNumberFormat="1" applyFont="1" applyFill="1" applyBorder="1" applyAlignment="1">
      <alignment vertical="center" shrinkToFit="1"/>
    </xf>
    <xf numFmtId="38" fontId="8" fillId="4" borderId="55" xfId="2" applyNumberFormat="1" applyFont="1" applyFill="1" applyBorder="1" applyAlignment="1">
      <alignment vertical="center" shrinkToFit="1"/>
    </xf>
    <xf numFmtId="38" fontId="12" fillId="4" borderId="58" xfId="2" applyNumberFormat="1" applyFont="1" applyFill="1" applyBorder="1" applyAlignment="1">
      <alignment vertical="center" shrinkToFit="1"/>
    </xf>
    <xf numFmtId="38" fontId="12" fillId="4" borderId="55" xfId="2" applyNumberFormat="1" applyFont="1" applyFill="1" applyBorder="1" applyAlignment="1">
      <alignment vertical="center" shrinkToFit="1"/>
    </xf>
    <xf numFmtId="0" fontId="11" fillId="4" borderId="42" xfId="0" applyFont="1" applyFill="1" applyBorder="1" applyAlignment="1">
      <alignment vertical="center" justifyLastLine="1"/>
    </xf>
    <xf numFmtId="0" fontId="11" fillId="4" borderId="46" xfId="0" applyFont="1" applyFill="1" applyBorder="1" applyAlignment="1">
      <alignment vertical="center" justifyLastLine="1"/>
    </xf>
    <xf numFmtId="38" fontId="8" fillId="4" borderId="22" xfId="2" applyNumberFormat="1" applyFont="1" applyFill="1" applyBorder="1" applyAlignment="1">
      <alignment vertical="center" shrinkToFit="1"/>
    </xf>
    <xf numFmtId="38" fontId="8" fillId="4" borderId="21" xfId="2" applyNumberFormat="1" applyFont="1" applyFill="1" applyBorder="1" applyAlignment="1">
      <alignment vertical="center" shrinkToFit="1"/>
    </xf>
    <xf numFmtId="38" fontId="12" fillId="4" borderId="59" xfId="2" applyNumberFormat="1" applyFont="1" applyFill="1" applyBorder="1" applyAlignment="1">
      <alignment vertical="center" shrinkToFit="1"/>
    </xf>
    <xf numFmtId="38" fontId="12" fillId="4" borderId="21" xfId="2" applyNumberFormat="1" applyFont="1" applyFill="1" applyBorder="1" applyAlignment="1">
      <alignment vertical="center" shrinkToFit="1"/>
    </xf>
    <xf numFmtId="0" fontId="11" fillId="4" borderId="48" xfId="0" applyFont="1" applyFill="1" applyBorder="1" applyAlignment="1">
      <alignment vertical="center" justifyLastLine="1"/>
    </xf>
    <xf numFmtId="0" fontId="11" fillId="4" borderId="49" xfId="0" applyFont="1" applyFill="1" applyBorder="1" applyAlignment="1">
      <alignment vertical="center" justifyLastLine="1"/>
    </xf>
    <xf numFmtId="38" fontId="8" fillId="4" borderId="48" xfId="2" applyNumberFormat="1" applyFont="1" applyFill="1" applyBorder="1" applyAlignment="1">
      <alignment horizontal="right" vertical="center" shrinkToFit="1"/>
    </xf>
    <xf numFmtId="38" fontId="8" fillId="4" borderId="63" xfId="2" applyNumberFormat="1" applyFont="1" applyFill="1" applyBorder="1" applyAlignment="1">
      <alignment horizontal="right" vertical="center" shrinkToFit="1"/>
    </xf>
    <xf numFmtId="38" fontId="8" fillId="4" borderId="64" xfId="2" applyNumberFormat="1" applyFont="1" applyFill="1" applyBorder="1" applyAlignment="1">
      <alignment horizontal="right" vertical="center" shrinkToFit="1"/>
    </xf>
    <xf numFmtId="38" fontId="12" fillId="4" borderId="65" xfId="2" applyNumberFormat="1" applyFont="1" applyFill="1" applyBorder="1" applyAlignment="1">
      <alignment horizontal="right" vertical="center" shrinkToFit="1"/>
    </xf>
    <xf numFmtId="38" fontId="12" fillId="4" borderId="63" xfId="2" applyNumberFormat="1" applyFont="1" applyFill="1" applyBorder="1" applyAlignment="1">
      <alignment horizontal="right" vertical="center" shrinkToFit="1"/>
    </xf>
    <xf numFmtId="38" fontId="12" fillId="4" borderId="49" xfId="2" applyNumberFormat="1" applyFont="1" applyFill="1" applyBorder="1" applyAlignment="1">
      <alignment horizontal="right" vertical="center" shrinkToFit="1"/>
    </xf>
    <xf numFmtId="0" fontId="11" fillId="4" borderId="44" xfId="0" applyFont="1" applyFill="1" applyBorder="1" applyAlignment="1">
      <alignment vertical="center" justifyLastLine="1"/>
    </xf>
    <xf numFmtId="0" fontId="11" fillId="4" borderId="62" xfId="0" applyFont="1" applyFill="1" applyBorder="1" applyAlignment="1">
      <alignment vertical="center" justifyLastLine="1"/>
    </xf>
    <xf numFmtId="0" fontId="9" fillId="2" borderId="38" xfId="0" applyFont="1" applyFill="1" applyBorder="1" applyAlignment="1">
      <alignment horizontal="center" vertical="center" shrinkToFit="1"/>
    </xf>
    <xf numFmtId="0" fontId="9" fillId="2" borderId="37" xfId="0" applyFont="1" applyFill="1" applyBorder="1" applyAlignment="1">
      <alignment horizontal="center" vertical="center" shrinkToFit="1"/>
    </xf>
    <xf numFmtId="0" fontId="9" fillId="2" borderId="26" xfId="0" applyFont="1" applyFill="1" applyBorder="1" applyAlignment="1">
      <alignment horizontal="center" vertical="center" shrinkToFit="1"/>
    </xf>
    <xf numFmtId="0" fontId="9" fillId="2" borderId="38" xfId="0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7" borderId="38" xfId="0" applyFont="1" applyFill="1" applyBorder="1" applyAlignment="1">
      <alignment horizontal="center" vertical="center"/>
    </xf>
    <xf numFmtId="0" fontId="9" fillId="7" borderId="37" xfId="0" applyFont="1" applyFill="1" applyBorder="1" applyAlignment="1">
      <alignment horizontal="center" vertical="center"/>
    </xf>
    <xf numFmtId="0" fontId="9" fillId="7" borderId="26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24" xfId="0" applyFont="1" applyFill="1" applyBorder="1" applyAlignment="1">
      <alignment horizontal="center" vertical="center"/>
    </xf>
    <xf numFmtId="55" fontId="10" fillId="4" borderId="47" xfId="0" applyNumberFormat="1" applyFont="1" applyFill="1" applyBorder="1" applyAlignment="1">
      <alignment horizontal="center" vertical="center"/>
    </xf>
    <xf numFmtId="55" fontId="10" fillId="4" borderId="2" xfId="0" applyNumberFormat="1" applyFont="1" applyFill="1" applyBorder="1" applyAlignment="1">
      <alignment horizontal="center" vertical="center"/>
    </xf>
    <xf numFmtId="55" fontId="10" fillId="4" borderId="3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</cellXfs>
  <cellStyles count="12">
    <cellStyle name="パーセント" xfId="2" builtinId="5"/>
    <cellStyle name="パーセント 2" xfId="3"/>
    <cellStyle name="パーセント 3" xfId="4"/>
    <cellStyle name="パーセント 4" xfId="5"/>
    <cellStyle name="パーセント 5" xfId="6"/>
    <cellStyle name="桁区切り" xfId="1" builtinId="6"/>
    <cellStyle name="桁区切り 2" xfId="7"/>
    <cellStyle name="桁区切り 3" xfId="8"/>
    <cellStyle name="桁区切り 4" xfId="9"/>
    <cellStyle name="桁区切り 5" xfId="10"/>
    <cellStyle name="標準" xfId="0" builtinId="0"/>
    <cellStyle name="標準 2" xfId="11"/>
  </cellStyles>
  <dxfs count="0"/>
  <tableStyles count="0" defaultTableStyle="TableStyleMedium2" defaultPivotStyle="PivotStyleLight16"/>
  <colors>
    <mruColors>
      <color rgb="FFDDDDDD"/>
      <color rgb="FFFFFFCC"/>
      <color rgb="FFCCFFCC"/>
      <color rgb="FFCCFFFF"/>
      <color rgb="FFFFCC99"/>
      <color rgb="FFFFCCCC"/>
      <color rgb="FF99CC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Q342"/>
  <sheetViews>
    <sheetView zoomScaleNormal="100" zoomScaleSheetLayoutView="100" workbookViewId="0"/>
  </sheetViews>
  <sheetFormatPr defaultRowHeight="13.2" x14ac:dyDescent="0.2"/>
  <cols>
    <col min="2" max="2" width="5.21875" bestFit="1" customWidth="1"/>
    <col min="3" max="3" width="9" style="3"/>
    <col min="4" max="4" width="10.44140625" style="1" bestFit="1" customWidth="1"/>
    <col min="6" max="6" width="11.33203125" style="2" bestFit="1" customWidth="1"/>
    <col min="7" max="7" width="11.33203125" style="2" customWidth="1"/>
    <col min="8" max="9" width="2.109375" customWidth="1"/>
    <col min="10" max="10" width="9.21875" customWidth="1"/>
    <col min="11" max="11" width="5.21875" bestFit="1" customWidth="1"/>
    <col min="12" max="12" width="7.77734375" bestFit="1" customWidth="1"/>
    <col min="13" max="13" width="9.44140625" style="1" bestFit="1" customWidth="1"/>
    <col min="14" max="14" width="10.44140625" bestFit="1" customWidth="1"/>
    <col min="15" max="16" width="13" style="2" bestFit="1" customWidth="1"/>
    <col min="17" max="18" width="3.44140625" customWidth="1"/>
    <col min="20" max="20" width="10.44140625" bestFit="1" customWidth="1"/>
    <col min="21" max="21" width="11.21875" customWidth="1"/>
    <col min="22" max="22" width="13" bestFit="1" customWidth="1"/>
    <col min="23" max="24" width="2.6640625" customWidth="1"/>
    <col min="29" max="30" width="2.88671875" customWidth="1"/>
    <col min="31" max="31" width="10.44140625" bestFit="1" customWidth="1"/>
    <col min="36" max="37" width="2.88671875" customWidth="1"/>
    <col min="39" max="39" width="10.44140625" bestFit="1" customWidth="1"/>
    <col min="40" max="40" width="11.33203125" bestFit="1" customWidth="1"/>
    <col min="41" max="41" width="3.88671875" customWidth="1"/>
    <col min="42" max="42" width="3.6640625" customWidth="1"/>
    <col min="43" max="43" width="10.44140625" bestFit="1" customWidth="1"/>
    <col min="45" max="45" width="13.88671875" bestFit="1" customWidth="1"/>
    <col min="46" max="46" width="3.88671875" customWidth="1"/>
    <col min="47" max="47" width="3.6640625" customWidth="1"/>
    <col min="48" max="48" width="10.109375" customWidth="1"/>
    <col min="50" max="50" width="13.88671875" bestFit="1" customWidth="1"/>
    <col min="51" max="51" width="3.88671875" customWidth="1"/>
    <col min="52" max="52" width="3.6640625" customWidth="1"/>
    <col min="53" max="53" width="10.33203125" customWidth="1"/>
    <col min="55" max="55" width="13.88671875" bestFit="1" customWidth="1"/>
    <col min="56" max="57" width="13.88671875" customWidth="1"/>
    <col min="58" max="59" width="2.88671875" customWidth="1"/>
    <col min="60" max="60" width="10.21875" customWidth="1"/>
    <col min="65" max="66" width="2.88671875" customWidth="1"/>
    <col min="67" max="67" width="10.33203125" customWidth="1"/>
    <col min="68" max="71" width="16.44140625" bestFit="1" customWidth="1"/>
    <col min="72" max="73" width="19.33203125" bestFit="1" customWidth="1"/>
    <col min="74" max="75" width="17.88671875" bestFit="1" customWidth="1"/>
    <col min="76" max="77" width="17.109375" bestFit="1" customWidth="1"/>
    <col min="78" max="79" width="18.44140625" bestFit="1" customWidth="1"/>
    <col min="80" max="85" width="16.44140625" bestFit="1" customWidth="1"/>
    <col min="86" max="87" width="19.33203125" bestFit="1" customWidth="1"/>
    <col min="88" max="89" width="17.88671875" bestFit="1" customWidth="1"/>
    <col min="90" max="91" width="17.109375" bestFit="1" customWidth="1"/>
    <col min="92" max="93" width="18.44140625" bestFit="1" customWidth="1"/>
    <col min="94" max="95" width="16.44140625" bestFit="1" customWidth="1"/>
    <col min="96" max="97" width="15.6640625" bestFit="1" customWidth="1"/>
    <col min="98" max="99" width="14.33203125" bestFit="1" customWidth="1"/>
    <col min="100" max="101" width="16.33203125" bestFit="1" customWidth="1"/>
    <col min="102" max="103" width="14.33203125" bestFit="1" customWidth="1"/>
    <col min="104" max="107" width="14.109375" customWidth="1"/>
    <col min="108" max="108" width="3.33203125" customWidth="1"/>
    <col min="109" max="109" width="3.21875" customWidth="1"/>
    <col min="111" max="111" width="9.44140625" customWidth="1"/>
    <col min="112" max="112" width="9.44140625" style="1" bestFit="1" customWidth="1"/>
    <col min="113" max="113" width="10.21875" style="2" bestFit="1" customWidth="1"/>
    <col min="115" max="116" width="3.33203125" customWidth="1"/>
    <col min="118" max="118" width="9.44140625" style="1" bestFit="1" customWidth="1"/>
    <col min="120" max="120" width="13" style="147" bestFit="1" customWidth="1"/>
    <col min="121" max="121" width="12" style="147" customWidth="1"/>
  </cols>
  <sheetData>
    <row r="1" spans="1:121" x14ac:dyDescent="0.2">
      <c r="A1" t="s">
        <v>108</v>
      </c>
      <c r="J1" t="s">
        <v>86</v>
      </c>
      <c r="M1" s="5"/>
      <c r="N1" s="4"/>
      <c r="O1" s="6"/>
      <c r="P1" s="6"/>
      <c r="Y1" t="s">
        <v>11</v>
      </c>
      <c r="AE1" t="s">
        <v>19</v>
      </c>
      <c r="AL1" s="4" t="s">
        <v>16</v>
      </c>
      <c r="AM1" s="4"/>
      <c r="AN1" s="4"/>
      <c r="AQ1" t="s">
        <v>18</v>
      </c>
      <c r="AV1" t="s">
        <v>23</v>
      </c>
      <c r="BA1" t="s">
        <v>24</v>
      </c>
      <c r="BH1" s="4" t="s">
        <v>25</v>
      </c>
      <c r="BI1" s="4"/>
      <c r="BJ1" s="4"/>
      <c r="BK1" s="4"/>
      <c r="BL1" s="4"/>
      <c r="BO1" t="s">
        <v>26</v>
      </c>
      <c r="DF1" t="s">
        <v>93</v>
      </c>
      <c r="DM1" t="s">
        <v>110</v>
      </c>
      <c r="DP1" s="2"/>
    </row>
    <row r="2" spans="1:121" x14ac:dyDescent="0.2">
      <c r="A2" t="s">
        <v>84</v>
      </c>
      <c r="B2" t="s">
        <v>4</v>
      </c>
      <c r="C2" s="3" t="s">
        <v>5</v>
      </c>
      <c r="D2" s="1" t="s">
        <v>111</v>
      </c>
      <c r="E2" t="s">
        <v>6</v>
      </c>
      <c r="F2" s="2" t="s">
        <v>7</v>
      </c>
      <c r="G2" s="2" t="s">
        <v>8</v>
      </c>
      <c r="J2" t="s">
        <v>87</v>
      </c>
      <c r="K2" t="s">
        <v>4</v>
      </c>
      <c r="L2" t="s">
        <v>89</v>
      </c>
      <c r="M2" s="1" t="s">
        <v>111</v>
      </c>
      <c r="N2" t="s">
        <v>6</v>
      </c>
      <c r="O2" s="2" t="s">
        <v>7</v>
      </c>
      <c r="P2" s="2" t="s">
        <v>8</v>
      </c>
      <c r="T2" s="1"/>
      <c r="Y2" t="s">
        <v>76</v>
      </c>
      <c r="Z2" s="1" t="s">
        <v>111</v>
      </c>
      <c r="AA2" t="s">
        <v>13</v>
      </c>
      <c r="AB2" t="s">
        <v>12</v>
      </c>
      <c r="AE2" t="s">
        <v>112</v>
      </c>
      <c r="AF2" s="2" t="s">
        <v>7</v>
      </c>
      <c r="AG2" s="2" t="s">
        <v>8</v>
      </c>
      <c r="AH2" t="s">
        <v>14</v>
      </c>
      <c r="AI2" t="s">
        <v>15</v>
      </c>
      <c r="AL2" s="4" t="s">
        <v>3</v>
      </c>
      <c r="AM2" s="5" t="s">
        <v>111</v>
      </c>
      <c r="AN2" s="4" t="s">
        <v>17</v>
      </c>
      <c r="AQ2" s="4" t="s">
        <v>112</v>
      </c>
      <c r="AR2" s="4" t="s">
        <v>9</v>
      </c>
      <c r="AS2" s="4" t="s">
        <v>10</v>
      </c>
      <c r="AV2" s="4" t="s">
        <v>112</v>
      </c>
      <c r="AW2" s="4" t="s">
        <v>9</v>
      </c>
      <c r="AX2" s="4" t="s">
        <v>10</v>
      </c>
      <c r="BA2" s="4" t="s">
        <v>112</v>
      </c>
      <c r="BB2" s="65" t="s">
        <v>29</v>
      </c>
      <c r="BC2" s="65" t="s">
        <v>30</v>
      </c>
      <c r="BD2" s="65" t="s">
        <v>31</v>
      </c>
      <c r="BE2" s="65" t="s">
        <v>32</v>
      </c>
      <c r="BH2" s="4" t="s">
        <v>112</v>
      </c>
      <c r="BI2" s="6" t="s">
        <v>7</v>
      </c>
      <c r="BJ2" s="6" t="s">
        <v>8</v>
      </c>
      <c r="BK2" s="4" t="s">
        <v>14</v>
      </c>
      <c r="BL2" s="4" t="s">
        <v>15</v>
      </c>
      <c r="BO2" t="s">
        <v>112</v>
      </c>
      <c r="BP2" s="2" t="s">
        <v>33</v>
      </c>
      <c r="BQ2" s="2" t="s">
        <v>34</v>
      </c>
      <c r="BR2" s="2" t="s">
        <v>67</v>
      </c>
      <c r="BS2" s="2" t="s">
        <v>35</v>
      </c>
      <c r="BT2" s="2" t="s">
        <v>68</v>
      </c>
      <c r="BU2" s="2" t="s">
        <v>36</v>
      </c>
      <c r="BV2" s="2" t="s">
        <v>37</v>
      </c>
      <c r="BW2" s="2" t="s">
        <v>38</v>
      </c>
      <c r="BX2" s="2" t="s">
        <v>39</v>
      </c>
      <c r="BY2" s="2" t="s">
        <v>40</v>
      </c>
      <c r="BZ2" s="2" t="s">
        <v>41</v>
      </c>
      <c r="CA2" s="2" t="s">
        <v>42</v>
      </c>
      <c r="CB2" s="2" t="s">
        <v>43</v>
      </c>
      <c r="CC2" s="2" t="s">
        <v>44</v>
      </c>
      <c r="CD2" s="2" t="s">
        <v>45</v>
      </c>
      <c r="CE2" s="2" t="s">
        <v>46</v>
      </c>
      <c r="CF2" s="2" t="s">
        <v>47</v>
      </c>
      <c r="CG2" s="2" t="s">
        <v>48</v>
      </c>
      <c r="CH2" s="2" t="s">
        <v>49</v>
      </c>
      <c r="CI2" s="2" t="s">
        <v>50</v>
      </c>
      <c r="CJ2" s="2" t="s">
        <v>51</v>
      </c>
      <c r="CK2" s="2" t="s">
        <v>52</v>
      </c>
      <c r="CL2" s="2" t="s">
        <v>53</v>
      </c>
      <c r="CM2" s="2" t="s">
        <v>54</v>
      </c>
      <c r="CN2" s="2" t="s">
        <v>55</v>
      </c>
      <c r="CO2" s="2" t="s">
        <v>56</v>
      </c>
      <c r="CP2" s="2" t="s">
        <v>57</v>
      </c>
      <c r="CQ2" s="2" t="s">
        <v>58</v>
      </c>
      <c r="CR2" s="2" t="s">
        <v>59</v>
      </c>
      <c r="CS2" s="2" t="s">
        <v>60</v>
      </c>
      <c r="CT2" s="2" t="s">
        <v>61</v>
      </c>
      <c r="CU2" s="2" t="s">
        <v>62</v>
      </c>
      <c r="CV2" s="2" t="s">
        <v>63</v>
      </c>
      <c r="CW2" s="2" t="s">
        <v>64</v>
      </c>
      <c r="CX2" s="2" t="s">
        <v>65</v>
      </c>
      <c r="CY2" s="2" t="s">
        <v>66</v>
      </c>
      <c r="CZ2" t="s">
        <v>69</v>
      </c>
      <c r="DA2" t="s">
        <v>70</v>
      </c>
      <c r="DB2" t="s">
        <v>71</v>
      </c>
      <c r="DC2" t="s">
        <v>72</v>
      </c>
      <c r="DF2" t="s">
        <v>95</v>
      </c>
      <c r="DG2" t="s">
        <v>88</v>
      </c>
      <c r="DH2" s="1" t="s">
        <v>111</v>
      </c>
      <c r="DI2" s="2" t="s">
        <v>27</v>
      </c>
      <c r="DM2" t="s">
        <v>109</v>
      </c>
      <c r="DN2" s="1" t="s">
        <v>111</v>
      </c>
      <c r="DO2" t="s">
        <v>6</v>
      </c>
      <c r="DP2" s="2" t="s">
        <v>7</v>
      </c>
      <c r="DQ2" s="2" t="s">
        <v>8</v>
      </c>
    </row>
    <row r="3" spans="1:121" x14ac:dyDescent="0.2">
      <c r="D3" s="54"/>
      <c r="M3" s="54"/>
      <c r="DP3" s="2"/>
    </row>
    <row r="4" spans="1:121" x14ac:dyDescent="0.2">
      <c r="D4" s="54"/>
      <c r="M4" s="54"/>
      <c r="DP4" s="2"/>
    </row>
    <row r="5" spans="1:121" x14ac:dyDescent="0.2">
      <c r="D5" s="54"/>
      <c r="M5" s="54"/>
      <c r="DP5" s="2"/>
    </row>
    <row r="6" spans="1:121" x14ac:dyDescent="0.2">
      <c r="D6" s="54"/>
      <c r="M6" s="54"/>
      <c r="DP6" s="2"/>
    </row>
    <row r="7" spans="1:121" x14ac:dyDescent="0.2">
      <c r="D7" s="54"/>
      <c r="M7" s="54"/>
      <c r="DP7" s="2"/>
    </row>
    <row r="8" spans="1:121" x14ac:dyDescent="0.2">
      <c r="D8" s="54"/>
      <c r="M8" s="54"/>
      <c r="DP8" s="2"/>
    </row>
    <row r="9" spans="1:121" x14ac:dyDescent="0.2">
      <c r="D9" s="54"/>
      <c r="M9" s="54"/>
      <c r="DP9" s="2"/>
    </row>
    <row r="10" spans="1:121" x14ac:dyDescent="0.2">
      <c r="D10" s="54"/>
      <c r="M10" s="54"/>
      <c r="DP10" s="2"/>
    </row>
    <row r="11" spans="1:121" x14ac:dyDescent="0.2">
      <c r="D11" s="54"/>
      <c r="M11" s="54"/>
      <c r="DP11" s="2"/>
    </row>
    <row r="12" spans="1:121" x14ac:dyDescent="0.2">
      <c r="D12" s="54"/>
      <c r="M12" s="54"/>
      <c r="DP12" s="2"/>
    </row>
    <row r="13" spans="1:121" x14ac:dyDescent="0.2">
      <c r="D13" s="54"/>
      <c r="M13" s="54"/>
      <c r="DP13" s="2"/>
    </row>
    <row r="14" spans="1:121" x14ac:dyDescent="0.2">
      <c r="D14" s="54"/>
      <c r="M14" s="54"/>
      <c r="DP14" s="2"/>
    </row>
    <row r="15" spans="1:121" x14ac:dyDescent="0.2">
      <c r="D15" s="54"/>
      <c r="M15" s="54"/>
    </row>
    <row r="16" spans="1:121" x14ac:dyDescent="0.2">
      <c r="D16" s="54"/>
      <c r="M16" s="54"/>
    </row>
    <row r="17" spans="4:13" x14ac:dyDescent="0.2">
      <c r="D17" s="54"/>
      <c r="M17" s="54"/>
    </row>
    <row r="18" spans="4:13" x14ac:dyDescent="0.2">
      <c r="D18" s="54"/>
      <c r="M18" s="54"/>
    </row>
    <row r="19" spans="4:13" x14ac:dyDescent="0.2">
      <c r="D19" s="54"/>
    </row>
    <row r="20" spans="4:13" x14ac:dyDescent="0.2">
      <c r="D20" s="54"/>
    </row>
    <row r="21" spans="4:13" x14ac:dyDescent="0.2">
      <c r="D21" s="54"/>
    </row>
    <row r="22" spans="4:13" x14ac:dyDescent="0.2">
      <c r="D22" s="54"/>
    </row>
    <row r="23" spans="4:13" x14ac:dyDescent="0.2">
      <c r="D23" s="54"/>
    </row>
    <row r="24" spans="4:13" x14ac:dyDescent="0.2">
      <c r="D24" s="54"/>
    </row>
    <row r="25" spans="4:13" x14ac:dyDescent="0.2">
      <c r="D25" s="54"/>
    </row>
    <row r="26" spans="4:13" x14ac:dyDescent="0.2">
      <c r="D26" s="54"/>
    </row>
    <row r="27" spans="4:13" x14ac:dyDescent="0.2">
      <c r="D27" s="54"/>
    </row>
    <row r="28" spans="4:13" x14ac:dyDescent="0.2">
      <c r="D28" s="54"/>
    </row>
    <row r="29" spans="4:13" x14ac:dyDescent="0.2">
      <c r="D29" s="54"/>
    </row>
    <row r="30" spans="4:13" x14ac:dyDescent="0.2">
      <c r="D30" s="54"/>
    </row>
    <row r="31" spans="4:13" x14ac:dyDescent="0.2">
      <c r="D31" s="54"/>
    </row>
    <row r="32" spans="4:13" x14ac:dyDescent="0.2">
      <c r="D32" s="54"/>
    </row>
    <row r="33" spans="4:4" x14ac:dyDescent="0.2">
      <c r="D33" s="54"/>
    </row>
    <row r="34" spans="4:4" x14ac:dyDescent="0.2">
      <c r="D34" s="54"/>
    </row>
    <row r="35" spans="4:4" x14ac:dyDescent="0.2">
      <c r="D35" s="54"/>
    </row>
    <row r="36" spans="4:4" x14ac:dyDescent="0.2">
      <c r="D36" s="54"/>
    </row>
    <row r="37" spans="4:4" x14ac:dyDescent="0.2">
      <c r="D37" s="54"/>
    </row>
    <row r="38" spans="4:4" x14ac:dyDescent="0.2">
      <c r="D38" s="54"/>
    </row>
    <row r="39" spans="4:4" x14ac:dyDescent="0.2">
      <c r="D39" s="54"/>
    </row>
    <row r="40" spans="4:4" x14ac:dyDescent="0.2">
      <c r="D40" s="54"/>
    </row>
    <row r="41" spans="4:4" x14ac:dyDescent="0.2">
      <c r="D41" s="54"/>
    </row>
    <row r="42" spans="4:4" x14ac:dyDescent="0.2">
      <c r="D42" s="54"/>
    </row>
    <row r="43" spans="4:4" x14ac:dyDescent="0.2">
      <c r="D43" s="54"/>
    </row>
    <row r="44" spans="4:4" x14ac:dyDescent="0.2">
      <c r="D44" s="54"/>
    </row>
    <row r="45" spans="4:4" x14ac:dyDescent="0.2">
      <c r="D45" s="54"/>
    </row>
    <row r="46" spans="4:4" x14ac:dyDescent="0.2">
      <c r="D46" s="54"/>
    </row>
    <row r="47" spans="4:4" x14ac:dyDescent="0.2">
      <c r="D47" s="54"/>
    </row>
    <row r="48" spans="4:4" x14ac:dyDescent="0.2">
      <c r="D48" s="54"/>
    </row>
    <row r="49" spans="4:4" x14ac:dyDescent="0.2">
      <c r="D49" s="54"/>
    </row>
    <row r="50" spans="4:4" x14ac:dyDescent="0.2">
      <c r="D50" s="54"/>
    </row>
    <row r="51" spans="4:4" x14ac:dyDescent="0.2">
      <c r="D51" s="54"/>
    </row>
    <row r="52" spans="4:4" x14ac:dyDescent="0.2">
      <c r="D52" s="54"/>
    </row>
    <row r="53" spans="4:4" x14ac:dyDescent="0.2">
      <c r="D53" s="54"/>
    </row>
    <row r="54" spans="4:4" x14ac:dyDescent="0.2">
      <c r="D54" s="54"/>
    </row>
    <row r="55" spans="4:4" x14ac:dyDescent="0.2">
      <c r="D55" s="54"/>
    </row>
    <row r="56" spans="4:4" x14ac:dyDescent="0.2">
      <c r="D56" s="54"/>
    </row>
    <row r="57" spans="4:4" x14ac:dyDescent="0.2">
      <c r="D57" s="54"/>
    </row>
    <row r="58" spans="4:4" x14ac:dyDescent="0.2">
      <c r="D58" s="54"/>
    </row>
    <row r="59" spans="4:4" x14ac:dyDescent="0.2">
      <c r="D59" s="54"/>
    </row>
    <row r="60" spans="4:4" x14ac:dyDescent="0.2">
      <c r="D60" s="54"/>
    </row>
    <row r="61" spans="4:4" x14ac:dyDescent="0.2">
      <c r="D61" s="54"/>
    </row>
    <row r="62" spans="4:4" x14ac:dyDescent="0.2">
      <c r="D62" s="54"/>
    </row>
    <row r="63" spans="4:4" x14ac:dyDescent="0.2">
      <c r="D63" s="54"/>
    </row>
    <row r="64" spans="4:4" x14ac:dyDescent="0.2">
      <c r="D64" s="54"/>
    </row>
    <row r="65" spans="4:4" x14ac:dyDescent="0.2">
      <c r="D65" s="54"/>
    </row>
    <row r="66" spans="4:4" x14ac:dyDescent="0.2">
      <c r="D66" s="54"/>
    </row>
    <row r="67" spans="4:4" x14ac:dyDescent="0.2">
      <c r="D67" s="54"/>
    </row>
    <row r="68" spans="4:4" x14ac:dyDescent="0.2">
      <c r="D68" s="54"/>
    </row>
    <row r="69" spans="4:4" x14ac:dyDescent="0.2">
      <c r="D69" s="54"/>
    </row>
    <row r="70" spans="4:4" x14ac:dyDescent="0.2">
      <c r="D70" s="54"/>
    </row>
    <row r="71" spans="4:4" x14ac:dyDescent="0.2">
      <c r="D71" s="54"/>
    </row>
    <row r="72" spans="4:4" x14ac:dyDescent="0.2">
      <c r="D72" s="54"/>
    </row>
    <row r="73" spans="4:4" x14ac:dyDescent="0.2">
      <c r="D73" s="54"/>
    </row>
    <row r="74" spans="4:4" x14ac:dyDescent="0.2">
      <c r="D74" s="54"/>
    </row>
    <row r="75" spans="4:4" x14ac:dyDescent="0.2">
      <c r="D75" s="54"/>
    </row>
    <row r="76" spans="4:4" x14ac:dyDescent="0.2">
      <c r="D76" s="54"/>
    </row>
    <row r="77" spans="4:4" x14ac:dyDescent="0.2">
      <c r="D77" s="54"/>
    </row>
    <row r="78" spans="4:4" x14ac:dyDescent="0.2">
      <c r="D78" s="54"/>
    </row>
    <row r="79" spans="4:4" x14ac:dyDescent="0.2">
      <c r="D79" s="54"/>
    </row>
    <row r="80" spans="4:4" x14ac:dyDescent="0.2">
      <c r="D80" s="54"/>
    </row>
    <row r="81" spans="4:4" x14ac:dyDescent="0.2">
      <c r="D81" s="54"/>
    </row>
    <row r="82" spans="4:4" x14ac:dyDescent="0.2">
      <c r="D82" s="54"/>
    </row>
    <row r="83" spans="4:4" x14ac:dyDescent="0.2">
      <c r="D83" s="54"/>
    </row>
    <row r="84" spans="4:4" x14ac:dyDescent="0.2">
      <c r="D84" s="54"/>
    </row>
    <row r="85" spans="4:4" x14ac:dyDescent="0.2">
      <c r="D85" s="54"/>
    </row>
    <row r="86" spans="4:4" x14ac:dyDescent="0.2">
      <c r="D86" s="54"/>
    </row>
    <row r="87" spans="4:4" x14ac:dyDescent="0.2">
      <c r="D87" s="54"/>
    </row>
    <row r="88" spans="4:4" x14ac:dyDescent="0.2">
      <c r="D88" s="54"/>
    </row>
    <row r="89" spans="4:4" x14ac:dyDescent="0.2">
      <c r="D89" s="54"/>
    </row>
    <row r="90" spans="4:4" x14ac:dyDescent="0.2">
      <c r="D90" s="54"/>
    </row>
    <row r="91" spans="4:4" x14ac:dyDescent="0.2">
      <c r="D91" s="54"/>
    </row>
    <row r="92" spans="4:4" x14ac:dyDescent="0.2">
      <c r="D92" s="54"/>
    </row>
    <row r="93" spans="4:4" x14ac:dyDescent="0.2">
      <c r="D93" s="54"/>
    </row>
    <row r="94" spans="4:4" x14ac:dyDescent="0.2">
      <c r="D94" s="54"/>
    </row>
    <row r="95" spans="4:4" x14ac:dyDescent="0.2">
      <c r="D95" s="54"/>
    </row>
    <row r="96" spans="4:4" x14ac:dyDescent="0.2">
      <c r="D96" s="54"/>
    </row>
    <row r="97" spans="4:4" x14ac:dyDescent="0.2">
      <c r="D97" s="54"/>
    </row>
    <row r="98" spans="4:4" x14ac:dyDescent="0.2">
      <c r="D98" s="54"/>
    </row>
    <row r="99" spans="4:4" x14ac:dyDescent="0.2">
      <c r="D99" s="54"/>
    </row>
    <row r="100" spans="4:4" x14ac:dyDescent="0.2">
      <c r="D100" s="54"/>
    </row>
    <row r="101" spans="4:4" x14ac:dyDescent="0.2">
      <c r="D101" s="54"/>
    </row>
    <row r="102" spans="4:4" x14ac:dyDescent="0.2">
      <c r="D102" s="54"/>
    </row>
    <row r="103" spans="4:4" x14ac:dyDescent="0.2">
      <c r="D103" s="54"/>
    </row>
    <row r="104" spans="4:4" x14ac:dyDescent="0.2">
      <c r="D104" s="54"/>
    </row>
    <row r="105" spans="4:4" x14ac:dyDescent="0.2">
      <c r="D105" s="54"/>
    </row>
    <row r="106" spans="4:4" x14ac:dyDescent="0.2">
      <c r="D106" s="54"/>
    </row>
    <row r="107" spans="4:4" x14ac:dyDescent="0.2">
      <c r="D107" s="54"/>
    </row>
    <row r="108" spans="4:4" x14ac:dyDescent="0.2">
      <c r="D108" s="54"/>
    </row>
    <row r="109" spans="4:4" x14ac:dyDescent="0.2">
      <c r="D109" s="54"/>
    </row>
    <row r="110" spans="4:4" x14ac:dyDescent="0.2">
      <c r="D110" s="54"/>
    </row>
    <row r="111" spans="4:4" x14ac:dyDescent="0.2">
      <c r="D111" s="54"/>
    </row>
    <row r="112" spans="4:4" x14ac:dyDescent="0.2">
      <c r="D112" s="54"/>
    </row>
    <row r="113" spans="4:4" x14ac:dyDescent="0.2">
      <c r="D113" s="54"/>
    </row>
    <row r="114" spans="4:4" x14ac:dyDescent="0.2">
      <c r="D114" s="54"/>
    </row>
    <row r="115" spans="4:4" x14ac:dyDescent="0.2">
      <c r="D115" s="54"/>
    </row>
    <row r="116" spans="4:4" x14ac:dyDescent="0.2">
      <c r="D116" s="54"/>
    </row>
    <row r="117" spans="4:4" x14ac:dyDescent="0.2">
      <c r="D117" s="54"/>
    </row>
    <row r="118" spans="4:4" x14ac:dyDescent="0.2">
      <c r="D118" s="54"/>
    </row>
    <row r="119" spans="4:4" x14ac:dyDescent="0.2">
      <c r="D119" s="54"/>
    </row>
    <row r="120" spans="4:4" x14ac:dyDescent="0.2">
      <c r="D120" s="54"/>
    </row>
    <row r="121" spans="4:4" x14ac:dyDescent="0.2">
      <c r="D121" s="54"/>
    </row>
    <row r="122" spans="4:4" x14ac:dyDescent="0.2">
      <c r="D122" s="54"/>
    </row>
    <row r="123" spans="4:4" x14ac:dyDescent="0.2">
      <c r="D123" s="54"/>
    </row>
    <row r="124" spans="4:4" x14ac:dyDescent="0.2">
      <c r="D124" s="54"/>
    </row>
    <row r="125" spans="4:4" x14ac:dyDescent="0.2">
      <c r="D125" s="54"/>
    </row>
    <row r="126" spans="4:4" x14ac:dyDescent="0.2">
      <c r="D126" s="54"/>
    </row>
    <row r="127" spans="4:4" x14ac:dyDescent="0.2">
      <c r="D127" s="54"/>
    </row>
    <row r="128" spans="4:4" x14ac:dyDescent="0.2">
      <c r="D128" s="54"/>
    </row>
    <row r="129" spans="4:4" x14ac:dyDescent="0.2">
      <c r="D129" s="54"/>
    </row>
    <row r="130" spans="4:4" x14ac:dyDescent="0.2">
      <c r="D130" s="54"/>
    </row>
    <row r="131" spans="4:4" x14ac:dyDescent="0.2">
      <c r="D131" s="54"/>
    </row>
    <row r="132" spans="4:4" x14ac:dyDescent="0.2">
      <c r="D132" s="54"/>
    </row>
    <row r="133" spans="4:4" x14ac:dyDescent="0.2">
      <c r="D133" s="54"/>
    </row>
    <row r="134" spans="4:4" x14ac:dyDescent="0.2">
      <c r="D134" s="54"/>
    </row>
    <row r="135" spans="4:4" x14ac:dyDescent="0.2">
      <c r="D135" s="54"/>
    </row>
    <row r="136" spans="4:4" x14ac:dyDescent="0.2">
      <c r="D136" s="54"/>
    </row>
    <row r="137" spans="4:4" x14ac:dyDescent="0.2">
      <c r="D137" s="54"/>
    </row>
    <row r="138" spans="4:4" x14ac:dyDescent="0.2">
      <c r="D138" s="54"/>
    </row>
    <row r="139" spans="4:4" x14ac:dyDescent="0.2">
      <c r="D139" s="54"/>
    </row>
    <row r="140" spans="4:4" x14ac:dyDescent="0.2">
      <c r="D140" s="54"/>
    </row>
    <row r="141" spans="4:4" x14ac:dyDescent="0.2">
      <c r="D141" s="54"/>
    </row>
    <row r="142" spans="4:4" x14ac:dyDescent="0.2">
      <c r="D142" s="54"/>
    </row>
    <row r="143" spans="4:4" x14ac:dyDescent="0.2">
      <c r="D143" s="54"/>
    </row>
    <row r="144" spans="4:4" x14ac:dyDescent="0.2">
      <c r="D144" s="54"/>
    </row>
    <row r="145" spans="4:4" x14ac:dyDescent="0.2">
      <c r="D145" s="54"/>
    </row>
    <row r="146" spans="4:4" x14ac:dyDescent="0.2">
      <c r="D146" s="54"/>
    </row>
    <row r="147" spans="4:4" x14ac:dyDescent="0.2">
      <c r="D147" s="54"/>
    </row>
    <row r="148" spans="4:4" x14ac:dyDescent="0.2">
      <c r="D148" s="54"/>
    </row>
    <row r="149" spans="4:4" x14ac:dyDescent="0.2">
      <c r="D149" s="54"/>
    </row>
    <row r="150" spans="4:4" x14ac:dyDescent="0.2">
      <c r="D150" s="54"/>
    </row>
    <row r="151" spans="4:4" x14ac:dyDescent="0.2">
      <c r="D151" s="54"/>
    </row>
    <row r="152" spans="4:4" x14ac:dyDescent="0.2">
      <c r="D152" s="54"/>
    </row>
    <row r="153" spans="4:4" x14ac:dyDescent="0.2">
      <c r="D153" s="54"/>
    </row>
    <row r="154" spans="4:4" x14ac:dyDescent="0.2">
      <c r="D154" s="54"/>
    </row>
    <row r="155" spans="4:4" x14ac:dyDescent="0.2">
      <c r="D155" s="54"/>
    </row>
    <row r="156" spans="4:4" x14ac:dyDescent="0.2">
      <c r="D156" s="54"/>
    </row>
    <row r="157" spans="4:4" x14ac:dyDescent="0.2">
      <c r="D157" s="54"/>
    </row>
    <row r="158" spans="4:4" x14ac:dyDescent="0.2">
      <c r="D158" s="54"/>
    </row>
    <row r="159" spans="4:4" x14ac:dyDescent="0.2">
      <c r="D159" s="54"/>
    </row>
    <row r="160" spans="4:4" x14ac:dyDescent="0.2">
      <c r="D160" s="54"/>
    </row>
    <row r="161" spans="4:4" x14ac:dyDescent="0.2">
      <c r="D161" s="54"/>
    </row>
    <row r="162" spans="4:4" x14ac:dyDescent="0.2">
      <c r="D162" s="54"/>
    </row>
    <row r="163" spans="4:4" x14ac:dyDescent="0.2">
      <c r="D163" s="54"/>
    </row>
    <row r="164" spans="4:4" x14ac:dyDescent="0.2">
      <c r="D164" s="54"/>
    </row>
    <row r="165" spans="4:4" x14ac:dyDescent="0.2">
      <c r="D165" s="54"/>
    </row>
    <row r="166" spans="4:4" x14ac:dyDescent="0.2">
      <c r="D166" s="54"/>
    </row>
    <row r="167" spans="4:4" x14ac:dyDescent="0.2">
      <c r="D167" s="54"/>
    </row>
    <row r="168" spans="4:4" x14ac:dyDescent="0.2">
      <c r="D168" s="54"/>
    </row>
    <row r="169" spans="4:4" x14ac:dyDescent="0.2">
      <c r="D169" s="54"/>
    </row>
    <row r="170" spans="4:4" x14ac:dyDescent="0.2">
      <c r="D170" s="54"/>
    </row>
    <row r="171" spans="4:4" x14ac:dyDescent="0.2">
      <c r="D171" s="54"/>
    </row>
    <row r="172" spans="4:4" x14ac:dyDescent="0.2">
      <c r="D172" s="54"/>
    </row>
    <row r="173" spans="4:4" x14ac:dyDescent="0.2">
      <c r="D173" s="54"/>
    </row>
    <row r="174" spans="4:4" x14ac:dyDescent="0.2">
      <c r="D174" s="54"/>
    </row>
    <row r="175" spans="4:4" x14ac:dyDescent="0.2">
      <c r="D175" s="54"/>
    </row>
    <row r="176" spans="4:4" x14ac:dyDescent="0.2">
      <c r="D176" s="54"/>
    </row>
    <row r="177" spans="4:4" x14ac:dyDescent="0.2">
      <c r="D177" s="54"/>
    </row>
    <row r="178" spans="4:4" x14ac:dyDescent="0.2">
      <c r="D178" s="54"/>
    </row>
    <row r="179" spans="4:4" x14ac:dyDescent="0.2">
      <c r="D179" s="54"/>
    </row>
    <row r="180" spans="4:4" x14ac:dyDescent="0.2">
      <c r="D180" s="54"/>
    </row>
    <row r="181" spans="4:4" x14ac:dyDescent="0.2">
      <c r="D181" s="54"/>
    </row>
    <row r="182" spans="4:4" x14ac:dyDescent="0.2">
      <c r="D182" s="54"/>
    </row>
    <row r="183" spans="4:4" x14ac:dyDescent="0.2">
      <c r="D183" s="54"/>
    </row>
    <row r="184" spans="4:4" x14ac:dyDescent="0.2">
      <c r="D184" s="54"/>
    </row>
    <row r="185" spans="4:4" x14ac:dyDescent="0.2">
      <c r="D185" s="54"/>
    </row>
    <row r="186" spans="4:4" x14ac:dyDescent="0.2">
      <c r="D186" s="54"/>
    </row>
    <row r="187" spans="4:4" x14ac:dyDescent="0.2">
      <c r="D187" s="54"/>
    </row>
    <row r="188" spans="4:4" x14ac:dyDescent="0.2">
      <c r="D188" s="54"/>
    </row>
    <row r="189" spans="4:4" x14ac:dyDescent="0.2">
      <c r="D189" s="54"/>
    </row>
    <row r="190" spans="4:4" x14ac:dyDescent="0.2">
      <c r="D190" s="54"/>
    </row>
    <row r="191" spans="4:4" x14ac:dyDescent="0.2">
      <c r="D191" s="54"/>
    </row>
    <row r="192" spans="4:4" x14ac:dyDescent="0.2">
      <c r="D192" s="54"/>
    </row>
    <row r="193" spans="4:4" x14ac:dyDescent="0.2">
      <c r="D193" s="54"/>
    </row>
    <row r="194" spans="4:4" x14ac:dyDescent="0.2">
      <c r="D194" s="54"/>
    </row>
    <row r="195" spans="4:4" x14ac:dyDescent="0.2">
      <c r="D195" s="54"/>
    </row>
    <row r="196" spans="4:4" x14ac:dyDescent="0.2">
      <c r="D196" s="54"/>
    </row>
    <row r="197" spans="4:4" x14ac:dyDescent="0.2">
      <c r="D197" s="54"/>
    </row>
    <row r="198" spans="4:4" x14ac:dyDescent="0.2">
      <c r="D198" s="54"/>
    </row>
    <row r="199" spans="4:4" x14ac:dyDescent="0.2">
      <c r="D199" s="54"/>
    </row>
    <row r="200" spans="4:4" x14ac:dyDescent="0.2">
      <c r="D200" s="54"/>
    </row>
    <row r="201" spans="4:4" x14ac:dyDescent="0.2">
      <c r="D201" s="54"/>
    </row>
    <row r="202" spans="4:4" x14ac:dyDescent="0.2">
      <c r="D202" s="54"/>
    </row>
    <row r="203" spans="4:4" x14ac:dyDescent="0.2">
      <c r="D203" s="54"/>
    </row>
    <row r="204" spans="4:4" x14ac:dyDescent="0.2">
      <c r="D204" s="54"/>
    </row>
    <row r="205" spans="4:4" x14ac:dyDescent="0.2">
      <c r="D205" s="54"/>
    </row>
    <row r="206" spans="4:4" x14ac:dyDescent="0.2">
      <c r="D206" s="54"/>
    </row>
    <row r="207" spans="4:4" x14ac:dyDescent="0.2">
      <c r="D207" s="54"/>
    </row>
    <row r="208" spans="4:4" x14ac:dyDescent="0.2">
      <c r="D208" s="54"/>
    </row>
    <row r="209" spans="4:4" x14ac:dyDescent="0.2">
      <c r="D209" s="54"/>
    </row>
    <row r="210" spans="4:4" x14ac:dyDescent="0.2">
      <c r="D210" s="54"/>
    </row>
    <row r="211" spans="4:4" x14ac:dyDescent="0.2">
      <c r="D211" s="54"/>
    </row>
    <row r="212" spans="4:4" x14ac:dyDescent="0.2">
      <c r="D212" s="54"/>
    </row>
    <row r="213" spans="4:4" x14ac:dyDescent="0.2">
      <c r="D213" s="54"/>
    </row>
    <row r="214" spans="4:4" x14ac:dyDescent="0.2">
      <c r="D214" s="54"/>
    </row>
    <row r="215" spans="4:4" x14ac:dyDescent="0.2">
      <c r="D215" s="54"/>
    </row>
    <row r="216" spans="4:4" x14ac:dyDescent="0.2">
      <c r="D216" s="54"/>
    </row>
    <row r="217" spans="4:4" x14ac:dyDescent="0.2">
      <c r="D217" s="54"/>
    </row>
    <row r="218" spans="4:4" x14ac:dyDescent="0.2">
      <c r="D218" s="54"/>
    </row>
    <row r="219" spans="4:4" x14ac:dyDescent="0.2">
      <c r="D219" s="54"/>
    </row>
    <row r="220" spans="4:4" x14ac:dyDescent="0.2">
      <c r="D220" s="54"/>
    </row>
    <row r="221" spans="4:4" x14ac:dyDescent="0.2">
      <c r="D221" s="54"/>
    </row>
    <row r="222" spans="4:4" x14ac:dyDescent="0.2">
      <c r="D222" s="54"/>
    </row>
    <row r="223" spans="4:4" x14ac:dyDescent="0.2">
      <c r="D223" s="54"/>
    </row>
    <row r="224" spans="4:4" x14ac:dyDescent="0.2">
      <c r="D224" s="54"/>
    </row>
    <row r="225" spans="4:4" x14ac:dyDescent="0.2">
      <c r="D225" s="54"/>
    </row>
    <row r="226" spans="4:4" x14ac:dyDescent="0.2">
      <c r="D226" s="54"/>
    </row>
    <row r="227" spans="4:4" x14ac:dyDescent="0.2">
      <c r="D227" s="54"/>
    </row>
    <row r="228" spans="4:4" x14ac:dyDescent="0.2">
      <c r="D228" s="54"/>
    </row>
    <row r="229" spans="4:4" x14ac:dyDescent="0.2">
      <c r="D229" s="54"/>
    </row>
    <row r="230" spans="4:4" x14ac:dyDescent="0.2">
      <c r="D230" s="54"/>
    </row>
    <row r="231" spans="4:4" x14ac:dyDescent="0.2">
      <c r="D231" s="54"/>
    </row>
    <row r="232" spans="4:4" x14ac:dyDescent="0.2">
      <c r="D232" s="54"/>
    </row>
    <row r="233" spans="4:4" x14ac:dyDescent="0.2">
      <c r="D233" s="54"/>
    </row>
    <row r="234" spans="4:4" x14ac:dyDescent="0.2">
      <c r="D234" s="54"/>
    </row>
    <row r="235" spans="4:4" x14ac:dyDescent="0.2">
      <c r="D235" s="54"/>
    </row>
    <row r="236" spans="4:4" x14ac:dyDescent="0.2">
      <c r="D236" s="54"/>
    </row>
    <row r="237" spans="4:4" x14ac:dyDescent="0.2">
      <c r="D237" s="54"/>
    </row>
    <row r="238" spans="4:4" x14ac:dyDescent="0.2">
      <c r="D238" s="54"/>
    </row>
    <row r="239" spans="4:4" x14ac:dyDescent="0.2">
      <c r="D239" s="54"/>
    </row>
    <row r="240" spans="4:4" x14ac:dyDescent="0.2">
      <c r="D240" s="54"/>
    </row>
    <row r="241" spans="4:4" x14ac:dyDescent="0.2">
      <c r="D241" s="54"/>
    </row>
    <row r="242" spans="4:4" x14ac:dyDescent="0.2">
      <c r="D242" s="54"/>
    </row>
    <row r="243" spans="4:4" x14ac:dyDescent="0.2">
      <c r="D243" s="54"/>
    </row>
    <row r="244" spans="4:4" x14ac:dyDescent="0.2">
      <c r="D244" s="54"/>
    </row>
    <row r="245" spans="4:4" x14ac:dyDescent="0.2">
      <c r="D245" s="54"/>
    </row>
    <row r="246" spans="4:4" x14ac:dyDescent="0.2">
      <c r="D246" s="54"/>
    </row>
    <row r="247" spans="4:4" x14ac:dyDescent="0.2">
      <c r="D247" s="54"/>
    </row>
    <row r="248" spans="4:4" x14ac:dyDescent="0.2">
      <c r="D248" s="54"/>
    </row>
    <row r="249" spans="4:4" x14ac:dyDescent="0.2">
      <c r="D249" s="54"/>
    </row>
    <row r="250" spans="4:4" x14ac:dyDescent="0.2">
      <c r="D250" s="54"/>
    </row>
    <row r="251" spans="4:4" x14ac:dyDescent="0.2">
      <c r="D251" s="54"/>
    </row>
    <row r="252" spans="4:4" x14ac:dyDescent="0.2">
      <c r="D252" s="54"/>
    </row>
    <row r="253" spans="4:4" x14ac:dyDescent="0.2">
      <c r="D253" s="54"/>
    </row>
    <row r="254" spans="4:4" x14ac:dyDescent="0.2">
      <c r="D254" s="54"/>
    </row>
    <row r="255" spans="4:4" x14ac:dyDescent="0.2">
      <c r="D255" s="54"/>
    </row>
    <row r="256" spans="4:4" x14ac:dyDescent="0.2">
      <c r="D256" s="54"/>
    </row>
    <row r="257" spans="4:4" x14ac:dyDescent="0.2">
      <c r="D257" s="54"/>
    </row>
    <row r="258" spans="4:4" x14ac:dyDescent="0.2">
      <c r="D258" s="54"/>
    </row>
    <row r="259" spans="4:4" x14ac:dyDescent="0.2">
      <c r="D259" s="54"/>
    </row>
    <row r="260" spans="4:4" x14ac:dyDescent="0.2">
      <c r="D260" s="54"/>
    </row>
    <row r="261" spans="4:4" x14ac:dyDescent="0.2">
      <c r="D261" s="54"/>
    </row>
    <row r="262" spans="4:4" x14ac:dyDescent="0.2">
      <c r="D262" s="54"/>
    </row>
    <row r="263" spans="4:4" x14ac:dyDescent="0.2">
      <c r="D263" s="54"/>
    </row>
    <row r="264" spans="4:4" x14ac:dyDescent="0.2">
      <c r="D264" s="54"/>
    </row>
    <row r="265" spans="4:4" x14ac:dyDescent="0.2">
      <c r="D265" s="54"/>
    </row>
    <row r="266" spans="4:4" x14ac:dyDescent="0.2">
      <c r="D266" s="54"/>
    </row>
    <row r="267" spans="4:4" x14ac:dyDescent="0.2">
      <c r="D267" s="54"/>
    </row>
    <row r="268" spans="4:4" x14ac:dyDescent="0.2">
      <c r="D268" s="54"/>
    </row>
    <row r="269" spans="4:4" x14ac:dyDescent="0.2">
      <c r="D269" s="54"/>
    </row>
    <row r="270" spans="4:4" x14ac:dyDescent="0.2">
      <c r="D270" s="54"/>
    </row>
    <row r="271" spans="4:4" x14ac:dyDescent="0.2">
      <c r="D271" s="54"/>
    </row>
    <row r="272" spans="4:4" x14ac:dyDescent="0.2">
      <c r="D272" s="54"/>
    </row>
    <row r="273" spans="4:4" x14ac:dyDescent="0.2">
      <c r="D273" s="54"/>
    </row>
    <row r="274" spans="4:4" x14ac:dyDescent="0.2">
      <c r="D274" s="54"/>
    </row>
    <row r="275" spans="4:4" x14ac:dyDescent="0.2">
      <c r="D275" s="54"/>
    </row>
    <row r="276" spans="4:4" x14ac:dyDescent="0.2">
      <c r="D276" s="54"/>
    </row>
    <row r="277" spans="4:4" x14ac:dyDescent="0.2">
      <c r="D277" s="54"/>
    </row>
    <row r="278" spans="4:4" x14ac:dyDescent="0.2">
      <c r="D278" s="54"/>
    </row>
    <row r="279" spans="4:4" x14ac:dyDescent="0.2">
      <c r="D279" s="54"/>
    </row>
    <row r="280" spans="4:4" x14ac:dyDescent="0.2">
      <c r="D280" s="54"/>
    </row>
    <row r="281" spans="4:4" x14ac:dyDescent="0.2">
      <c r="D281" s="54"/>
    </row>
    <row r="282" spans="4:4" x14ac:dyDescent="0.2">
      <c r="D282" s="54"/>
    </row>
    <row r="283" spans="4:4" x14ac:dyDescent="0.2">
      <c r="D283" s="54"/>
    </row>
    <row r="284" spans="4:4" x14ac:dyDescent="0.2">
      <c r="D284" s="54"/>
    </row>
    <row r="285" spans="4:4" x14ac:dyDescent="0.2">
      <c r="D285" s="54"/>
    </row>
    <row r="286" spans="4:4" x14ac:dyDescent="0.2">
      <c r="D286" s="54"/>
    </row>
    <row r="287" spans="4:4" x14ac:dyDescent="0.2">
      <c r="D287" s="54"/>
    </row>
    <row r="288" spans="4:4" x14ac:dyDescent="0.2">
      <c r="D288" s="54"/>
    </row>
    <row r="289" spans="4:4" x14ac:dyDescent="0.2">
      <c r="D289" s="54"/>
    </row>
    <row r="290" spans="4:4" x14ac:dyDescent="0.2">
      <c r="D290" s="54"/>
    </row>
    <row r="291" spans="4:4" x14ac:dyDescent="0.2">
      <c r="D291" s="54"/>
    </row>
    <row r="292" spans="4:4" x14ac:dyDescent="0.2">
      <c r="D292" s="54"/>
    </row>
    <row r="293" spans="4:4" x14ac:dyDescent="0.2">
      <c r="D293" s="54"/>
    </row>
    <row r="294" spans="4:4" x14ac:dyDescent="0.2">
      <c r="D294" s="54"/>
    </row>
    <row r="295" spans="4:4" x14ac:dyDescent="0.2">
      <c r="D295" s="54"/>
    </row>
    <row r="296" spans="4:4" x14ac:dyDescent="0.2">
      <c r="D296" s="54"/>
    </row>
    <row r="297" spans="4:4" x14ac:dyDescent="0.2">
      <c r="D297" s="54"/>
    </row>
    <row r="298" spans="4:4" x14ac:dyDescent="0.2">
      <c r="D298" s="54"/>
    </row>
    <row r="299" spans="4:4" x14ac:dyDescent="0.2">
      <c r="D299" s="54"/>
    </row>
    <row r="300" spans="4:4" x14ac:dyDescent="0.2">
      <c r="D300" s="54"/>
    </row>
    <row r="301" spans="4:4" x14ac:dyDescent="0.2">
      <c r="D301" s="54"/>
    </row>
    <row r="302" spans="4:4" x14ac:dyDescent="0.2">
      <c r="D302" s="54"/>
    </row>
    <row r="303" spans="4:4" x14ac:dyDescent="0.2">
      <c r="D303" s="54"/>
    </row>
    <row r="304" spans="4:4" x14ac:dyDescent="0.2">
      <c r="D304" s="54"/>
    </row>
    <row r="305" spans="4:4" x14ac:dyDescent="0.2">
      <c r="D305" s="54"/>
    </row>
    <row r="306" spans="4:4" x14ac:dyDescent="0.2">
      <c r="D306" s="54"/>
    </row>
    <row r="307" spans="4:4" x14ac:dyDescent="0.2">
      <c r="D307" s="54"/>
    </row>
    <row r="308" spans="4:4" x14ac:dyDescent="0.2">
      <c r="D308" s="54"/>
    </row>
    <row r="309" spans="4:4" x14ac:dyDescent="0.2">
      <c r="D309" s="54"/>
    </row>
    <row r="310" spans="4:4" x14ac:dyDescent="0.2">
      <c r="D310" s="54"/>
    </row>
    <row r="311" spans="4:4" x14ac:dyDescent="0.2">
      <c r="D311" s="54"/>
    </row>
    <row r="312" spans="4:4" x14ac:dyDescent="0.2">
      <c r="D312" s="54"/>
    </row>
    <row r="313" spans="4:4" x14ac:dyDescent="0.2">
      <c r="D313" s="54"/>
    </row>
    <row r="314" spans="4:4" x14ac:dyDescent="0.2">
      <c r="D314" s="54"/>
    </row>
    <row r="315" spans="4:4" x14ac:dyDescent="0.2">
      <c r="D315" s="54"/>
    </row>
    <row r="316" spans="4:4" x14ac:dyDescent="0.2">
      <c r="D316" s="54"/>
    </row>
    <row r="317" spans="4:4" x14ac:dyDescent="0.2">
      <c r="D317" s="54"/>
    </row>
    <row r="318" spans="4:4" x14ac:dyDescent="0.2">
      <c r="D318" s="54"/>
    </row>
    <row r="319" spans="4:4" x14ac:dyDescent="0.2">
      <c r="D319" s="54"/>
    </row>
    <row r="320" spans="4:4" x14ac:dyDescent="0.2">
      <c r="D320" s="54"/>
    </row>
    <row r="321" spans="4:4" x14ac:dyDescent="0.2">
      <c r="D321" s="54"/>
    </row>
    <row r="322" spans="4:4" x14ac:dyDescent="0.2">
      <c r="D322" s="54"/>
    </row>
    <row r="323" spans="4:4" x14ac:dyDescent="0.2">
      <c r="D323" s="54"/>
    </row>
    <row r="324" spans="4:4" x14ac:dyDescent="0.2">
      <c r="D324" s="54"/>
    </row>
    <row r="325" spans="4:4" x14ac:dyDescent="0.2">
      <c r="D325" s="54"/>
    </row>
    <row r="326" spans="4:4" x14ac:dyDescent="0.2">
      <c r="D326" s="54"/>
    </row>
    <row r="327" spans="4:4" x14ac:dyDescent="0.2">
      <c r="D327" s="54"/>
    </row>
    <row r="328" spans="4:4" x14ac:dyDescent="0.2">
      <c r="D328" s="54"/>
    </row>
    <row r="329" spans="4:4" x14ac:dyDescent="0.2">
      <c r="D329" s="54"/>
    </row>
    <row r="330" spans="4:4" x14ac:dyDescent="0.2">
      <c r="D330" s="54"/>
    </row>
    <row r="331" spans="4:4" x14ac:dyDescent="0.2">
      <c r="D331" s="54"/>
    </row>
    <row r="332" spans="4:4" x14ac:dyDescent="0.2">
      <c r="D332" s="54"/>
    </row>
    <row r="333" spans="4:4" x14ac:dyDescent="0.2">
      <c r="D333" s="54"/>
    </row>
    <row r="334" spans="4:4" x14ac:dyDescent="0.2">
      <c r="D334" s="54"/>
    </row>
    <row r="335" spans="4:4" x14ac:dyDescent="0.2">
      <c r="D335" s="54"/>
    </row>
    <row r="336" spans="4:4" x14ac:dyDescent="0.2">
      <c r="D336" s="54"/>
    </row>
    <row r="337" spans="4:4" x14ac:dyDescent="0.2">
      <c r="D337" s="54"/>
    </row>
    <row r="338" spans="4:4" x14ac:dyDescent="0.2">
      <c r="D338" s="54"/>
    </row>
    <row r="339" spans="4:4" x14ac:dyDescent="0.2">
      <c r="D339" s="54"/>
    </row>
    <row r="340" spans="4:4" x14ac:dyDescent="0.2">
      <c r="D340" s="54"/>
    </row>
    <row r="341" spans="4:4" x14ac:dyDescent="0.2">
      <c r="D341" s="54"/>
    </row>
    <row r="342" spans="4:4" x14ac:dyDescent="0.2">
      <c r="D342" s="54"/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Z118"/>
  <sheetViews>
    <sheetView tabSelected="1" zoomScaleNormal="100" zoomScaleSheetLayoutView="100" workbookViewId="0">
      <selection sqref="A1:G1"/>
    </sheetView>
  </sheetViews>
  <sheetFormatPr defaultColWidth="8.88671875" defaultRowHeight="18.899999999999999" customHeight="1" outlineLevelRow="1" x14ac:dyDescent="0.2"/>
  <cols>
    <col min="1" max="1" width="7" style="8" customWidth="1"/>
    <col min="2" max="2" width="6.6640625" style="32" customWidth="1"/>
    <col min="3" max="3" width="2.88671875" style="32" hidden="1" customWidth="1"/>
    <col min="4" max="4" width="7.109375" style="32" hidden="1" customWidth="1"/>
    <col min="5" max="5" width="5.21875" style="32" hidden="1" customWidth="1"/>
    <col min="6" max="6" width="12.6640625" style="14" customWidth="1"/>
    <col min="7" max="7" width="5.6640625" style="13" customWidth="1"/>
    <col min="8" max="8" width="12.6640625" style="14" customWidth="1"/>
    <col min="9" max="9" width="10.109375" style="10" customWidth="1"/>
    <col min="10" max="10" width="5.6640625" style="34" customWidth="1"/>
    <col min="11" max="12" width="10.109375" style="10" customWidth="1"/>
    <col min="13" max="13" width="5.6640625" style="34" customWidth="1"/>
    <col min="14" max="15" width="10.109375" style="10" customWidth="1"/>
    <col min="16" max="16" width="5.6640625" style="34" customWidth="1"/>
    <col min="17" max="18" width="10.109375" style="10" customWidth="1"/>
    <col min="19" max="19" width="5.6640625" style="34" customWidth="1"/>
    <col min="20" max="21" width="10.109375" style="10" customWidth="1"/>
    <col min="22" max="22" width="5.6640625" style="34" customWidth="1"/>
    <col min="23" max="24" width="10.109375" style="10" customWidth="1"/>
    <col min="25" max="25" width="5.6640625" style="34" customWidth="1"/>
    <col min="26" max="26" width="10.109375" style="10" customWidth="1"/>
    <col min="27" max="27" width="1.21875" style="8" customWidth="1"/>
    <col min="28" max="16384" width="8.88671875" style="8"/>
  </cols>
  <sheetData>
    <row r="1" spans="1:26" ht="15" customHeight="1" x14ac:dyDescent="0.2">
      <c r="A1" s="202" t="s">
        <v>77</v>
      </c>
      <c r="B1" s="203"/>
      <c r="C1" s="203"/>
      <c r="D1" s="203"/>
      <c r="E1" s="203"/>
      <c r="F1" s="203"/>
      <c r="G1" s="204"/>
      <c r="H1" s="12"/>
      <c r="I1" s="11"/>
      <c r="J1" s="7"/>
      <c r="K1" s="14"/>
      <c r="L1"/>
      <c r="M1"/>
      <c r="N1"/>
      <c r="O1"/>
      <c r="P1"/>
      <c r="Q1"/>
      <c r="R1" s="14"/>
      <c r="S1" s="8"/>
      <c r="T1" s="14"/>
      <c r="U1" s="14"/>
      <c r="V1" s="8"/>
      <c r="W1" s="14"/>
      <c r="X1" s="14"/>
      <c r="Y1" s="8"/>
      <c r="Z1" s="14"/>
    </row>
    <row r="2" spans="1:26" ht="15" customHeight="1" x14ac:dyDescent="0.2">
      <c r="A2" s="211" t="s">
        <v>0</v>
      </c>
      <c r="B2" s="212"/>
      <c r="C2" s="120"/>
      <c r="D2" s="119"/>
      <c r="E2" s="119"/>
      <c r="F2" s="205" t="str">
        <f>YEAR(I2)-1978+1&amp;"期"</f>
        <v>46期</v>
      </c>
      <c r="G2" s="206"/>
      <c r="H2" s="207"/>
      <c r="I2" s="208">
        <v>45170</v>
      </c>
      <c r="J2" s="209"/>
      <c r="K2" s="210"/>
      <c r="L2"/>
      <c r="M2"/>
      <c r="N2"/>
      <c r="O2"/>
      <c r="P2"/>
      <c r="Q2"/>
      <c r="R2" s="201"/>
      <c r="S2" s="201"/>
      <c r="T2" s="201"/>
      <c r="U2" s="201"/>
      <c r="V2" s="201"/>
      <c r="W2" s="201"/>
      <c r="X2" s="201"/>
      <c r="Y2" s="201"/>
      <c r="Z2" s="201"/>
    </row>
    <row r="3" spans="1:26" ht="6.75" hidden="1" customHeight="1" x14ac:dyDescent="0.2">
      <c r="A3" s="52"/>
      <c r="B3" s="51"/>
      <c r="C3" s="53"/>
      <c r="D3" s="15"/>
      <c r="E3" s="15"/>
      <c r="F3" s="16" t="s">
        <v>21</v>
      </c>
      <c r="G3" s="17"/>
      <c r="H3" s="18" t="s">
        <v>22</v>
      </c>
      <c r="I3" s="19" t="s">
        <v>20</v>
      </c>
      <c r="J3" s="20"/>
      <c r="K3" s="21" t="s">
        <v>22</v>
      </c>
      <c r="L3"/>
      <c r="M3"/>
      <c r="N3"/>
      <c r="O3"/>
      <c r="P3"/>
      <c r="Q3"/>
      <c r="R3" s="22"/>
      <c r="S3" s="9"/>
      <c r="T3" s="22"/>
      <c r="U3" s="22"/>
      <c r="V3" s="9"/>
      <c r="W3" s="22"/>
      <c r="X3" s="22"/>
      <c r="Y3" s="9"/>
      <c r="Z3" s="22"/>
    </row>
    <row r="4" spans="1:26" s="33" customFormat="1" ht="15" customHeight="1" x14ac:dyDescent="0.2">
      <c r="A4" s="182" t="s">
        <v>100</v>
      </c>
      <c r="B4" s="183"/>
      <c r="C4" s="121">
        <v>0</v>
      </c>
      <c r="D4" s="121"/>
      <c r="E4" s="122"/>
      <c r="F4" s="184">
        <f>SUM(I4:N4)</f>
        <v>0</v>
      </c>
      <c r="G4" s="185"/>
      <c r="H4" s="186"/>
      <c r="I4" s="187">
        <f>SUMIF($C10:$C36,$C4,I10:I36)</f>
        <v>0</v>
      </c>
      <c r="J4" s="188">
        <f t="shared" ref="J4:K4" si="0">SUMIF($C9:$C35,$C4,J9:J35)</f>
        <v>0</v>
      </c>
      <c r="K4" s="189">
        <f t="shared" si="0"/>
        <v>0</v>
      </c>
      <c r="L4"/>
      <c r="M4"/>
      <c r="N4"/>
      <c r="O4"/>
      <c r="P4"/>
      <c r="Q4"/>
      <c r="R4" s="23"/>
      <c r="S4" s="99"/>
      <c r="T4" s="23"/>
      <c r="U4" s="23"/>
      <c r="V4" s="99"/>
      <c r="W4" s="22"/>
      <c r="X4" s="23"/>
      <c r="Y4" s="99"/>
      <c r="Z4" s="22"/>
    </row>
    <row r="5" spans="1:26" s="33" customFormat="1" ht="10.5" hidden="1" customHeight="1" x14ac:dyDescent="0.2">
      <c r="A5" s="127" t="s">
        <v>107</v>
      </c>
      <c r="B5" s="128"/>
      <c r="C5" s="129">
        <v>1</v>
      </c>
      <c r="D5" s="129"/>
      <c r="E5" s="130"/>
      <c r="F5" s="131"/>
      <c r="G5" s="132"/>
      <c r="H5" s="133">
        <f>SUM(I5:N5)</f>
        <v>0</v>
      </c>
      <c r="I5" s="134"/>
      <c r="J5" s="135"/>
      <c r="K5" s="136">
        <f>SUMIF($C10:$C36,$C5,K10:K36)</f>
        <v>0</v>
      </c>
      <c r="L5"/>
      <c r="M5"/>
      <c r="N5"/>
      <c r="O5"/>
      <c r="P5"/>
      <c r="Q5"/>
      <c r="R5" s="23"/>
      <c r="S5" s="99"/>
      <c r="T5" s="23"/>
      <c r="U5" s="23"/>
      <c r="V5" s="99"/>
      <c r="W5" s="22"/>
      <c r="X5" s="23"/>
      <c r="Y5" s="99"/>
      <c r="Z5" s="22"/>
    </row>
    <row r="6" spans="1:26" s="33" customFormat="1" ht="15" customHeight="1" x14ac:dyDescent="0.2">
      <c r="A6" s="190" t="s">
        <v>78</v>
      </c>
      <c r="B6" s="191"/>
      <c r="C6" s="123"/>
      <c r="D6" s="123"/>
      <c r="E6" s="124"/>
      <c r="F6" s="172">
        <f>SUMIF(I$3:N$3,$F$3,I6:N6)</f>
        <v>0</v>
      </c>
      <c r="G6" s="173"/>
      <c r="H6" s="67">
        <f>IF(ISERROR(F6/F4),0,F6/F4)</f>
        <v>0</v>
      </c>
      <c r="I6" s="174">
        <f>I4-K5</f>
        <v>0</v>
      </c>
      <c r="J6" s="175"/>
      <c r="K6" s="68">
        <f>IF(ISERROR(I6/I4),0,I6/I4)</f>
        <v>0</v>
      </c>
      <c r="L6"/>
      <c r="M6"/>
      <c r="N6"/>
      <c r="O6"/>
      <c r="P6"/>
      <c r="Q6"/>
      <c r="R6" s="23"/>
      <c r="S6" s="99"/>
      <c r="T6" s="23"/>
      <c r="U6" s="23"/>
      <c r="V6" s="99"/>
      <c r="W6" s="22"/>
      <c r="X6" s="23"/>
      <c r="Y6" s="99"/>
      <c r="Z6" s="22"/>
    </row>
    <row r="7" spans="1:26" s="33" customFormat="1" ht="15" customHeight="1" x14ac:dyDescent="0.2">
      <c r="A7" s="170" t="s">
        <v>101</v>
      </c>
      <c r="B7" s="171"/>
      <c r="C7" s="123">
        <v>0</v>
      </c>
      <c r="D7" s="123"/>
      <c r="E7" s="124"/>
      <c r="F7" s="172">
        <f t="shared" ref="F7:F8" si="1">SUMIF(I$3:N$3,$F$3,I7:N7)</f>
        <v>0</v>
      </c>
      <c r="G7" s="173"/>
      <c r="H7" s="67">
        <f>IF(ISERROR(F7/F4),0,F7/F4)</f>
        <v>0</v>
      </c>
      <c r="I7" s="174">
        <f>IFERROR(INDEX(DB!統計集計先_人件費一般費,MATCH($C7&amp;"-"&amp;I$2,INDEX(DB!統計集計先_CD&amp;"-"&amp;DB!統計集計先_年月,),0)),0)</f>
        <v>0</v>
      </c>
      <c r="J7" s="175"/>
      <c r="K7" s="68">
        <f>IF(ISERROR(I7/I4),0,I7/I4)</f>
        <v>0</v>
      </c>
      <c r="L7"/>
      <c r="M7"/>
      <c r="N7"/>
      <c r="O7"/>
      <c r="P7"/>
      <c r="Q7"/>
      <c r="R7" s="23"/>
      <c r="S7" s="99"/>
      <c r="T7" s="23"/>
      <c r="U7" s="23"/>
      <c r="V7" s="99"/>
      <c r="W7" s="23"/>
      <c r="X7" s="23"/>
      <c r="Y7" s="99"/>
      <c r="Z7" s="23"/>
    </row>
    <row r="8" spans="1:26" s="33" customFormat="1" ht="15" customHeight="1" x14ac:dyDescent="0.2">
      <c r="A8" s="176" t="s">
        <v>102</v>
      </c>
      <c r="B8" s="177"/>
      <c r="C8" s="125"/>
      <c r="D8" s="125"/>
      <c r="E8" s="126"/>
      <c r="F8" s="178">
        <f t="shared" si="1"/>
        <v>0</v>
      </c>
      <c r="G8" s="179"/>
      <c r="H8" s="69">
        <f>IF(ISERROR(F8/F4),0,F8/F4)</f>
        <v>0</v>
      </c>
      <c r="I8" s="180">
        <f>I6-I7</f>
        <v>0</v>
      </c>
      <c r="J8" s="181"/>
      <c r="K8" s="70">
        <f>IF(ISERROR(I8/I4),0,I8/I4)</f>
        <v>0</v>
      </c>
      <c r="L8"/>
      <c r="M8"/>
      <c r="N8"/>
      <c r="O8"/>
      <c r="P8"/>
      <c r="Q8"/>
      <c r="R8" s="23"/>
      <c r="S8" s="99"/>
      <c r="T8" s="23"/>
      <c r="U8" s="23"/>
      <c r="V8" s="99"/>
      <c r="W8" s="23"/>
      <c r="X8" s="23"/>
      <c r="Y8" s="99"/>
      <c r="Z8" s="23"/>
    </row>
    <row r="9" spans="1:26" s="33" customFormat="1" ht="15" customHeight="1" x14ac:dyDescent="0.2">
      <c r="A9" s="71"/>
      <c r="B9" s="72" t="s">
        <v>73</v>
      </c>
      <c r="C9" s="73"/>
      <c r="D9" s="74"/>
      <c r="E9" s="74">
        <v>20</v>
      </c>
      <c r="F9" s="75">
        <f>SUMIF(I$3:N$3,$F$3,I9:N9)</f>
        <v>0</v>
      </c>
      <c r="G9" s="39" t="s">
        <v>74</v>
      </c>
      <c r="H9" s="76">
        <f>SUMIF(I$3:N$3,$H$3,I9:N9)</f>
        <v>0</v>
      </c>
      <c r="I9" s="77">
        <f>SUMIF($B$37:$B$100,$B9,I$37:I$100)</f>
        <v>0</v>
      </c>
      <c r="J9" s="39" t="s">
        <v>75</v>
      </c>
      <c r="K9" s="50">
        <f>SUMIF($B$37:$B$100,$B9,K$37:K$100)</f>
        <v>0</v>
      </c>
      <c r="L9"/>
      <c r="M9"/>
      <c r="N9"/>
      <c r="O9"/>
      <c r="P9"/>
      <c r="Q9"/>
      <c r="R9" s="23"/>
      <c r="S9" s="99"/>
      <c r="T9" s="23"/>
      <c r="U9" s="23"/>
      <c r="V9" s="99"/>
      <c r="W9" s="23"/>
      <c r="X9" s="23"/>
      <c r="Y9" s="99"/>
      <c r="Z9" s="23"/>
    </row>
    <row r="10" spans="1:26" ht="15" customHeight="1" x14ac:dyDescent="0.2">
      <c r="A10" s="151" t="s">
        <v>100</v>
      </c>
      <c r="B10" s="152"/>
      <c r="C10" s="78">
        <v>0</v>
      </c>
      <c r="D10" s="78"/>
      <c r="E10" s="78"/>
      <c r="F10" s="153">
        <f>SUM(H13:H18)</f>
        <v>0</v>
      </c>
      <c r="G10" s="154"/>
      <c r="H10" s="155"/>
      <c r="I10" s="156">
        <f>SUM(K13:K18)</f>
        <v>0</v>
      </c>
      <c r="J10" s="157"/>
      <c r="K10" s="158"/>
      <c r="L10"/>
      <c r="M10"/>
      <c r="N10"/>
      <c r="O10"/>
      <c r="P10"/>
      <c r="Q10"/>
      <c r="R10" s="23"/>
      <c r="S10" s="24"/>
      <c r="T10" s="23"/>
      <c r="U10" s="23"/>
      <c r="V10" s="24"/>
      <c r="W10" s="23"/>
      <c r="X10" s="23"/>
      <c r="Y10" s="24"/>
      <c r="Z10" s="23"/>
    </row>
    <row r="11" spans="1:26" ht="15" hidden="1" customHeight="1" x14ac:dyDescent="0.2">
      <c r="A11" s="127" t="s">
        <v>107</v>
      </c>
      <c r="B11" s="128"/>
      <c r="C11" s="129">
        <v>1</v>
      </c>
      <c r="D11" s="129"/>
      <c r="E11" s="130"/>
      <c r="F11" s="131"/>
      <c r="G11" s="132"/>
      <c r="H11" s="133">
        <f>SUM(I11:N11)</f>
        <v>0</v>
      </c>
      <c r="I11" s="134"/>
      <c r="J11" s="135"/>
      <c r="K11" s="136">
        <f>SUM(I13:I18)</f>
        <v>0</v>
      </c>
      <c r="L11"/>
      <c r="M11"/>
      <c r="N11"/>
      <c r="O11"/>
      <c r="P11"/>
      <c r="Q11"/>
      <c r="R11" s="23"/>
      <c r="S11" s="24"/>
      <c r="T11" s="23"/>
      <c r="U11" s="23"/>
      <c r="V11" s="24"/>
      <c r="W11" s="23"/>
      <c r="X11" s="23"/>
      <c r="Y11" s="24"/>
      <c r="Z11" s="23"/>
    </row>
    <row r="12" spans="1:26" ht="15" customHeight="1" x14ac:dyDescent="0.2">
      <c r="A12" s="159" t="s">
        <v>78</v>
      </c>
      <c r="B12" s="165"/>
      <c r="C12" s="79"/>
      <c r="D12" s="79"/>
      <c r="E12" s="79"/>
      <c r="F12" s="166">
        <f>F10-H11</f>
        <v>0</v>
      </c>
      <c r="G12" s="167"/>
      <c r="H12" s="80">
        <f>IF(ISERROR(F12/F10),0,F12/F10)</f>
        <v>0</v>
      </c>
      <c r="I12" s="168">
        <f>I10-K11</f>
        <v>0</v>
      </c>
      <c r="J12" s="169"/>
      <c r="K12" s="81">
        <f>IF(ISERROR(I12/I10),0,I12/I10)</f>
        <v>0</v>
      </c>
      <c r="L12"/>
      <c r="M12"/>
      <c r="N12"/>
      <c r="O12"/>
      <c r="P12"/>
      <c r="Q12"/>
      <c r="R12" s="23"/>
      <c r="S12" s="24"/>
      <c r="T12" s="23"/>
      <c r="U12" s="23"/>
      <c r="V12" s="24"/>
      <c r="W12" s="23"/>
      <c r="X12" s="23"/>
      <c r="Y12" s="24"/>
      <c r="Z12" s="23"/>
    </row>
    <row r="13" spans="1:26" ht="15" customHeight="1" x14ac:dyDescent="0.2">
      <c r="A13" s="149" t="s">
        <v>103</v>
      </c>
      <c r="B13" s="82" t="s">
        <v>1</v>
      </c>
      <c r="C13" s="83"/>
      <c r="D13" s="83">
        <v>1</v>
      </c>
      <c r="E13" s="83">
        <v>0</v>
      </c>
      <c r="F13" s="84">
        <f t="shared" ref="F13:F18" si="2">SUMIF(I$3:N$3,$F$3,I13:N13)</f>
        <v>0</v>
      </c>
      <c r="G13" s="37">
        <f t="shared" ref="G13:G18" si="3">IF(ISERROR(F13/H13),0,F13/H13)</f>
        <v>0</v>
      </c>
      <c r="H13" s="85">
        <f>SUMIF(I$3:N$3,$H$3,I13:N13)</f>
        <v>0</v>
      </c>
      <c r="I13" s="86">
        <f>IFERROR(INDEX(DB!$DQ$3:$DQ$65423,MATCH($D13&amp;"-"&amp;I$2&amp;"-"&amp;$E13,INDEX(DB!$DM$3:$DM$65423&amp;"-"&amp;DB!$DN$3:$DN$65423&amp;"-"&amp;DB!$DO$3:$DO$65423,),0)),0)</f>
        <v>0</v>
      </c>
      <c r="J13" s="37">
        <f t="shared" ref="J13:J18" si="4">IF(ISERROR(I13/K13),0,I13/K13)</f>
        <v>0</v>
      </c>
      <c r="K13" s="49">
        <f>IFERROR(INDEX(DB!$DP$3:$DP$65423,MATCH($D13&amp;"-"&amp;I$2&amp;"-"&amp;$E13,INDEX(DB!$DM$3:$DM$65423&amp;"-"&amp;DB!$DN$3:$DN$65423&amp;"-"&amp;DB!$DO$3:$DO$65423,),0)),0)</f>
        <v>0</v>
      </c>
      <c r="L13"/>
      <c r="M13"/>
      <c r="N13"/>
      <c r="O13"/>
      <c r="P13"/>
      <c r="Q13"/>
      <c r="R13" s="23"/>
      <c r="S13" s="24"/>
      <c r="T13" s="23"/>
      <c r="U13" s="23"/>
      <c r="V13" s="24"/>
      <c r="W13" s="23"/>
      <c r="X13" s="23"/>
      <c r="Y13" s="24"/>
      <c r="Z13" s="23"/>
    </row>
    <row r="14" spans="1:26" ht="15" customHeight="1" x14ac:dyDescent="0.2">
      <c r="A14" s="149"/>
      <c r="B14" s="87" t="s">
        <v>90</v>
      </c>
      <c r="C14" s="88"/>
      <c r="D14" s="88">
        <v>1</v>
      </c>
      <c r="E14" s="88">
        <v>1</v>
      </c>
      <c r="F14" s="89">
        <f t="shared" si="2"/>
        <v>0</v>
      </c>
      <c r="G14" s="38">
        <f t="shared" si="3"/>
        <v>0</v>
      </c>
      <c r="H14" s="90">
        <f t="shared" ref="H14:H18" si="5">SUMIF(I$3:N$3,$H$3,I14:N14)</f>
        <v>0</v>
      </c>
      <c r="I14" s="86">
        <f>IFERROR(INDEX(DB!$DQ$3:$DQ$65423,MATCH($D14&amp;"-"&amp;I$2&amp;"-"&amp;$E14,INDEX(DB!$DM$3:$DM$65423&amp;"-"&amp;DB!$DN$3:$DN$65423&amp;"-"&amp;DB!$DO$3:$DO$65423,),0)),0)</f>
        <v>0</v>
      </c>
      <c r="J14" s="38">
        <f t="shared" si="4"/>
        <v>0</v>
      </c>
      <c r="K14" s="49">
        <f>IFERROR(INDEX(DB!$DP$3:$DP$65423,MATCH($D14&amp;"-"&amp;I$2&amp;"-"&amp;$E14,INDEX(DB!$DM$3:$DM$65423&amp;"-"&amp;DB!$DN$3:$DN$65423&amp;"-"&amp;DB!$DO$3:$DO$65423,),0)),0)</f>
        <v>0</v>
      </c>
      <c r="L14"/>
      <c r="M14"/>
      <c r="N14"/>
      <c r="O14"/>
      <c r="P14"/>
      <c r="Q14"/>
      <c r="R14" s="23"/>
      <c r="S14" s="24"/>
      <c r="T14" s="23"/>
      <c r="U14" s="23"/>
      <c r="V14" s="24"/>
      <c r="W14" s="23"/>
      <c r="X14" s="23"/>
      <c r="Y14" s="24"/>
      <c r="Z14" s="23"/>
    </row>
    <row r="15" spans="1:26" ht="15" customHeight="1" x14ac:dyDescent="0.2">
      <c r="A15" s="149"/>
      <c r="B15" s="87" t="s">
        <v>91</v>
      </c>
      <c r="C15" s="88"/>
      <c r="D15" s="88">
        <v>1</v>
      </c>
      <c r="E15" s="88">
        <v>2</v>
      </c>
      <c r="F15" s="89">
        <f t="shared" si="2"/>
        <v>0</v>
      </c>
      <c r="G15" s="38">
        <f t="shared" si="3"/>
        <v>0</v>
      </c>
      <c r="H15" s="90">
        <f t="shared" si="5"/>
        <v>0</v>
      </c>
      <c r="I15" s="86">
        <f>IFERROR(INDEX(DB!$DQ$3:$DQ$65423,MATCH($D15&amp;"-"&amp;I$2&amp;"-"&amp;$E15,INDEX(DB!$DM$3:$DM$65423&amp;"-"&amp;DB!$DN$3:$DN$65423&amp;"-"&amp;DB!$DO$3:$DO$65423,),0)),0)</f>
        <v>0</v>
      </c>
      <c r="J15" s="38">
        <f t="shared" si="4"/>
        <v>0</v>
      </c>
      <c r="K15" s="49">
        <f>IFERROR(INDEX(DB!$DP$3:$DP$65423,MATCH($D15&amp;"-"&amp;I$2&amp;"-"&amp;$E15,INDEX(DB!$DM$3:$DM$65423&amp;"-"&amp;DB!$DN$3:$DN$65423&amp;"-"&amp;DB!$DO$3:$DO$65423,),0)),0)</f>
        <v>0</v>
      </c>
      <c r="L15"/>
      <c r="M15"/>
      <c r="N15"/>
      <c r="O15"/>
      <c r="P15"/>
      <c r="Q15"/>
      <c r="R15" s="23"/>
      <c r="S15" s="24"/>
      <c r="T15" s="23"/>
      <c r="U15" s="23"/>
      <c r="V15" s="24"/>
      <c r="W15" s="23"/>
      <c r="X15" s="23"/>
      <c r="Y15" s="24"/>
      <c r="Z15" s="23"/>
    </row>
    <row r="16" spans="1:26" ht="15" customHeight="1" x14ac:dyDescent="0.2">
      <c r="A16" s="149"/>
      <c r="B16" s="87" t="s">
        <v>104</v>
      </c>
      <c r="C16" s="88"/>
      <c r="D16" s="88">
        <v>1</v>
      </c>
      <c r="E16" s="88">
        <v>3</v>
      </c>
      <c r="F16" s="89">
        <f t="shared" si="2"/>
        <v>0</v>
      </c>
      <c r="G16" s="38">
        <f t="shared" si="3"/>
        <v>0</v>
      </c>
      <c r="H16" s="90">
        <f t="shared" si="5"/>
        <v>0</v>
      </c>
      <c r="I16" s="91">
        <f>IFERROR(INDEX(DB!$DQ$3:$DQ$65423,MATCH($D16&amp;"-"&amp;I$2&amp;"-"&amp;$E16,INDEX(DB!$DM$3:$DM$65423&amp;"-"&amp;DB!$DN$3:$DN$65423&amp;"-"&amp;DB!$DO$3:$DO$65423,),0)),0)</f>
        <v>0</v>
      </c>
      <c r="J16" s="38">
        <f t="shared" si="4"/>
        <v>0</v>
      </c>
      <c r="K16" s="92">
        <f>IFERROR(INDEX(DB!$DP$3:$DP$65423,MATCH($D16&amp;"-"&amp;I$2&amp;"-"&amp;$E16,INDEX(DB!$DM$3:$DM$65423&amp;"-"&amp;DB!$DN$3:$DN$65423&amp;"-"&amp;DB!$DO$3:$DO$65423,),0)),0)</f>
        <v>0</v>
      </c>
      <c r="L16"/>
      <c r="M16"/>
      <c r="N16"/>
      <c r="O16"/>
      <c r="P16"/>
      <c r="Q16"/>
      <c r="R16" s="23"/>
      <c r="S16" s="24"/>
      <c r="T16" s="23"/>
      <c r="U16" s="23"/>
      <c r="V16" s="24"/>
      <c r="W16" s="23"/>
      <c r="X16" s="23"/>
      <c r="Y16" s="24"/>
      <c r="Z16" s="23"/>
    </row>
    <row r="17" spans="1:26" ht="15" customHeight="1" x14ac:dyDescent="0.2">
      <c r="A17" s="149"/>
      <c r="B17" s="87" t="s">
        <v>85</v>
      </c>
      <c r="C17" s="88"/>
      <c r="D17" s="88">
        <v>1</v>
      </c>
      <c r="E17" s="88">
        <v>106</v>
      </c>
      <c r="F17" s="89">
        <f t="shared" si="2"/>
        <v>0</v>
      </c>
      <c r="G17" s="38">
        <f t="shared" si="3"/>
        <v>0</v>
      </c>
      <c r="H17" s="90">
        <f t="shared" si="5"/>
        <v>0</v>
      </c>
      <c r="I17" s="86">
        <f>IFERROR(INDEX(DB!$DQ$3:$DQ$65423,MATCH($D17&amp;"-"&amp;I$2&amp;"-"&amp;$E17,INDEX(DB!$DM$3:$DM$65423&amp;"-"&amp;DB!$DN$3:$DN$65423&amp;"-"&amp;DB!$DO$3:$DO$65423,),0)),0)</f>
        <v>0</v>
      </c>
      <c r="J17" s="38">
        <f t="shared" si="4"/>
        <v>0</v>
      </c>
      <c r="K17" s="49">
        <f>IFERROR(INDEX(DB!$DP$3:$DP$65423,MATCH($D17&amp;"-"&amp;I$2&amp;"-"&amp;$E17,INDEX(DB!$DM$3:$DM$65423&amp;"-"&amp;DB!$DN$3:$DN$65423&amp;"-"&amp;DB!$DO$3:$DO$65423,),0)),0)</f>
        <v>0</v>
      </c>
      <c r="L17"/>
      <c r="M17"/>
      <c r="N17"/>
      <c r="O17"/>
      <c r="P17"/>
      <c r="Q17"/>
      <c r="R17" s="23"/>
      <c r="S17" s="24"/>
      <c r="T17" s="23"/>
      <c r="U17" s="23"/>
      <c r="V17" s="24"/>
      <c r="W17" s="23"/>
      <c r="X17" s="23"/>
      <c r="Y17" s="24"/>
      <c r="Z17" s="23"/>
    </row>
    <row r="18" spans="1:26" ht="15" customHeight="1" x14ac:dyDescent="0.2">
      <c r="A18" s="150"/>
      <c r="B18" s="93" t="s">
        <v>2</v>
      </c>
      <c r="C18" s="94"/>
      <c r="D18" s="94">
        <v>1</v>
      </c>
      <c r="E18" s="94">
        <v>4</v>
      </c>
      <c r="F18" s="95">
        <f t="shared" si="2"/>
        <v>0</v>
      </c>
      <c r="G18" s="36">
        <f t="shared" si="3"/>
        <v>0</v>
      </c>
      <c r="H18" s="96">
        <f t="shared" si="5"/>
        <v>0</v>
      </c>
      <c r="I18" s="97">
        <f>IFERROR(INDEX(DB!$DQ$3:$DQ$65423,MATCH($D18&amp;"-"&amp;I$2&amp;"-"&amp;$E18,INDEX(DB!$DM$3:$DM$65423&amp;"-"&amp;DB!$DN$3:$DN$65423&amp;"-"&amp;DB!$DO$3:$DO$65423,),0)),0)</f>
        <v>0</v>
      </c>
      <c r="J18" s="36">
        <f t="shared" si="4"/>
        <v>0</v>
      </c>
      <c r="K18" s="98">
        <f>IFERROR(INDEX(DB!$DP$3:$DP$65423,MATCH($D18&amp;"-"&amp;I$2&amp;"-"&amp;$E18,INDEX(DB!$DM$3:$DM$65423&amp;"-"&amp;DB!$DN$3:$DN$65423&amp;"-"&amp;DB!$DO$3:$DO$65423,),0)),0)</f>
        <v>0</v>
      </c>
      <c r="L18"/>
      <c r="M18"/>
      <c r="N18"/>
      <c r="O18"/>
      <c r="P18"/>
      <c r="Q18"/>
      <c r="R18" s="23"/>
      <c r="S18" s="24"/>
      <c r="T18" s="23"/>
      <c r="U18" s="23"/>
      <c r="V18" s="24"/>
      <c r="W18" s="23"/>
      <c r="X18" s="23"/>
      <c r="Y18" s="24"/>
      <c r="Z18" s="23"/>
    </row>
    <row r="19" spans="1:26" ht="15" customHeight="1" x14ac:dyDescent="0.2">
      <c r="A19" s="151" t="s">
        <v>100</v>
      </c>
      <c r="B19" s="152"/>
      <c r="C19" s="78">
        <v>0</v>
      </c>
      <c r="D19" s="78"/>
      <c r="E19" s="78"/>
      <c r="F19" s="153">
        <f>SUM(H22:H27)</f>
        <v>0</v>
      </c>
      <c r="G19" s="154"/>
      <c r="H19" s="155"/>
      <c r="I19" s="156">
        <f>SUM(K22:K27)</f>
        <v>0</v>
      </c>
      <c r="J19" s="157"/>
      <c r="K19" s="158"/>
      <c r="L19"/>
      <c r="M19"/>
      <c r="N19"/>
      <c r="O19"/>
      <c r="P19"/>
      <c r="Q19"/>
      <c r="R19" s="23"/>
      <c r="S19" s="24"/>
      <c r="T19" s="23"/>
      <c r="U19" s="23"/>
      <c r="V19" s="24"/>
      <c r="W19" s="23"/>
      <c r="X19" s="23"/>
      <c r="Y19" s="24"/>
      <c r="Z19" s="23"/>
    </row>
    <row r="20" spans="1:26" ht="15" hidden="1" customHeight="1" x14ac:dyDescent="0.2">
      <c r="A20" s="127" t="s">
        <v>107</v>
      </c>
      <c r="B20" s="128"/>
      <c r="C20" s="129">
        <v>1</v>
      </c>
      <c r="D20" s="129"/>
      <c r="E20" s="130"/>
      <c r="F20" s="131"/>
      <c r="G20" s="132"/>
      <c r="H20" s="133">
        <f>SUM(I20:N20)</f>
        <v>0</v>
      </c>
      <c r="I20" s="134"/>
      <c r="J20" s="135"/>
      <c r="K20" s="136">
        <f>SUM(I22:I27)</f>
        <v>0</v>
      </c>
      <c r="L20"/>
      <c r="M20"/>
      <c r="N20"/>
      <c r="O20"/>
      <c r="P20"/>
      <c r="Q20"/>
      <c r="R20" s="23"/>
      <c r="S20" s="24"/>
      <c r="T20" s="23"/>
      <c r="U20" s="23"/>
      <c r="V20" s="24"/>
      <c r="W20" s="23"/>
      <c r="X20" s="23"/>
      <c r="Y20" s="24"/>
      <c r="Z20" s="23"/>
    </row>
    <row r="21" spans="1:26" ht="15" customHeight="1" x14ac:dyDescent="0.2">
      <c r="A21" s="159" t="s">
        <v>78</v>
      </c>
      <c r="B21" s="165"/>
      <c r="C21" s="79"/>
      <c r="D21" s="79"/>
      <c r="E21" s="79"/>
      <c r="F21" s="166">
        <f>F19-H20</f>
        <v>0</v>
      </c>
      <c r="G21" s="167"/>
      <c r="H21" s="80">
        <f>IF(ISERROR(F21/F19),0,F21/F19)</f>
        <v>0</v>
      </c>
      <c r="I21" s="168">
        <f>I19-K20</f>
        <v>0</v>
      </c>
      <c r="J21" s="169"/>
      <c r="K21" s="81">
        <f>IF(ISERROR(I21/I19),0,I21/I19)</f>
        <v>0</v>
      </c>
      <c r="L21"/>
      <c r="M21"/>
      <c r="N21"/>
      <c r="O21"/>
      <c r="P21"/>
      <c r="Q21"/>
      <c r="R21" s="23"/>
      <c r="S21" s="24"/>
      <c r="T21" s="23"/>
      <c r="U21" s="23"/>
      <c r="V21" s="24"/>
      <c r="W21" s="23"/>
      <c r="X21" s="23"/>
      <c r="Y21" s="24"/>
      <c r="Z21" s="23"/>
    </row>
    <row r="22" spans="1:26" ht="15" customHeight="1" x14ac:dyDescent="0.2">
      <c r="A22" s="149" t="s">
        <v>105</v>
      </c>
      <c r="B22" s="82" t="s">
        <v>1</v>
      </c>
      <c r="C22" s="83"/>
      <c r="D22" s="83">
        <v>2</v>
      </c>
      <c r="E22" s="83">
        <v>0</v>
      </c>
      <c r="F22" s="84">
        <f t="shared" ref="F22:F27" si="6">SUMIF(I$3:N$3,$F$3,I22:N22)</f>
        <v>0</v>
      </c>
      <c r="G22" s="37">
        <f t="shared" ref="G22:G27" si="7">IF(ISERROR(F22/H22),0,F22/H22)</f>
        <v>0</v>
      </c>
      <c r="H22" s="85">
        <f t="shared" ref="H22:H27" si="8">SUMIF(I$3:N$3,$H$3,I22:N22)</f>
        <v>0</v>
      </c>
      <c r="I22" s="86">
        <f>IFERROR(INDEX(DB!$DQ$3:$DQ$65423,MATCH($D22&amp;"-"&amp;I$2&amp;"-"&amp;$E22,INDEX(DB!$DM$3:$DM$65423&amp;"-"&amp;DB!$DN$3:$DN$65423&amp;"-"&amp;DB!$DO$3:$DO$65423,),0)),0)</f>
        <v>0</v>
      </c>
      <c r="J22" s="37">
        <f t="shared" ref="J22:J27" si="9">IF(ISERROR(I22/K22),0,I22/K22)</f>
        <v>0</v>
      </c>
      <c r="K22" s="49">
        <f>IFERROR(INDEX(DB!$DP$3:$DP$65423,MATCH($D22&amp;"-"&amp;I$2&amp;"-"&amp;$E22,INDEX(DB!$DM$3:$DM$65423&amp;"-"&amp;DB!$DN$3:$DN$65423&amp;"-"&amp;DB!$DO$3:$DO$65423,),0)),0)</f>
        <v>0</v>
      </c>
      <c r="L22"/>
      <c r="M22"/>
      <c r="N22"/>
      <c r="O22"/>
      <c r="P22"/>
      <c r="Q22"/>
      <c r="R22" s="23"/>
      <c r="S22" s="24"/>
      <c r="T22" s="23"/>
      <c r="U22" s="23"/>
      <c r="V22" s="24"/>
      <c r="W22" s="23"/>
      <c r="X22" s="23"/>
      <c r="Y22" s="24"/>
      <c r="Z22" s="23"/>
    </row>
    <row r="23" spans="1:26" ht="15" customHeight="1" x14ac:dyDescent="0.2">
      <c r="A23" s="149"/>
      <c r="B23" s="87" t="s">
        <v>90</v>
      </c>
      <c r="C23" s="88"/>
      <c r="D23" s="88">
        <v>2</v>
      </c>
      <c r="E23" s="88">
        <v>1</v>
      </c>
      <c r="F23" s="89">
        <f t="shared" si="6"/>
        <v>0</v>
      </c>
      <c r="G23" s="38">
        <f t="shared" si="7"/>
        <v>0</v>
      </c>
      <c r="H23" s="90">
        <f t="shared" si="8"/>
        <v>0</v>
      </c>
      <c r="I23" s="86">
        <f>IFERROR(INDEX(DB!$DQ$3:$DQ$65423,MATCH($D23&amp;"-"&amp;I$2&amp;"-"&amp;$E23,INDEX(DB!$DM$3:$DM$65423&amp;"-"&amp;DB!$DN$3:$DN$65423&amp;"-"&amp;DB!$DO$3:$DO$65423,),0)),0)</f>
        <v>0</v>
      </c>
      <c r="J23" s="38">
        <f t="shared" si="9"/>
        <v>0</v>
      </c>
      <c r="K23" s="49">
        <f>IFERROR(INDEX(DB!$DP$3:$DP$65423,MATCH($D23&amp;"-"&amp;I$2&amp;"-"&amp;$E23,INDEX(DB!$DM$3:$DM$65423&amp;"-"&amp;DB!$DN$3:$DN$65423&amp;"-"&amp;DB!$DO$3:$DO$65423,),0)),0)</f>
        <v>0</v>
      </c>
      <c r="L23"/>
      <c r="M23"/>
      <c r="N23"/>
      <c r="O23"/>
      <c r="P23"/>
      <c r="Q23"/>
      <c r="R23" s="23"/>
      <c r="S23" s="24"/>
      <c r="T23" s="23"/>
      <c r="U23" s="23"/>
      <c r="V23" s="24"/>
      <c r="W23" s="23"/>
      <c r="X23" s="23"/>
      <c r="Y23" s="24"/>
      <c r="Z23" s="23"/>
    </row>
    <row r="24" spans="1:26" ht="15" customHeight="1" x14ac:dyDescent="0.2">
      <c r="A24" s="149"/>
      <c r="B24" s="87" t="s">
        <v>91</v>
      </c>
      <c r="C24" s="88"/>
      <c r="D24" s="88">
        <v>2</v>
      </c>
      <c r="E24" s="88">
        <v>2</v>
      </c>
      <c r="F24" s="89">
        <f t="shared" si="6"/>
        <v>0</v>
      </c>
      <c r="G24" s="38">
        <f t="shared" si="7"/>
        <v>0</v>
      </c>
      <c r="H24" s="90">
        <f t="shared" si="8"/>
        <v>0</v>
      </c>
      <c r="I24" s="86">
        <f>IFERROR(INDEX(DB!$DQ$3:$DQ$65423,MATCH($D24&amp;"-"&amp;I$2&amp;"-"&amp;$E24,INDEX(DB!$DM$3:$DM$65423&amp;"-"&amp;DB!$DN$3:$DN$65423&amp;"-"&amp;DB!$DO$3:$DO$65423,),0)),0)</f>
        <v>0</v>
      </c>
      <c r="J24" s="38">
        <f t="shared" si="9"/>
        <v>0</v>
      </c>
      <c r="K24" s="49">
        <f>IFERROR(INDEX(DB!$DP$3:$DP$65423,MATCH($D24&amp;"-"&amp;I$2&amp;"-"&amp;$E24,INDEX(DB!$DM$3:$DM$65423&amp;"-"&amp;DB!$DN$3:$DN$65423&amp;"-"&amp;DB!$DO$3:$DO$65423,),0)),0)</f>
        <v>0</v>
      </c>
      <c r="L24"/>
      <c r="M24"/>
      <c r="N24"/>
      <c r="O24"/>
      <c r="P24"/>
      <c r="Q24"/>
      <c r="R24" s="23"/>
      <c r="S24" s="24"/>
      <c r="T24" s="23"/>
      <c r="U24" s="23"/>
      <c r="V24" s="24"/>
      <c r="W24" s="23"/>
      <c r="X24" s="23"/>
      <c r="Y24" s="24"/>
      <c r="Z24" s="23"/>
    </row>
    <row r="25" spans="1:26" ht="15" customHeight="1" x14ac:dyDescent="0.2">
      <c r="A25" s="149"/>
      <c r="B25" s="87" t="s">
        <v>104</v>
      </c>
      <c r="C25" s="88"/>
      <c r="D25" s="88">
        <v>2</v>
      </c>
      <c r="E25" s="88">
        <v>3</v>
      </c>
      <c r="F25" s="89">
        <f t="shared" si="6"/>
        <v>0</v>
      </c>
      <c r="G25" s="38">
        <f t="shared" si="7"/>
        <v>0</v>
      </c>
      <c r="H25" s="90">
        <f t="shared" si="8"/>
        <v>0</v>
      </c>
      <c r="I25" s="91">
        <f>IFERROR(INDEX(DB!$DQ$3:$DQ$65423,MATCH($D25&amp;"-"&amp;I$2&amp;"-"&amp;$E25,INDEX(DB!$DM$3:$DM$65423&amp;"-"&amp;DB!$DN$3:$DN$65423&amp;"-"&amp;DB!$DO$3:$DO$65423,),0)),0)</f>
        <v>0</v>
      </c>
      <c r="J25" s="38">
        <f t="shared" si="9"/>
        <v>0</v>
      </c>
      <c r="K25" s="92">
        <f>IFERROR(INDEX(DB!$DP$3:$DP$65423,MATCH($D25&amp;"-"&amp;I$2&amp;"-"&amp;$E25,INDEX(DB!$DM$3:$DM$65423&amp;"-"&amp;DB!$DN$3:$DN$65423&amp;"-"&amp;DB!$DO$3:$DO$65423,),0)),0)</f>
        <v>0</v>
      </c>
      <c r="L25"/>
      <c r="M25"/>
      <c r="N25"/>
      <c r="O25"/>
      <c r="P25"/>
      <c r="Q25"/>
      <c r="R25" s="23"/>
      <c r="S25" s="24"/>
      <c r="T25" s="23"/>
      <c r="U25" s="23"/>
      <c r="V25" s="24"/>
      <c r="W25" s="23"/>
      <c r="X25" s="23"/>
      <c r="Y25" s="24"/>
      <c r="Z25" s="23"/>
    </row>
    <row r="26" spans="1:26" s="14" customFormat="1" ht="15" customHeight="1" x14ac:dyDescent="0.2">
      <c r="A26" s="149"/>
      <c r="B26" s="87" t="s">
        <v>85</v>
      </c>
      <c r="C26" s="88"/>
      <c r="D26" s="88">
        <v>2</v>
      </c>
      <c r="E26" s="88">
        <v>106</v>
      </c>
      <c r="F26" s="89">
        <f t="shared" si="6"/>
        <v>0</v>
      </c>
      <c r="G26" s="38">
        <f t="shared" si="7"/>
        <v>0</v>
      </c>
      <c r="H26" s="90">
        <f t="shared" si="8"/>
        <v>0</v>
      </c>
      <c r="I26" s="86">
        <f>IFERROR(INDEX(DB!$DQ$3:$DQ$65423,MATCH($D26&amp;"-"&amp;I$2&amp;"-"&amp;$E26,INDEX(DB!$DM$3:$DM$65423&amp;"-"&amp;DB!$DN$3:$DN$65423&amp;"-"&amp;DB!$DO$3:$DO$65423,),0)),0)</f>
        <v>0</v>
      </c>
      <c r="J26" s="38">
        <f t="shared" si="9"/>
        <v>0</v>
      </c>
      <c r="K26" s="49">
        <f>IFERROR(INDEX(DB!$DP$3:$DP$65423,MATCH($D26&amp;"-"&amp;I$2&amp;"-"&amp;$E26,INDEX(DB!$DM$3:$DM$65423&amp;"-"&amp;DB!$DN$3:$DN$65423&amp;"-"&amp;DB!$DO$3:$DO$65423,),0)),0)</f>
        <v>0</v>
      </c>
      <c r="L26"/>
      <c r="M26"/>
      <c r="N26"/>
      <c r="O26"/>
      <c r="P26"/>
      <c r="Q26"/>
      <c r="R26" s="23"/>
      <c r="S26" s="27"/>
      <c r="T26" s="23"/>
      <c r="U26" s="23"/>
      <c r="V26" s="27"/>
      <c r="W26" s="23"/>
      <c r="X26" s="23"/>
      <c r="Y26" s="27"/>
      <c r="Z26" s="23"/>
    </row>
    <row r="27" spans="1:26" s="14" customFormat="1" ht="15" customHeight="1" x14ac:dyDescent="0.2">
      <c r="A27" s="150"/>
      <c r="B27" s="93" t="s">
        <v>2</v>
      </c>
      <c r="C27" s="94"/>
      <c r="D27" s="94">
        <v>2</v>
      </c>
      <c r="E27" s="94">
        <v>4</v>
      </c>
      <c r="F27" s="95">
        <f t="shared" si="6"/>
        <v>0</v>
      </c>
      <c r="G27" s="36">
        <f t="shared" si="7"/>
        <v>0</v>
      </c>
      <c r="H27" s="96">
        <f t="shared" si="8"/>
        <v>0</v>
      </c>
      <c r="I27" s="97">
        <f>IFERROR(INDEX(DB!$DQ$3:$DQ$65423,MATCH($D27&amp;"-"&amp;I$2&amp;"-"&amp;$E27,INDEX(DB!$DM$3:$DM$65423&amp;"-"&amp;DB!$DN$3:$DN$65423&amp;"-"&amp;DB!$DO$3:$DO$65423,),0)),0)</f>
        <v>0</v>
      </c>
      <c r="J27" s="36">
        <f t="shared" si="9"/>
        <v>0</v>
      </c>
      <c r="K27" s="98">
        <f>IFERROR(INDEX(DB!$DP$3:$DP$65423,MATCH($D27&amp;"-"&amp;I$2&amp;"-"&amp;$E27,INDEX(DB!$DM$3:$DM$65423&amp;"-"&amp;DB!$DN$3:$DN$65423&amp;"-"&amp;DB!$DO$3:$DO$65423,),0)),0)</f>
        <v>0</v>
      </c>
      <c r="L27"/>
      <c r="M27"/>
      <c r="N27"/>
      <c r="O27"/>
      <c r="P27"/>
      <c r="Q27"/>
      <c r="R27" s="23"/>
      <c r="S27" s="27"/>
      <c r="T27" s="23"/>
      <c r="U27" s="23"/>
      <c r="V27" s="27"/>
      <c r="W27" s="23"/>
      <c r="X27" s="23"/>
      <c r="Y27" s="27"/>
      <c r="Z27" s="23"/>
    </row>
    <row r="28" spans="1:26" s="14" customFormat="1" ht="15" customHeight="1" x14ac:dyDescent="0.2">
      <c r="A28" s="151" t="s">
        <v>100</v>
      </c>
      <c r="B28" s="152"/>
      <c r="C28" s="78">
        <v>0</v>
      </c>
      <c r="D28" s="78"/>
      <c r="E28" s="78"/>
      <c r="F28" s="153">
        <f>SUM(H31:H36)</f>
        <v>0</v>
      </c>
      <c r="G28" s="154"/>
      <c r="H28" s="155"/>
      <c r="I28" s="156">
        <f>SUM(K31:K36)</f>
        <v>0</v>
      </c>
      <c r="J28" s="157"/>
      <c r="K28" s="158"/>
      <c r="L28"/>
      <c r="M28"/>
      <c r="N28"/>
      <c r="O28"/>
      <c r="P28"/>
      <c r="Q28"/>
      <c r="R28" s="23"/>
      <c r="S28" s="27"/>
      <c r="T28" s="23"/>
      <c r="U28" s="23"/>
      <c r="V28" s="27"/>
      <c r="W28" s="23"/>
      <c r="X28" s="23"/>
      <c r="Y28" s="27"/>
      <c r="Z28" s="23"/>
    </row>
    <row r="29" spans="1:26" ht="15" hidden="1" customHeight="1" x14ac:dyDescent="0.2">
      <c r="A29" s="127" t="s">
        <v>107</v>
      </c>
      <c r="B29" s="128"/>
      <c r="C29" s="129">
        <v>1</v>
      </c>
      <c r="D29" s="129"/>
      <c r="E29" s="130"/>
      <c r="F29" s="131"/>
      <c r="G29" s="132"/>
      <c r="H29" s="133">
        <f>SUM(I29:N29)</f>
        <v>0</v>
      </c>
      <c r="I29" s="134"/>
      <c r="J29" s="135"/>
      <c r="K29" s="136">
        <f>SUM(I31:I36)</f>
        <v>0</v>
      </c>
      <c r="L29"/>
      <c r="M29"/>
      <c r="N29"/>
      <c r="O29"/>
      <c r="P29"/>
      <c r="Q29"/>
      <c r="R29" s="23"/>
      <c r="S29" s="24"/>
      <c r="T29" s="23"/>
      <c r="U29" s="23"/>
      <c r="V29" s="24"/>
      <c r="W29" s="23"/>
      <c r="X29" s="23"/>
      <c r="Y29" s="24"/>
      <c r="Z29" s="23"/>
    </row>
    <row r="30" spans="1:26" s="14" customFormat="1" ht="15" customHeight="1" x14ac:dyDescent="0.2">
      <c r="A30" s="159" t="s">
        <v>78</v>
      </c>
      <c r="B30" s="160"/>
      <c r="C30" s="137"/>
      <c r="D30" s="137"/>
      <c r="E30" s="137"/>
      <c r="F30" s="161">
        <f>F28-H29</f>
        <v>0</v>
      </c>
      <c r="G30" s="162"/>
      <c r="H30" s="138">
        <f>IF(ISERROR(F30/F28),0,F30/F28)</f>
        <v>0</v>
      </c>
      <c r="I30" s="163">
        <f>I28-K29</f>
        <v>0</v>
      </c>
      <c r="J30" s="164"/>
      <c r="K30" s="139">
        <f>IF(ISERROR(I30/I28),0,I30/I28)</f>
        <v>0</v>
      </c>
      <c r="L30"/>
      <c r="M30"/>
      <c r="N30"/>
      <c r="O30"/>
      <c r="P30"/>
      <c r="Q30"/>
      <c r="R30" s="23"/>
      <c r="S30" s="27"/>
      <c r="T30" s="23"/>
      <c r="U30" s="23"/>
      <c r="V30" s="27"/>
      <c r="W30" s="23"/>
      <c r="X30" s="23"/>
      <c r="Y30" s="27"/>
      <c r="Z30" s="23"/>
    </row>
    <row r="31" spans="1:26" s="14" customFormat="1" ht="15" customHeight="1" x14ac:dyDescent="0.2">
      <c r="A31" s="148" t="s">
        <v>106</v>
      </c>
      <c r="B31" s="140" t="s">
        <v>1</v>
      </c>
      <c r="C31" s="141"/>
      <c r="D31" s="141">
        <v>3</v>
      </c>
      <c r="E31" s="141">
        <v>0</v>
      </c>
      <c r="F31" s="142">
        <f t="shared" ref="F31:F36" si="10">SUMIF(I$3:N$3,$F$3,I31:N31)</f>
        <v>0</v>
      </c>
      <c r="G31" s="143">
        <f t="shared" ref="G31:G36" si="11">IF(ISERROR(F31/H31),0,F31/H31)</f>
        <v>0</v>
      </c>
      <c r="H31" s="144">
        <f t="shared" ref="H31:H36" si="12">SUMIF(I$3:N$3,$H$3,I31:N31)</f>
        <v>0</v>
      </c>
      <c r="I31" s="145">
        <f>IFERROR(INDEX(DB!$DQ$3:$DQ$65423,MATCH($D31&amp;"-"&amp;I$2&amp;"-"&amp;$E31,INDEX(DB!$DM$3:$DM$65423&amp;"-"&amp;DB!$DN$3:$DN$65423&amp;"-"&amp;DB!$DO$3:$DO$65423,),0)),0)</f>
        <v>0</v>
      </c>
      <c r="J31" s="143">
        <f t="shared" ref="J31:J36" si="13">IF(ISERROR(I31/K31),0,I31/K31)</f>
        <v>0</v>
      </c>
      <c r="K31" s="146">
        <f>IFERROR(INDEX(DB!$DP$3:$DP$65423,MATCH($D31&amp;"-"&amp;I$2&amp;"-"&amp;$E31,INDEX(DB!$DM$3:$DM$65423&amp;"-"&amp;DB!$DN$3:$DN$65423&amp;"-"&amp;DB!$DO$3:$DO$65423,),0)),0)</f>
        <v>0</v>
      </c>
      <c r="L31"/>
      <c r="M31"/>
      <c r="N31"/>
      <c r="O31"/>
      <c r="P31"/>
      <c r="Q31"/>
      <c r="R31" s="23"/>
      <c r="S31" s="27"/>
      <c r="T31" s="23"/>
      <c r="U31" s="23"/>
      <c r="V31" s="27"/>
      <c r="W31" s="23"/>
      <c r="X31" s="23"/>
      <c r="Y31" s="27"/>
      <c r="Z31" s="23"/>
    </row>
    <row r="32" spans="1:26" s="14" customFormat="1" ht="15" customHeight="1" x14ac:dyDescent="0.2">
      <c r="A32" s="149"/>
      <c r="B32" s="87" t="s">
        <v>90</v>
      </c>
      <c r="C32" s="88"/>
      <c r="D32" s="88">
        <v>3</v>
      </c>
      <c r="E32" s="88">
        <v>1</v>
      </c>
      <c r="F32" s="89">
        <f t="shared" si="10"/>
        <v>0</v>
      </c>
      <c r="G32" s="38">
        <f t="shared" si="11"/>
        <v>0</v>
      </c>
      <c r="H32" s="90">
        <f t="shared" si="12"/>
        <v>0</v>
      </c>
      <c r="I32" s="86">
        <f>IFERROR(INDEX(DB!$DQ$3:$DQ$65423,MATCH($D32&amp;"-"&amp;I$2&amp;"-"&amp;$E32,INDEX(DB!$DM$3:$DM$65423&amp;"-"&amp;DB!$DN$3:$DN$65423&amp;"-"&amp;DB!$DO$3:$DO$65423,),0)),0)</f>
        <v>0</v>
      </c>
      <c r="J32" s="38">
        <f t="shared" si="13"/>
        <v>0</v>
      </c>
      <c r="K32" s="49">
        <f>IFERROR(INDEX(DB!$DP$3:$DP$65423,MATCH($D32&amp;"-"&amp;I$2&amp;"-"&amp;$E32,INDEX(DB!$DM$3:$DM$65423&amp;"-"&amp;DB!$DN$3:$DN$65423&amp;"-"&amp;DB!$DO$3:$DO$65423,),0)),0)</f>
        <v>0</v>
      </c>
      <c r="L32"/>
      <c r="M32"/>
      <c r="N32"/>
      <c r="O32"/>
      <c r="P32"/>
      <c r="Q32"/>
      <c r="R32" s="23"/>
      <c r="S32" s="27"/>
      <c r="T32" s="23"/>
      <c r="U32" s="23"/>
      <c r="V32" s="27"/>
      <c r="W32" s="23"/>
      <c r="X32" s="23"/>
      <c r="Y32" s="27"/>
      <c r="Z32" s="23"/>
    </row>
    <row r="33" spans="1:26" s="14" customFormat="1" ht="15" customHeight="1" x14ac:dyDescent="0.2">
      <c r="A33" s="149"/>
      <c r="B33" s="87" t="s">
        <v>91</v>
      </c>
      <c r="C33" s="88"/>
      <c r="D33" s="88">
        <v>3</v>
      </c>
      <c r="E33" s="88">
        <v>2</v>
      </c>
      <c r="F33" s="89">
        <f t="shared" si="10"/>
        <v>0</v>
      </c>
      <c r="G33" s="38">
        <f t="shared" si="11"/>
        <v>0</v>
      </c>
      <c r="H33" s="90">
        <f t="shared" si="12"/>
        <v>0</v>
      </c>
      <c r="I33" s="86">
        <f>IFERROR(INDEX(DB!$DQ$3:$DQ$65423,MATCH($D33&amp;"-"&amp;I$2&amp;"-"&amp;$E33,INDEX(DB!$DM$3:$DM$65423&amp;"-"&amp;DB!$DN$3:$DN$65423&amp;"-"&amp;DB!$DO$3:$DO$65423,),0)),0)</f>
        <v>0</v>
      </c>
      <c r="J33" s="38">
        <f t="shared" si="13"/>
        <v>0</v>
      </c>
      <c r="K33" s="49">
        <f>IFERROR(INDEX(DB!$DP$3:$DP$65423,MATCH($D33&amp;"-"&amp;I$2&amp;"-"&amp;$E33,INDEX(DB!$DM$3:$DM$65423&amp;"-"&amp;DB!$DN$3:$DN$65423&amp;"-"&amp;DB!$DO$3:$DO$65423,),0)),0)</f>
        <v>0</v>
      </c>
      <c r="L33"/>
      <c r="M33"/>
      <c r="N33"/>
      <c r="O33"/>
      <c r="P33"/>
      <c r="Q33"/>
      <c r="R33" s="23"/>
      <c r="S33" s="27"/>
      <c r="T33" s="23"/>
      <c r="U33" s="23"/>
      <c r="V33" s="27"/>
      <c r="W33" s="23"/>
      <c r="X33" s="23"/>
      <c r="Y33" s="27"/>
      <c r="Z33" s="23"/>
    </row>
    <row r="34" spans="1:26" s="14" customFormat="1" ht="15" customHeight="1" x14ac:dyDescent="0.2">
      <c r="A34" s="149"/>
      <c r="B34" s="87" t="s">
        <v>104</v>
      </c>
      <c r="C34" s="88"/>
      <c r="D34" s="88">
        <v>3</v>
      </c>
      <c r="E34" s="88">
        <v>3</v>
      </c>
      <c r="F34" s="89">
        <f t="shared" si="10"/>
        <v>0</v>
      </c>
      <c r="G34" s="38">
        <f t="shared" si="11"/>
        <v>0</v>
      </c>
      <c r="H34" s="90">
        <f t="shared" si="12"/>
        <v>0</v>
      </c>
      <c r="I34" s="91">
        <f>IFERROR(INDEX(DB!$DQ$3:$DQ$65423,MATCH($D34&amp;"-"&amp;I$2&amp;"-"&amp;$E34,INDEX(DB!$DM$3:$DM$65423&amp;"-"&amp;DB!$DN$3:$DN$65423&amp;"-"&amp;DB!$DO$3:$DO$65423,),0)),0)</f>
        <v>0</v>
      </c>
      <c r="J34" s="38">
        <f t="shared" si="13"/>
        <v>0</v>
      </c>
      <c r="K34" s="92">
        <f>IFERROR(INDEX(DB!$DP$3:$DP$65423,MATCH($D34&amp;"-"&amp;I$2&amp;"-"&amp;$E34,INDEX(DB!$DM$3:$DM$65423&amp;"-"&amp;DB!$DN$3:$DN$65423&amp;"-"&amp;DB!$DO$3:$DO$65423,),0)),0)</f>
        <v>0</v>
      </c>
      <c r="L34"/>
      <c r="M34"/>
      <c r="N34"/>
      <c r="O34"/>
      <c r="P34"/>
      <c r="Q34"/>
      <c r="R34" s="23"/>
      <c r="S34" s="27"/>
      <c r="T34" s="23"/>
      <c r="U34" s="23"/>
      <c r="V34" s="27"/>
      <c r="W34" s="23"/>
      <c r="X34" s="23"/>
      <c r="Y34" s="27"/>
      <c r="Z34" s="23"/>
    </row>
    <row r="35" spans="1:26" s="14" customFormat="1" ht="15" customHeight="1" x14ac:dyDescent="0.2">
      <c r="A35" s="149"/>
      <c r="B35" s="87" t="s">
        <v>85</v>
      </c>
      <c r="C35" s="88"/>
      <c r="D35" s="88">
        <v>3</v>
      </c>
      <c r="E35" s="88">
        <v>106</v>
      </c>
      <c r="F35" s="89">
        <f t="shared" si="10"/>
        <v>0</v>
      </c>
      <c r="G35" s="38">
        <f t="shared" si="11"/>
        <v>0</v>
      </c>
      <c r="H35" s="90">
        <f t="shared" si="12"/>
        <v>0</v>
      </c>
      <c r="I35" s="86">
        <f>IFERROR(INDEX(DB!$DQ$3:$DQ$65423,MATCH($D35&amp;"-"&amp;I$2&amp;"-"&amp;$E35,INDEX(DB!$DM$3:$DM$65423&amp;"-"&amp;DB!$DN$3:$DN$65423&amp;"-"&amp;DB!$DO$3:$DO$65423,),0)),0)</f>
        <v>0</v>
      </c>
      <c r="J35" s="38">
        <f t="shared" si="13"/>
        <v>0</v>
      </c>
      <c r="K35" s="49">
        <f>IFERROR(INDEX(DB!$DP$3:$DP$65423,MATCH($D35&amp;"-"&amp;I$2&amp;"-"&amp;$E35,INDEX(DB!$DM$3:$DM$65423&amp;"-"&amp;DB!$DN$3:$DN$65423&amp;"-"&amp;DB!$DO$3:$DO$65423,),0)),0)</f>
        <v>0</v>
      </c>
      <c r="L35"/>
      <c r="M35"/>
      <c r="N35"/>
      <c r="O35"/>
      <c r="P35"/>
      <c r="Q35"/>
      <c r="R35" s="23"/>
      <c r="S35" s="27"/>
      <c r="T35" s="23"/>
      <c r="U35" s="23"/>
      <c r="V35" s="27"/>
      <c r="W35" s="23"/>
      <c r="X35" s="23"/>
      <c r="Y35" s="27"/>
      <c r="Z35" s="23"/>
    </row>
    <row r="36" spans="1:26" s="14" customFormat="1" ht="15" customHeight="1" x14ac:dyDescent="0.2">
      <c r="A36" s="150"/>
      <c r="B36" s="93" t="s">
        <v>2</v>
      </c>
      <c r="C36" s="94"/>
      <c r="D36" s="94">
        <v>3</v>
      </c>
      <c r="E36" s="94">
        <v>4</v>
      </c>
      <c r="F36" s="95">
        <f t="shared" si="10"/>
        <v>0</v>
      </c>
      <c r="G36" s="36">
        <f t="shared" si="11"/>
        <v>0</v>
      </c>
      <c r="H36" s="96">
        <f t="shared" si="12"/>
        <v>0</v>
      </c>
      <c r="I36" s="97">
        <f>IFERROR(INDEX(DB!$DQ$3:$DQ$65423,MATCH($D36&amp;"-"&amp;I$2&amp;"-"&amp;$E36,INDEX(DB!$DM$3:$DM$65423&amp;"-"&amp;DB!$DN$3:$DN$65423&amp;"-"&amp;DB!$DO$3:$DO$65423,),0)),0)</f>
        <v>0</v>
      </c>
      <c r="J36" s="36">
        <f t="shared" si="13"/>
        <v>0</v>
      </c>
      <c r="K36" s="98">
        <f>IFERROR(INDEX(DB!$DP$3:$DP$65423,MATCH($D36&amp;"-"&amp;I$2&amp;"-"&amp;$E36,INDEX(DB!$DM$3:$DM$65423&amp;"-"&amp;DB!$DN$3:$DN$65423&amp;"-"&amp;DB!$DO$3:$DO$65423,),0)),0)</f>
        <v>0</v>
      </c>
      <c r="L36"/>
      <c r="M36"/>
      <c r="N36"/>
      <c r="O36"/>
      <c r="P36"/>
      <c r="Q36"/>
      <c r="R36" s="23"/>
      <c r="S36" s="27"/>
      <c r="T36" s="23"/>
      <c r="U36" s="23"/>
      <c r="V36" s="27"/>
      <c r="W36" s="23"/>
      <c r="X36" s="23"/>
      <c r="Y36" s="27"/>
      <c r="Z36" s="23"/>
    </row>
    <row r="37" spans="1:26" ht="13.5" customHeight="1" x14ac:dyDescent="0.2">
      <c r="A37" s="198" t="s">
        <v>83</v>
      </c>
      <c r="B37" s="118" t="s">
        <v>96</v>
      </c>
      <c r="C37" s="56"/>
      <c r="D37" s="56">
        <v>2401</v>
      </c>
      <c r="E37" s="56"/>
      <c r="F37" s="100">
        <f t="shared" ref="F37:F38" si="14">SUMIF(I$3:N$3,$F$3,I37:N37)</f>
        <v>0</v>
      </c>
      <c r="G37" s="57">
        <f t="shared" ref="G37" si="15">IF(ISERROR(F37/H37),0,F37/H37)</f>
        <v>0</v>
      </c>
      <c r="H37" s="101">
        <f t="shared" ref="H37" si="16">SUMIF(I$3:N$3,$H$3,I37:N37)</f>
        <v>0</v>
      </c>
      <c r="I37" s="102">
        <f>SUMIF($D38:$D43,$D37,I38:I43)</f>
        <v>0</v>
      </c>
      <c r="J37" s="57">
        <f t="shared" ref="J37:J43" si="17">IF(ISERROR(I37/K37),0,I37/K37)</f>
        <v>0</v>
      </c>
      <c r="K37" s="103">
        <f>SUM(K38:K43)</f>
        <v>0</v>
      </c>
      <c r="L37"/>
      <c r="M37"/>
      <c r="N37"/>
      <c r="O37"/>
      <c r="P37"/>
      <c r="Q37"/>
      <c r="R37" s="23"/>
      <c r="S37" s="27"/>
      <c r="T37" s="23"/>
      <c r="U37" s="23"/>
      <c r="V37" s="27"/>
      <c r="W37" s="23"/>
      <c r="X37" s="23"/>
      <c r="Y37" s="27"/>
      <c r="Z37" s="23"/>
    </row>
    <row r="38" spans="1:26" s="14" customFormat="1" ht="12" customHeight="1" outlineLevel="1" x14ac:dyDescent="0.2">
      <c r="A38" s="199"/>
      <c r="B38" s="82" t="s">
        <v>1</v>
      </c>
      <c r="C38" s="28">
        <v>0</v>
      </c>
      <c r="D38" s="28">
        <v>2401</v>
      </c>
      <c r="E38" s="28">
        <v>0</v>
      </c>
      <c r="F38" s="104">
        <f t="shared" si="14"/>
        <v>0</v>
      </c>
      <c r="G38" s="37">
        <f t="shared" ref="G38" si="18">IF(ISERROR(F38/H38),0,F38/H38)</f>
        <v>0</v>
      </c>
      <c r="H38" s="105">
        <f>SUMIF(I$3:N$3,$H$3,I38:N38)</f>
        <v>0</v>
      </c>
      <c r="I38" s="106">
        <f>IFERROR(INDEX(DB!$G$3:$G$65423,MATCH($C38&amp;"-"&amp;$D38&amp;"-"&amp;I$2&amp;"-"&amp;$E38,INDEX(DB!$A$3:$A$65423&amp;"-"&amp;DB!$C$3:$C$65423&amp;"-"&amp;DB!$D$3:$D$65423&amp;"-"&amp;DB!$E$3:$E$65423,),0)),0)</f>
        <v>0</v>
      </c>
      <c r="J38" s="37">
        <f t="shared" si="17"/>
        <v>0</v>
      </c>
      <c r="K38" s="107">
        <f>IFERROR(INDEX(DB!$F$3:$F$65423,MATCH($C38&amp;"-"&amp;$D38&amp;"-"&amp;I$2&amp;"-"&amp;$E38,INDEX(DB!$A$3:$A$65423&amp;"-"&amp;DB!$C$3:$C$65423&amp;"-"&amp;DB!$D$3:$D$65423&amp;"-"&amp;DB!$E$3:$E$65423,),0)),0)</f>
        <v>0</v>
      </c>
      <c r="L38"/>
      <c r="M38"/>
      <c r="N38"/>
      <c r="O38"/>
      <c r="P38"/>
      <c r="Q38"/>
      <c r="R38" s="23"/>
      <c r="S38" s="27"/>
      <c r="T38" s="23"/>
      <c r="U38" s="23"/>
      <c r="V38" s="27"/>
      <c r="W38" s="23"/>
      <c r="X38" s="23"/>
      <c r="Y38" s="27"/>
      <c r="Z38" s="23"/>
    </row>
    <row r="39" spans="1:26" s="14" customFormat="1" ht="12" customHeight="1" outlineLevel="1" x14ac:dyDescent="0.2">
      <c r="A39" s="199"/>
      <c r="B39" s="87" t="s">
        <v>90</v>
      </c>
      <c r="C39" s="29">
        <v>0</v>
      </c>
      <c r="D39" s="29">
        <v>2401</v>
      </c>
      <c r="E39" s="29">
        <v>1</v>
      </c>
      <c r="F39" s="108">
        <f>SUMIF(I$3:N$3,$F$3,I39:N39)</f>
        <v>0</v>
      </c>
      <c r="G39" s="38">
        <f t="shared" ref="G39" si="19">IF(ISERROR(F39/H39),0,F39/H39)</f>
        <v>0</v>
      </c>
      <c r="H39" s="109">
        <f>SUMIF(I$3:N$3,$H$3,I39:N39)</f>
        <v>0</v>
      </c>
      <c r="I39" s="106">
        <f>IFERROR(INDEX(DB!$G$3:$G$65423,MATCH($C39&amp;"-"&amp;$D39&amp;"-"&amp;I$2&amp;"-"&amp;$E39,INDEX(DB!$A$3:$A$65423&amp;"-"&amp;DB!$C$3:$C$65423&amp;"-"&amp;DB!$D$3:$D$65423&amp;"-"&amp;DB!$E$3:$E$65423,),0)),0)</f>
        <v>0</v>
      </c>
      <c r="J39" s="38">
        <f t="shared" si="17"/>
        <v>0</v>
      </c>
      <c r="K39" s="107">
        <f>IFERROR(INDEX(DB!$F$3:$F$65423,MATCH($C39&amp;"-"&amp;$D39&amp;"-"&amp;I$2&amp;"-"&amp;$E39,INDEX(DB!$A$3:$A$65423&amp;"-"&amp;DB!$C$3:$C$65423&amp;"-"&amp;DB!$D$3:$D$65423&amp;"-"&amp;DB!$E$3:$E$65423,),0)),0)</f>
        <v>0</v>
      </c>
      <c r="L39"/>
      <c r="M39"/>
      <c r="N39"/>
      <c r="O39"/>
      <c r="P39"/>
      <c r="Q39"/>
      <c r="R39" s="23"/>
      <c r="S39" s="27"/>
      <c r="T39" s="23"/>
      <c r="U39" s="23"/>
      <c r="V39" s="27"/>
      <c r="W39" s="23"/>
      <c r="X39" s="23"/>
      <c r="Y39" s="27"/>
      <c r="Z39" s="23"/>
    </row>
    <row r="40" spans="1:26" s="14" customFormat="1" ht="12" customHeight="1" outlineLevel="1" x14ac:dyDescent="0.2">
      <c r="A40" s="199"/>
      <c r="B40" s="87" t="s">
        <v>91</v>
      </c>
      <c r="C40" s="29">
        <v>0</v>
      </c>
      <c r="D40" s="29">
        <v>2401</v>
      </c>
      <c r="E40" s="29">
        <v>2</v>
      </c>
      <c r="F40" s="108">
        <f t="shared" ref="F40:F46" si="20">SUMIF(I$3:N$3,$F$3,I40:N40)</f>
        <v>0</v>
      </c>
      <c r="G40" s="38">
        <f t="shared" ref="G40:G43" si="21">IF(ISERROR(F40/H40),0,F40/H40)</f>
        <v>0</v>
      </c>
      <c r="H40" s="109">
        <f t="shared" ref="H40:H45" si="22">SUMIF(I$3:N$3,$H$3,I40:N40)</f>
        <v>0</v>
      </c>
      <c r="I40" s="106">
        <f>IFERROR(INDEX(DB!$G$3:$G$65423,MATCH($C40&amp;"-"&amp;$D40&amp;"-"&amp;I$2&amp;"-"&amp;$E40,INDEX(DB!$A$3:$A$65423&amp;"-"&amp;DB!$C$3:$C$65423&amp;"-"&amp;DB!$D$3:$D$65423&amp;"-"&amp;DB!$E$3:$E$65423,),0)),0)</f>
        <v>0</v>
      </c>
      <c r="J40" s="38">
        <f t="shared" si="17"/>
        <v>0</v>
      </c>
      <c r="K40" s="107">
        <f>IFERROR(INDEX(DB!$F$3:$F$65423,MATCH($C40&amp;"-"&amp;$D40&amp;"-"&amp;I$2&amp;"-"&amp;$E40,INDEX(DB!$A$3:$A$65423&amp;"-"&amp;DB!$C$3:$C$65423&amp;"-"&amp;DB!$D$3:$D$65423&amp;"-"&amp;DB!$E$3:$E$65423,),0)),0)</f>
        <v>0</v>
      </c>
      <c r="L40"/>
      <c r="M40"/>
      <c r="N40"/>
      <c r="O40"/>
      <c r="P40"/>
      <c r="Q40"/>
      <c r="R40" s="23"/>
      <c r="S40" s="27"/>
      <c r="T40" s="23"/>
      <c r="U40" s="23"/>
      <c r="V40" s="27"/>
      <c r="W40" s="23"/>
      <c r="X40" s="23"/>
      <c r="Y40" s="27"/>
      <c r="Z40" s="23"/>
    </row>
    <row r="41" spans="1:26" s="14" customFormat="1" ht="12" customHeight="1" outlineLevel="1" x14ac:dyDescent="0.2">
      <c r="A41" s="199"/>
      <c r="B41" s="87" t="s">
        <v>104</v>
      </c>
      <c r="C41" s="29">
        <v>0</v>
      </c>
      <c r="D41" s="29">
        <v>2401</v>
      </c>
      <c r="E41" s="29">
        <v>3</v>
      </c>
      <c r="F41" s="108">
        <f t="shared" si="20"/>
        <v>0</v>
      </c>
      <c r="G41" s="38">
        <f t="shared" si="21"/>
        <v>0</v>
      </c>
      <c r="H41" s="109">
        <f t="shared" si="22"/>
        <v>0</v>
      </c>
      <c r="I41" s="106">
        <f>IFERROR(INDEX(DB!$G$3:$G$65423,MATCH($C41&amp;"-"&amp;$D41&amp;"-"&amp;I$2&amp;"-"&amp;$E41,INDEX(DB!$A$3:$A$65423&amp;"-"&amp;DB!$C$3:$C$65423&amp;"-"&amp;DB!$D$3:$D$65423&amp;"-"&amp;DB!$E$3:$E$65423,),0)),0)</f>
        <v>0</v>
      </c>
      <c r="J41" s="38">
        <f t="shared" si="17"/>
        <v>0</v>
      </c>
      <c r="K41" s="107">
        <f>IFERROR(INDEX(DB!$F$3:$F$65423,MATCH($C41&amp;"-"&amp;$D41&amp;"-"&amp;I$2&amp;"-"&amp;$E41,INDEX(DB!$A$3:$A$65423&amp;"-"&amp;DB!$C$3:$C$65423&amp;"-"&amp;DB!$D$3:$D$65423&amp;"-"&amp;DB!$E$3:$E$65423,),0)),0)</f>
        <v>0</v>
      </c>
      <c r="L41"/>
      <c r="M41"/>
      <c r="N41"/>
      <c r="O41"/>
      <c r="P41"/>
      <c r="Q41"/>
      <c r="R41" s="23"/>
      <c r="S41" s="27"/>
      <c r="T41" s="23"/>
      <c r="U41" s="23"/>
      <c r="V41" s="27"/>
      <c r="W41" s="23"/>
      <c r="X41" s="23"/>
      <c r="Y41" s="27"/>
      <c r="Z41" s="23"/>
    </row>
    <row r="42" spans="1:26" s="14" customFormat="1" ht="12" customHeight="1" outlineLevel="1" x14ac:dyDescent="0.2">
      <c r="A42" s="199"/>
      <c r="B42" s="87" t="s">
        <v>85</v>
      </c>
      <c r="C42" s="29">
        <v>0</v>
      </c>
      <c r="D42" s="29">
        <v>2401</v>
      </c>
      <c r="E42" s="29">
        <v>106</v>
      </c>
      <c r="F42" s="108">
        <f t="shared" ref="F42" si="23">SUMIF(I$3:N$3,$F$3,I42:N42)</f>
        <v>0</v>
      </c>
      <c r="G42" s="38">
        <f t="shared" ref="G42" si="24">IF(ISERROR(F42/H42),0,F42/H42)</f>
        <v>0</v>
      </c>
      <c r="H42" s="109">
        <f t="shared" si="22"/>
        <v>0</v>
      </c>
      <c r="I42" s="106">
        <f>IFERROR(INDEX(DB!$G$3:$G$65423,MATCH($C42&amp;"-"&amp;$D42&amp;"-"&amp;I$2&amp;"-"&amp;$E42,INDEX(DB!$A$3:$A$65423&amp;"-"&amp;DB!$C$3:$C$65423&amp;"-"&amp;DB!$D$3:$D$65423&amp;"-"&amp;DB!$E$3:$E$65423,),0)),0)</f>
        <v>0</v>
      </c>
      <c r="J42" s="38">
        <f t="shared" si="17"/>
        <v>0</v>
      </c>
      <c r="K42" s="107">
        <f>IFERROR(INDEX(DB!$F$3:$F$65423,MATCH($C42&amp;"-"&amp;$D42&amp;"-"&amp;I$2&amp;"-"&amp;$E42,INDEX(DB!$A$3:$A$65423&amp;"-"&amp;DB!$C$3:$C$65423&amp;"-"&amp;DB!$D$3:$D$65423&amp;"-"&amp;DB!$E$3:$E$65423,),0)),0)</f>
        <v>0</v>
      </c>
      <c r="L42"/>
      <c r="M42"/>
      <c r="N42"/>
      <c r="O42"/>
      <c r="P42"/>
      <c r="Q42"/>
      <c r="R42" s="23"/>
      <c r="S42" s="27"/>
      <c r="T42" s="23"/>
      <c r="U42" s="23"/>
      <c r="V42" s="27"/>
      <c r="W42" s="23"/>
      <c r="X42" s="23"/>
      <c r="Y42" s="27"/>
      <c r="Z42" s="23"/>
    </row>
    <row r="43" spans="1:26" s="14" customFormat="1" ht="12" customHeight="1" outlineLevel="1" x14ac:dyDescent="0.2">
      <c r="A43" s="199"/>
      <c r="B43" s="93" t="s">
        <v>2</v>
      </c>
      <c r="C43" s="30">
        <v>0</v>
      </c>
      <c r="D43" s="30">
        <v>2401</v>
      </c>
      <c r="E43" s="30">
        <v>4</v>
      </c>
      <c r="F43" s="110">
        <f t="shared" si="20"/>
        <v>0</v>
      </c>
      <c r="G43" s="36">
        <f t="shared" si="21"/>
        <v>0</v>
      </c>
      <c r="H43" s="111">
        <f t="shared" si="22"/>
        <v>0</v>
      </c>
      <c r="I43" s="106">
        <f>IFERROR(INDEX(DB!$G$3:$G$65423,MATCH($C43&amp;"-"&amp;$D43&amp;"-"&amp;I$2&amp;"-"&amp;$E43,INDEX(DB!$A$3:$A$65423&amp;"-"&amp;DB!$C$3:$C$65423&amp;"-"&amp;DB!$D$3:$D$65423&amp;"-"&amp;DB!$E$3:$E$65423,),0)),0)</f>
        <v>0</v>
      </c>
      <c r="J43" s="36">
        <f t="shared" si="17"/>
        <v>0</v>
      </c>
      <c r="K43" s="107">
        <f>IFERROR(INDEX(DB!$F$3:$F$65423,MATCH($C43&amp;"-"&amp;$D43&amp;"-"&amp;I$2&amp;"-"&amp;$E43,INDEX(DB!$A$3:$A$65423&amp;"-"&amp;DB!$C$3:$C$65423&amp;"-"&amp;DB!$D$3:$D$65423&amp;"-"&amp;DB!$E$3:$E$65423,),0)),0)</f>
        <v>0</v>
      </c>
      <c r="L43"/>
      <c r="M43"/>
      <c r="N43"/>
      <c r="O43"/>
      <c r="P43"/>
      <c r="Q43"/>
      <c r="R43" s="23"/>
      <c r="S43" s="27"/>
      <c r="T43" s="23"/>
      <c r="U43" s="23"/>
      <c r="V43" s="27"/>
      <c r="W43" s="23"/>
      <c r="X43" s="23"/>
      <c r="Y43" s="27"/>
      <c r="Z43" s="23"/>
    </row>
    <row r="44" spans="1:26" ht="0.15" customHeight="1" outlineLevel="1" x14ac:dyDescent="0.2">
      <c r="A44" s="200"/>
      <c r="B44" s="63" t="s">
        <v>73</v>
      </c>
      <c r="C44" s="25"/>
      <c r="D44" s="31">
        <v>2401</v>
      </c>
      <c r="E44" s="31">
        <v>20</v>
      </c>
      <c r="F44" s="100">
        <f t="shared" si="20"/>
        <v>0</v>
      </c>
      <c r="G44" s="112" t="s">
        <v>74</v>
      </c>
      <c r="H44" s="113">
        <f t="shared" si="22"/>
        <v>0</v>
      </c>
      <c r="I44" s="114">
        <f>IFERROR(INDEX(DB!$AB$3:$AB$65423,MATCH($D44&amp;"-"&amp;I$2,INDEX(DB!$Y$3:$Y$65423&amp;"-"&amp;DB!$Z$3:$Z$65423,),0)),0)</f>
        <v>0</v>
      </c>
      <c r="J44" s="112" t="s">
        <v>75</v>
      </c>
      <c r="K44" s="115">
        <f>IFERROR(INDEX(DB!$AA$3:$AA$65423,MATCH($D44&amp;"-"&amp;I$2,INDEX(DB!$Y$3:$Y$65423&amp;"-"&amp;DB!$Z$3:$Z$65423,),0)),0)</f>
        <v>0</v>
      </c>
      <c r="L44"/>
      <c r="M44"/>
      <c r="N44"/>
      <c r="O44"/>
      <c r="P44"/>
      <c r="Q44"/>
      <c r="R44" s="23"/>
      <c r="S44" s="26"/>
      <c r="T44" s="23"/>
      <c r="U44" s="23"/>
      <c r="V44" s="26"/>
      <c r="W44" s="23"/>
      <c r="X44" s="23"/>
      <c r="Y44" s="26"/>
      <c r="Z44" s="23"/>
    </row>
    <row r="45" spans="1:26" ht="13.5" customHeight="1" collapsed="1" x14ac:dyDescent="0.2">
      <c r="A45" s="198" t="s">
        <v>81</v>
      </c>
      <c r="B45" s="118" t="s">
        <v>96</v>
      </c>
      <c r="C45" s="56"/>
      <c r="D45" s="56">
        <v>6601</v>
      </c>
      <c r="E45" s="56"/>
      <c r="F45" s="100">
        <f t="shared" si="20"/>
        <v>0</v>
      </c>
      <c r="G45" s="57">
        <f t="shared" ref="G45" si="25">IF(ISERROR(F45/H45),0,F45/H45)</f>
        <v>0</v>
      </c>
      <c r="H45" s="101">
        <f t="shared" si="22"/>
        <v>0</v>
      </c>
      <c r="I45" s="102">
        <f>SUMIF($D46:$D51,$D45,I46:I51)</f>
        <v>0</v>
      </c>
      <c r="J45" s="57">
        <f t="shared" ref="J45:J51" si="26">IF(ISERROR(I45/K45),0,I45/K45)</f>
        <v>0</v>
      </c>
      <c r="K45" s="103">
        <f>SUM(K46:K51)</f>
        <v>0</v>
      </c>
      <c r="L45"/>
      <c r="M45"/>
      <c r="N45"/>
      <c r="O45"/>
      <c r="P45"/>
      <c r="Q45"/>
      <c r="R45" s="23"/>
      <c r="S45" s="27"/>
      <c r="T45" s="23"/>
      <c r="U45" s="23"/>
      <c r="V45" s="27"/>
      <c r="W45" s="23"/>
      <c r="X45" s="23"/>
      <c r="Y45" s="27"/>
      <c r="Z45" s="23"/>
    </row>
    <row r="46" spans="1:26" s="14" customFormat="1" ht="12" customHeight="1" outlineLevel="1" x14ac:dyDescent="0.2">
      <c r="A46" s="199"/>
      <c r="B46" s="82" t="s">
        <v>1</v>
      </c>
      <c r="C46" s="28">
        <v>0</v>
      </c>
      <c r="D46" s="28">
        <v>6601</v>
      </c>
      <c r="E46" s="28">
        <v>0</v>
      </c>
      <c r="F46" s="104">
        <f t="shared" si="20"/>
        <v>0</v>
      </c>
      <c r="G46" s="37">
        <f t="shared" ref="G46" si="27">IF(ISERROR(F46/H46),0,F46/H46)</f>
        <v>0</v>
      </c>
      <c r="H46" s="105">
        <f>SUMIF(I$3:N$3,$H$3,I46:N46)</f>
        <v>0</v>
      </c>
      <c r="I46" s="106">
        <f>IFERROR(INDEX(DB!$G$3:$G$65423,MATCH($C46&amp;"-"&amp;$D46&amp;"-"&amp;I$2&amp;"-"&amp;$E46,INDEX(DB!$A$3:$A$65423&amp;"-"&amp;DB!$C$3:$C$65423&amp;"-"&amp;DB!$D$3:$D$65423&amp;"-"&amp;DB!$E$3:$E$65423,),0)),0)</f>
        <v>0</v>
      </c>
      <c r="J46" s="37">
        <f t="shared" si="26"/>
        <v>0</v>
      </c>
      <c r="K46" s="107">
        <f>IFERROR(INDEX(DB!$F$3:$F$65423,MATCH($C46&amp;"-"&amp;$D46&amp;"-"&amp;I$2&amp;"-"&amp;$E46,INDEX(DB!$A$3:$A$65423&amp;"-"&amp;DB!$C$3:$C$65423&amp;"-"&amp;DB!$D$3:$D$65423&amp;"-"&amp;DB!$E$3:$E$65423,),0)),0)</f>
        <v>0</v>
      </c>
      <c r="L46"/>
      <c r="M46"/>
      <c r="N46"/>
      <c r="O46"/>
      <c r="P46"/>
      <c r="Q46"/>
      <c r="R46" s="23"/>
      <c r="S46" s="27"/>
      <c r="T46" s="23"/>
      <c r="U46" s="23"/>
      <c r="V46" s="27"/>
      <c r="W46" s="23"/>
      <c r="X46" s="23"/>
      <c r="Y46" s="27"/>
      <c r="Z46" s="23"/>
    </row>
    <row r="47" spans="1:26" s="14" customFormat="1" ht="12" customHeight="1" outlineLevel="1" x14ac:dyDescent="0.2">
      <c r="A47" s="199"/>
      <c r="B47" s="87" t="s">
        <v>90</v>
      </c>
      <c r="C47" s="29">
        <v>0</v>
      </c>
      <c r="D47" s="29">
        <v>6601</v>
      </c>
      <c r="E47" s="29">
        <v>1</v>
      </c>
      <c r="F47" s="108">
        <f>SUMIF(I$3:N$3,$F$3,I47:N47)</f>
        <v>0</v>
      </c>
      <c r="G47" s="38">
        <f t="shared" ref="G47" si="28">IF(ISERROR(F47/H47),0,F47/H47)</f>
        <v>0</v>
      </c>
      <c r="H47" s="109">
        <f>SUMIF(I$3:N$3,$H$3,I47:N47)</f>
        <v>0</v>
      </c>
      <c r="I47" s="106">
        <f>IFERROR(INDEX(DB!$G$3:$G$65423,MATCH($C47&amp;"-"&amp;$D47&amp;"-"&amp;I$2&amp;"-"&amp;$E47,INDEX(DB!$A$3:$A$65423&amp;"-"&amp;DB!$C$3:$C$65423&amp;"-"&amp;DB!$D$3:$D$65423&amp;"-"&amp;DB!$E$3:$E$65423,),0)),0)</f>
        <v>0</v>
      </c>
      <c r="J47" s="38">
        <f t="shared" si="26"/>
        <v>0</v>
      </c>
      <c r="K47" s="107">
        <f>IFERROR(INDEX(DB!$F$3:$F$65423,MATCH($C47&amp;"-"&amp;$D47&amp;"-"&amp;I$2&amp;"-"&amp;$E47,INDEX(DB!$A$3:$A$65423&amp;"-"&amp;DB!$C$3:$C$65423&amp;"-"&amp;DB!$D$3:$D$65423&amp;"-"&amp;DB!$E$3:$E$65423,),0)),0)</f>
        <v>0</v>
      </c>
      <c r="L47"/>
      <c r="M47"/>
      <c r="N47"/>
      <c r="O47"/>
      <c r="P47"/>
      <c r="Q47"/>
      <c r="R47" s="23"/>
      <c r="S47" s="27"/>
      <c r="T47" s="23"/>
      <c r="U47" s="23"/>
      <c r="V47" s="27"/>
      <c r="W47" s="23"/>
      <c r="X47" s="23"/>
      <c r="Y47" s="27"/>
      <c r="Z47" s="23"/>
    </row>
    <row r="48" spans="1:26" s="14" customFormat="1" ht="12" customHeight="1" outlineLevel="1" x14ac:dyDescent="0.2">
      <c r="A48" s="199"/>
      <c r="B48" s="87" t="s">
        <v>91</v>
      </c>
      <c r="C48" s="29">
        <v>0</v>
      </c>
      <c r="D48" s="29">
        <v>6601</v>
      </c>
      <c r="E48" s="29">
        <v>2</v>
      </c>
      <c r="F48" s="108">
        <f t="shared" ref="F48:F86" si="29">SUMIF(I$3:N$3,$F$3,I48:N48)</f>
        <v>0</v>
      </c>
      <c r="G48" s="38">
        <f t="shared" ref="G48:G51" si="30">IF(ISERROR(F48/H48),0,F48/H48)</f>
        <v>0</v>
      </c>
      <c r="H48" s="109">
        <f t="shared" ref="H48:H53" si="31">SUMIF(I$3:N$3,$H$3,I48:N48)</f>
        <v>0</v>
      </c>
      <c r="I48" s="106">
        <f>IFERROR(INDEX(DB!$G$3:$G$65423,MATCH($C48&amp;"-"&amp;$D48&amp;"-"&amp;I$2&amp;"-"&amp;$E48,INDEX(DB!$A$3:$A$65423&amp;"-"&amp;DB!$C$3:$C$65423&amp;"-"&amp;DB!$D$3:$D$65423&amp;"-"&amp;DB!$E$3:$E$65423,),0)),0)</f>
        <v>0</v>
      </c>
      <c r="J48" s="38">
        <f t="shared" si="26"/>
        <v>0</v>
      </c>
      <c r="K48" s="107">
        <f>IFERROR(INDEX(DB!$F$3:$F$65423,MATCH($C48&amp;"-"&amp;$D48&amp;"-"&amp;I$2&amp;"-"&amp;$E48,INDEX(DB!$A$3:$A$65423&amp;"-"&amp;DB!$C$3:$C$65423&amp;"-"&amp;DB!$D$3:$D$65423&amp;"-"&amp;DB!$E$3:$E$65423,),0)),0)</f>
        <v>0</v>
      </c>
      <c r="L48"/>
      <c r="M48"/>
      <c r="N48"/>
      <c r="O48"/>
      <c r="P48"/>
      <c r="Q48"/>
      <c r="R48" s="23"/>
      <c r="S48" s="27"/>
      <c r="T48" s="23"/>
      <c r="U48" s="23"/>
      <c r="V48" s="27"/>
      <c r="W48" s="23"/>
      <c r="X48" s="23"/>
      <c r="Y48" s="27"/>
      <c r="Z48" s="23"/>
    </row>
    <row r="49" spans="1:26" s="14" customFormat="1" ht="12" customHeight="1" outlineLevel="1" x14ac:dyDescent="0.2">
      <c r="A49" s="199"/>
      <c r="B49" s="87" t="s">
        <v>104</v>
      </c>
      <c r="C49" s="29">
        <v>0</v>
      </c>
      <c r="D49" s="29">
        <v>6601</v>
      </c>
      <c r="E49" s="29">
        <v>3</v>
      </c>
      <c r="F49" s="108">
        <f t="shared" si="29"/>
        <v>0</v>
      </c>
      <c r="G49" s="38">
        <f t="shared" si="30"/>
        <v>0</v>
      </c>
      <c r="H49" s="109">
        <f t="shared" si="31"/>
        <v>0</v>
      </c>
      <c r="I49" s="106">
        <f>IFERROR(INDEX(DB!$G$3:$G$65423,MATCH($C49&amp;"-"&amp;$D49&amp;"-"&amp;I$2&amp;"-"&amp;$E49,INDEX(DB!$A$3:$A$65423&amp;"-"&amp;DB!$C$3:$C$65423&amp;"-"&amp;DB!$D$3:$D$65423&amp;"-"&amp;DB!$E$3:$E$65423,),0)),0)</f>
        <v>0</v>
      </c>
      <c r="J49" s="38">
        <f t="shared" si="26"/>
        <v>0</v>
      </c>
      <c r="K49" s="107">
        <f>IFERROR(INDEX(DB!$F$3:$F$65423,MATCH($C49&amp;"-"&amp;$D49&amp;"-"&amp;I$2&amp;"-"&amp;$E49,INDEX(DB!$A$3:$A$65423&amp;"-"&amp;DB!$C$3:$C$65423&amp;"-"&amp;DB!$D$3:$D$65423&amp;"-"&amp;DB!$E$3:$E$65423,),0)),0)</f>
        <v>0</v>
      </c>
      <c r="L49"/>
      <c r="M49"/>
      <c r="N49"/>
      <c r="O49"/>
      <c r="P49"/>
      <c r="Q49"/>
      <c r="R49" s="23"/>
      <c r="S49" s="27"/>
      <c r="T49" s="23"/>
      <c r="U49" s="23"/>
      <c r="V49" s="27"/>
      <c r="W49" s="23"/>
      <c r="X49" s="23"/>
      <c r="Y49" s="27"/>
      <c r="Z49" s="23"/>
    </row>
    <row r="50" spans="1:26" s="14" customFormat="1" ht="12" customHeight="1" outlineLevel="1" x14ac:dyDescent="0.2">
      <c r="A50" s="199"/>
      <c r="B50" s="87" t="s">
        <v>85</v>
      </c>
      <c r="C50" s="29">
        <v>0</v>
      </c>
      <c r="D50" s="29">
        <v>6601</v>
      </c>
      <c r="E50" s="29">
        <v>106</v>
      </c>
      <c r="F50" s="108">
        <f t="shared" si="29"/>
        <v>0</v>
      </c>
      <c r="G50" s="38">
        <f t="shared" si="30"/>
        <v>0</v>
      </c>
      <c r="H50" s="109">
        <f t="shared" si="31"/>
        <v>0</v>
      </c>
      <c r="I50" s="106">
        <f>IFERROR(INDEX(DB!$G$3:$G$65423,MATCH($C50&amp;"-"&amp;$D50&amp;"-"&amp;I$2&amp;"-"&amp;$E50,INDEX(DB!$A$3:$A$65423&amp;"-"&amp;DB!$C$3:$C$65423&amp;"-"&amp;DB!$D$3:$D$65423&amp;"-"&amp;DB!$E$3:$E$65423,),0)),0)</f>
        <v>0</v>
      </c>
      <c r="J50" s="38">
        <f t="shared" si="26"/>
        <v>0</v>
      </c>
      <c r="K50" s="107">
        <f>IFERROR(INDEX(DB!$F$3:$F$65423,MATCH($C50&amp;"-"&amp;$D50&amp;"-"&amp;I$2&amp;"-"&amp;$E50,INDEX(DB!$A$3:$A$65423&amp;"-"&amp;DB!$C$3:$C$65423&amp;"-"&amp;DB!$D$3:$D$65423&amp;"-"&amp;DB!$E$3:$E$65423,),0)),0)</f>
        <v>0</v>
      </c>
      <c r="L50"/>
      <c r="M50"/>
      <c r="N50"/>
      <c r="O50"/>
      <c r="P50"/>
      <c r="Q50"/>
      <c r="R50" s="23"/>
      <c r="S50" s="27"/>
      <c r="T50" s="23"/>
      <c r="U50" s="23"/>
      <c r="V50" s="27"/>
      <c r="W50" s="23"/>
      <c r="X50" s="23"/>
      <c r="Y50" s="27"/>
      <c r="Z50" s="23"/>
    </row>
    <row r="51" spans="1:26" s="14" customFormat="1" ht="12" customHeight="1" outlineLevel="1" x14ac:dyDescent="0.2">
      <c r="A51" s="199"/>
      <c r="B51" s="93" t="s">
        <v>2</v>
      </c>
      <c r="C51" s="30">
        <v>0</v>
      </c>
      <c r="D51" s="30">
        <v>6601</v>
      </c>
      <c r="E51" s="30">
        <v>4</v>
      </c>
      <c r="F51" s="110">
        <f t="shared" si="29"/>
        <v>0</v>
      </c>
      <c r="G51" s="36">
        <f t="shared" si="30"/>
        <v>0</v>
      </c>
      <c r="H51" s="111">
        <f t="shared" si="31"/>
        <v>0</v>
      </c>
      <c r="I51" s="106">
        <f>IFERROR(INDEX(DB!$G$3:$G$65423,MATCH($C51&amp;"-"&amp;$D51&amp;"-"&amp;I$2&amp;"-"&amp;$E51,INDEX(DB!$A$3:$A$65423&amp;"-"&amp;DB!$C$3:$C$65423&amp;"-"&amp;DB!$D$3:$D$65423&amp;"-"&amp;DB!$E$3:$E$65423,),0)),0)</f>
        <v>0</v>
      </c>
      <c r="J51" s="36">
        <f t="shared" si="26"/>
        <v>0</v>
      </c>
      <c r="K51" s="107">
        <f>IFERROR(INDEX(DB!$F$3:$F$65423,MATCH($C51&amp;"-"&amp;$D51&amp;"-"&amp;I$2&amp;"-"&amp;$E51,INDEX(DB!$A$3:$A$65423&amp;"-"&amp;DB!$C$3:$C$65423&amp;"-"&amp;DB!$D$3:$D$65423&amp;"-"&amp;DB!$E$3:$E$65423,),0)),0)</f>
        <v>0</v>
      </c>
      <c r="L51"/>
      <c r="M51"/>
      <c r="N51"/>
      <c r="O51"/>
      <c r="P51"/>
      <c r="Q51"/>
      <c r="R51" s="23"/>
      <c r="S51" s="27"/>
      <c r="T51" s="23"/>
      <c r="U51" s="23"/>
      <c r="V51" s="27"/>
      <c r="W51" s="23"/>
      <c r="X51" s="23"/>
      <c r="Y51" s="27"/>
      <c r="Z51" s="23"/>
    </row>
    <row r="52" spans="1:26" ht="0.15" customHeight="1" outlineLevel="1" x14ac:dyDescent="0.2">
      <c r="A52" s="200"/>
      <c r="B52" s="63" t="s">
        <v>73</v>
      </c>
      <c r="C52" s="25"/>
      <c r="D52" s="31">
        <v>6601</v>
      </c>
      <c r="E52" s="31">
        <v>20</v>
      </c>
      <c r="F52" s="100">
        <f t="shared" si="29"/>
        <v>0</v>
      </c>
      <c r="G52" s="112" t="s">
        <v>74</v>
      </c>
      <c r="H52" s="113">
        <f t="shared" si="31"/>
        <v>0</v>
      </c>
      <c r="I52" s="114">
        <f>IFERROR(INDEX(DB!$AB$3:$AB$65423,MATCH($D52&amp;"-"&amp;I$2,INDEX(DB!$Y$3:$Y$65423&amp;"-"&amp;DB!$Z$3:$Z$65423,),0)),0)</f>
        <v>0</v>
      </c>
      <c r="J52" s="112" t="s">
        <v>75</v>
      </c>
      <c r="K52" s="115">
        <f>IFERROR(INDEX(DB!$AA$3:$AA$65423,MATCH($D52&amp;"-"&amp;I$2,INDEX(DB!$Y$3:$Y$65423&amp;"-"&amp;DB!$Z$3:$Z$65423,),0)),0)</f>
        <v>0</v>
      </c>
      <c r="L52"/>
      <c r="M52"/>
      <c r="N52"/>
      <c r="O52"/>
      <c r="P52"/>
      <c r="Q52"/>
      <c r="R52" s="23"/>
      <c r="S52" s="26"/>
      <c r="T52" s="23"/>
      <c r="U52" s="23"/>
      <c r="V52" s="26"/>
      <c r="W52" s="23"/>
      <c r="X52" s="23"/>
      <c r="Y52" s="26"/>
      <c r="Z52" s="23"/>
    </row>
    <row r="53" spans="1:26" ht="13.5" customHeight="1" collapsed="1" x14ac:dyDescent="0.2">
      <c r="A53" s="198" t="s">
        <v>82</v>
      </c>
      <c r="B53" s="118" t="s">
        <v>96</v>
      </c>
      <c r="C53" s="56"/>
      <c r="D53" s="56">
        <v>3001</v>
      </c>
      <c r="E53" s="56"/>
      <c r="F53" s="100">
        <f t="shared" si="29"/>
        <v>0</v>
      </c>
      <c r="G53" s="57">
        <f t="shared" ref="G53" si="32">IF(ISERROR(F53/H53),0,F53/H53)</f>
        <v>0</v>
      </c>
      <c r="H53" s="101">
        <f t="shared" si="31"/>
        <v>0</v>
      </c>
      <c r="I53" s="102">
        <f>SUMIF($D54:$D59,$D53,I54:I59)</f>
        <v>0</v>
      </c>
      <c r="J53" s="57">
        <f t="shared" ref="J53:J59" si="33">IF(ISERROR(I53/K53),0,I53/K53)</f>
        <v>0</v>
      </c>
      <c r="K53" s="103">
        <f>SUM(K54:K59)</f>
        <v>0</v>
      </c>
      <c r="L53"/>
      <c r="M53"/>
      <c r="N53"/>
      <c r="O53"/>
      <c r="P53"/>
      <c r="Q53"/>
      <c r="R53" s="23"/>
      <c r="S53" s="27"/>
      <c r="T53" s="23"/>
      <c r="U53" s="23"/>
      <c r="V53" s="27"/>
      <c r="W53" s="23"/>
      <c r="X53" s="23"/>
      <c r="Y53" s="27"/>
      <c r="Z53" s="23"/>
    </row>
    <row r="54" spans="1:26" s="14" customFormat="1" ht="12" customHeight="1" outlineLevel="1" x14ac:dyDescent="0.2">
      <c r="A54" s="199"/>
      <c r="B54" s="82" t="s">
        <v>1</v>
      </c>
      <c r="C54" s="28">
        <v>0</v>
      </c>
      <c r="D54" s="28">
        <v>3001</v>
      </c>
      <c r="E54" s="28">
        <v>0</v>
      </c>
      <c r="F54" s="104">
        <f t="shared" si="29"/>
        <v>0</v>
      </c>
      <c r="G54" s="37">
        <f t="shared" ref="G54" si="34">IF(ISERROR(F54/H54),0,F54/H54)</f>
        <v>0</v>
      </c>
      <c r="H54" s="105">
        <f>SUMIF(I$3:N$3,$H$3,I54:N54)</f>
        <v>0</v>
      </c>
      <c r="I54" s="106">
        <f>IFERROR(INDEX(DB!$G$3:$G$65423,MATCH($C54&amp;"-"&amp;$D54&amp;"-"&amp;I$2&amp;"-"&amp;$E54,INDEX(DB!$A$3:$A$65423&amp;"-"&amp;DB!$C$3:$C$65423&amp;"-"&amp;DB!$D$3:$D$65423&amp;"-"&amp;DB!$E$3:$E$65423,),0)),0)</f>
        <v>0</v>
      </c>
      <c r="J54" s="37">
        <f t="shared" si="33"/>
        <v>0</v>
      </c>
      <c r="K54" s="107">
        <f>IFERROR(INDEX(DB!$F$3:$F$65423,MATCH($C54&amp;"-"&amp;$D54&amp;"-"&amp;I$2&amp;"-"&amp;$E54,INDEX(DB!$A$3:$A$65423&amp;"-"&amp;DB!$C$3:$C$65423&amp;"-"&amp;DB!$D$3:$D$65423&amp;"-"&amp;DB!$E$3:$E$65423,),0)),0)</f>
        <v>0</v>
      </c>
      <c r="L54"/>
      <c r="M54"/>
      <c r="N54"/>
      <c r="O54"/>
      <c r="P54"/>
      <c r="Q54"/>
      <c r="R54" s="23"/>
      <c r="S54" s="27"/>
      <c r="T54" s="23"/>
      <c r="U54" s="23"/>
      <c r="V54" s="27"/>
      <c r="W54" s="23"/>
      <c r="X54" s="23"/>
      <c r="Y54" s="27"/>
      <c r="Z54" s="23"/>
    </row>
    <row r="55" spans="1:26" s="14" customFormat="1" ht="12" customHeight="1" outlineLevel="1" x14ac:dyDescent="0.2">
      <c r="A55" s="199"/>
      <c r="B55" s="87" t="s">
        <v>90</v>
      </c>
      <c r="C55" s="29">
        <v>0</v>
      </c>
      <c r="D55" s="29">
        <v>3001</v>
      </c>
      <c r="E55" s="29">
        <v>1</v>
      </c>
      <c r="F55" s="108">
        <f>SUMIF(I$3:N$3,$F$3,I55:N55)</f>
        <v>0</v>
      </c>
      <c r="G55" s="38">
        <f t="shared" ref="G55" si="35">IF(ISERROR(F55/H55),0,F55/H55)</f>
        <v>0</v>
      </c>
      <c r="H55" s="109">
        <f>SUMIF(I$3:N$3,$H$3,I55:N55)</f>
        <v>0</v>
      </c>
      <c r="I55" s="106">
        <f>IFERROR(INDEX(DB!$G$3:$G$65423,MATCH($C55&amp;"-"&amp;$D55&amp;"-"&amp;I$2&amp;"-"&amp;$E55,INDEX(DB!$A$3:$A$65423&amp;"-"&amp;DB!$C$3:$C$65423&amp;"-"&amp;DB!$D$3:$D$65423&amp;"-"&amp;DB!$E$3:$E$65423,),0)),0)</f>
        <v>0</v>
      </c>
      <c r="J55" s="38">
        <f t="shared" si="33"/>
        <v>0</v>
      </c>
      <c r="K55" s="107">
        <f>IFERROR(INDEX(DB!$F$3:$F$65423,MATCH($C55&amp;"-"&amp;$D55&amp;"-"&amp;I$2&amp;"-"&amp;$E55,INDEX(DB!$A$3:$A$65423&amp;"-"&amp;DB!$C$3:$C$65423&amp;"-"&amp;DB!$D$3:$D$65423&amp;"-"&amp;DB!$E$3:$E$65423,),0)),0)</f>
        <v>0</v>
      </c>
      <c r="L55"/>
      <c r="M55"/>
      <c r="N55"/>
      <c r="O55"/>
      <c r="P55"/>
      <c r="Q55"/>
      <c r="R55" s="23"/>
      <c r="S55" s="27"/>
      <c r="T55" s="23"/>
      <c r="U55" s="23"/>
      <c r="V55" s="27"/>
      <c r="W55" s="23"/>
      <c r="X55" s="23"/>
      <c r="Y55" s="27"/>
      <c r="Z55" s="23"/>
    </row>
    <row r="56" spans="1:26" s="14" customFormat="1" ht="12" customHeight="1" outlineLevel="1" x14ac:dyDescent="0.2">
      <c r="A56" s="199"/>
      <c r="B56" s="87" t="s">
        <v>91</v>
      </c>
      <c r="C56" s="29">
        <v>0</v>
      </c>
      <c r="D56" s="29">
        <v>3001</v>
      </c>
      <c r="E56" s="29">
        <v>2</v>
      </c>
      <c r="F56" s="108">
        <f t="shared" ref="F56:F62" si="36">SUMIF(I$3:N$3,$F$3,I56:N56)</f>
        <v>0</v>
      </c>
      <c r="G56" s="38">
        <f t="shared" ref="G56:G59" si="37">IF(ISERROR(F56/H56),0,F56/H56)</f>
        <v>0</v>
      </c>
      <c r="H56" s="109">
        <f>SUMIF(I$3:N$3,$H$3,I56:N56)</f>
        <v>0</v>
      </c>
      <c r="I56" s="106">
        <f>IFERROR(INDEX(DB!$G$3:$G$65423,MATCH($C56&amp;"-"&amp;$D56&amp;"-"&amp;I$2&amp;"-"&amp;$E56,INDEX(DB!$A$3:$A$65423&amp;"-"&amp;DB!$C$3:$C$65423&amp;"-"&amp;DB!$D$3:$D$65423&amp;"-"&amp;DB!$E$3:$E$65423,),0)),0)</f>
        <v>0</v>
      </c>
      <c r="J56" s="38">
        <f t="shared" si="33"/>
        <v>0</v>
      </c>
      <c r="K56" s="107">
        <f>IFERROR(INDEX(DB!$F$3:$F$65423,MATCH($C56&amp;"-"&amp;$D56&amp;"-"&amp;I$2&amp;"-"&amp;$E56,INDEX(DB!$A$3:$A$65423&amp;"-"&amp;DB!$C$3:$C$65423&amp;"-"&amp;DB!$D$3:$D$65423&amp;"-"&amp;DB!$E$3:$E$65423,),0)),0)</f>
        <v>0</v>
      </c>
      <c r="L56"/>
      <c r="M56"/>
      <c r="N56"/>
      <c r="O56"/>
      <c r="P56"/>
      <c r="Q56"/>
      <c r="R56" s="23"/>
      <c r="S56" s="27"/>
      <c r="T56" s="23"/>
      <c r="U56" s="23"/>
      <c r="V56" s="27"/>
      <c r="W56" s="23"/>
      <c r="X56" s="23"/>
      <c r="Y56" s="27"/>
      <c r="Z56" s="23"/>
    </row>
    <row r="57" spans="1:26" s="14" customFormat="1" ht="12" customHeight="1" outlineLevel="1" x14ac:dyDescent="0.2">
      <c r="A57" s="199"/>
      <c r="B57" s="87" t="s">
        <v>104</v>
      </c>
      <c r="C57" s="29">
        <v>0</v>
      </c>
      <c r="D57" s="29">
        <v>3001</v>
      </c>
      <c r="E57" s="29">
        <v>3</v>
      </c>
      <c r="F57" s="108">
        <f t="shared" si="36"/>
        <v>0</v>
      </c>
      <c r="G57" s="38">
        <f t="shared" si="37"/>
        <v>0</v>
      </c>
      <c r="H57" s="109">
        <f>SUMIF(I$3:N$3,$H$3,I57:N57)</f>
        <v>0</v>
      </c>
      <c r="I57" s="106">
        <f>IFERROR(INDEX(DB!$G$3:$G$65423,MATCH($C57&amp;"-"&amp;$D57&amp;"-"&amp;I$2&amp;"-"&amp;$E57,INDEX(DB!$A$3:$A$65423&amp;"-"&amp;DB!$C$3:$C$65423&amp;"-"&amp;DB!$D$3:$D$65423&amp;"-"&amp;DB!$E$3:$E$65423,),0)),0)</f>
        <v>0</v>
      </c>
      <c r="J57" s="38">
        <f t="shared" si="33"/>
        <v>0</v>
      </c>
      <c r="K57" s="107">
        <f>IFERROR(INDEX(DB!$F$3:$F$65423,MATCH($C57&amp;"-"&amp;$D57&amp;"-"&amp;I$2&amp;"-"&amp;$E57,INDEX(DB!$A$3:$A$65423&amp;"-"&amp;DB!$C$3:$C$65423&amp;"-"&amp;DB!$D$3:$D$65423&amp;"-"&amp;DB!$E$3:$E$65423,),0)),0)</f>
        <v>0</v>
      </c>
      <c r="L57"/>
      <c r="M57"/>
      <c r="N57"/>
      <c r="O57"/>
      <c r="P57"/>
      <c r="Q57"/>
      <c r="R57" s="23"/>
      <c r="S57" s="27"/>
      <c r="T57" s="23"/>
      <c r="U57" s="23"/>
      <c r="V57" s="27"/>
      <c r="W57" s="23"/>
      <c r="X57" s="23"/>
      <c r="Y57" s="27"/>
      <c r="Z57" s="23"/>
    </row>
    <row r="58" spans="1:26" s="14" customFormat="1" ht="12" customHeight="1" outlineLevel="1" x14ac:dyDescent="0.2">
      <c r="A58" s="199"/>
      <c r="B58" s="87" t="s">
        <v>85</v>
      </c>
      <c r="C58" s="29">
        <v>0</v>
      </c>
      <c r="D58" s="29">
        <v>3001</v>
      </c>
      <c r="E58" s="29">
        <v>106</v>
      </c>
      <c r="F58" s="108">
        <f t="shared" si="36"/>
        <v>0</v>
      </c>
      <c r="G58" s="38">
        <f t="shared" si="37"/>
        <v>0</v>
      </c>
      <c r="H58" s="109">
        <f t="shared" ref="H58" si="38">SUMIF(I$3:N$3,$H$3,I58:N58)</f>
        <v>0</v>
      </c>
      <c r="I58" s="106">
        <f>IFERROR(INDEX(DB!$G$3:$G$65423,MATCH($C58&amp;"-"&amp;$D58&amp;"-"&amp;I$2&amp;"-"&amp;$E58,INDEX(DB!$A$3:$A$65423&amp;"-"&amp;DB!$C$3:$C$65423&amp;"-"&amp;DB!$D$3:$D$65423&amp;"-"&amp;DB!$E$3:$E$65423,),0)),0)</f>
        <v>0</v>
      </c>
      <c r="J58" s="38">
        <f t="shared" si="33"/>
        <v>0</v>
      </c>
      <c r="K58" s="107">
        <f>IFERROR(INDEX(DB!$F$3:$F$65423,MATCH($C58&amp;"-"&amp;$D58&amp;"-"&amp;I$2&amp;"-"&amp;$E58,INDEX(DB!$A$3:$A$65423&amp;"-"&amp;DB!$C$3:$C$65423&amp;"-"&amp;DB!$D$3:$D$65423&amp;"-"&amp;DB!$E$3:$E$65423,),0)),0)</f>
        <v>0</v>
      </c>
      <c r="L58"/>
      <c r="M58"/>
      <c r="N58"/>
      <c r="O58"/>
      <c r="P58"/>
      <c r="Q58"/>
      <c r="R58" s="23"/>
      <c r="S58" s="27"/>
      <c r="T58" s="23"/>
      <c r="U58" s="23"/>
      <c r="V58" s="27"/>
      <c r="W58" s="23"/>
      <c r="X58" s="23"/>
      <c r="Y58" s="27"/>
      <c r="Z58" s="23"/>
    </row>
    <row r="59" spans="1:26" s="14" customFormat="1" ht="12" customHeight="1" outlineLevel="1" x14ac:dyDescent="0.2">
      <c r="A59" s="199"/>
      <c r="B59" s="93" t="s">
        <v>2</v>
      </c>
      <c r="C59" s="30">
        <v>0</v>
      </c>
      <c r="D59" s="30">
        <v>3001</v>
      </c>
      <c r="E59" s="30">
        <v>4</v>
      </c>
      <c r="F59" s="110">
        <f t="shared" si="36"/>
        <v>0</v>
      </c>
      <c r="G59" s="36">
        <f t="shared" si="37"/>
        <v>0</v>
      </c>
      <c r="H59" s="111">
        <f t="shared" ref="H59:H65" si="39">SUMIF(I$3:N$3,$H$3,I59:N59)</f>
        <v>0</v>
      </c>
      <c r="I59" s="106">
        <f>IFERROR(INDEX(DB!$G$3:$G$65423,MATCH($C59&amp;"-"&amp;$D59&amp;"-"&amp;I$2&amp;"-"&amp;$E59,INDEX(DB!$A$3:$A$65423&amp;"-"&amp;DB!$C$3:$C$65423&amp;"-"&amp;DB!$D$3:$D$65423&amp;"-"&amp;DB!$E$3:$E$65423,),0)),0)</f>
        <v>0</v>
      </c>
      <c r="J59" s="36">
        <f t="shared" si="33"/>
        <v>0</v>
      </c>
      <c r="K59" s="107">
        <f>IFERROR(INDEX(DB!$F$3:$F$65423,MATCH($C59&amp;"-"&amp;$D59&amp;"-"&amp;I$2&amp;"-"&amp;$E59,INDEX(DB!$A$3:$A$65423&amp;"-"&amp;DB!$C$3:$C$65423&amp;"-"&amp;DB!$D$3:$D$65423&amp;"-"&amp;DB!$E$3:$E$65423,),0)),0)</f>
        <v>0</v>
      </c>
      <c r="L59"/>
      <c r="M59"/>
      <c r="N59"/>
      <c r="O59"/>
      <c r="P59"/>
      <c r="Q59"/>
      <c r="R59" s="23"/>
      <c r="S59" s="27"/>
      <c r="T59" s="23"/>
      <c r="U59" s="23"/>
      <c r="V59" s="27"/>
      <c r="W59" s="23"/>
      <c r="X59" s="23"/>
      <c r="Y59" s="27"/>
      <c r="Z59" s="23"/>
    </row>
    <row r="60" spans="1:26" ht="0.15" customHeight="1" outlineLevel="1" x14ac:dyDescent="0.2">
      <c r="A60" s="200"/>
      <c r="B60" s="63" t="s">
        <v>73</v>
      </c>
      <c r="C60" s="25"/>
      <c r="D60" s="31">
        <v>3001</v>
      </c>
      <c r="E60" s="31">
        <v>20</v>
      </c>
      <c r="F60" s="100">
        <f t="shared" si="36"/>
        <v>0</v>
      </c>
      <c r="G60" s="112" t="s">
        <v>74</v>
      </c>
      <c r="H60" s="113">
        <f t="shared" si="39"/>
        <v>0</v>
      </c>
      <c r="I60" s="114">
        <f>IFERROR(INDEX(DB!$AB$3:$AB$65423,MATCH($D60&amp;"-"&amp;I$2,INDEX(DB!$Y$3:$Y$65423&amp;"-"&amp;DB!$Z$3:$Z$65423,),0)),0)</f>
        <v>0</v>
      </c>
      <c r="J60" s="112" t="s">
        <v>75</v>
      </c>
      <c r="K60" s="115">
        <f>IFERROR(INDEX(DB!$AA$3:$AA$65423,MATCH($D60&amp;"-"&amp;I$2,INDEX(DB!$Y$3:$Y$65423&amp;"-"&amp;DB!$Z$3:$Z$65423,),0)),0)</f>
        <v>0</v>
      </c>
      <c r="L60"/>
      <c r="M60"/>
      <c r="N60"/>
      <c r="O60"/>
      <c r="P60"/>
      <c r="Q60"/>
      <c r="R60" s="23"/>
      <c r="S60" s="26"/>
      <c r="T60" s="23"/>
      <c r="U60" s="23"/>
      <c r="V60" s="26"/>
      <c r="W60" s="23"/>
      <c r="X60" s="23"/>
      <c r="Y60" s="26"/>
      <c r="Z60" s="23"/>
    </row>
    <row r="61" spans="1:26" ht="13.5" customHeight="1" collapsed="1" x14ac:dyDescent="0.2">
      <c r="A61" s="198" t="s">
        <v>80</v>
      </c>
      <c r="B61" s="118" t="s">
        <v>96</v>
      </c>
      <c r="C61" s="56"/>
      <c r="D61" s="56">
        <v>9803</v>
      </c>
      <c r="E61" s="56"/>
      <c r="F61" s="100">
        <f t="shared" si="36"/>
        <v>0</v>
      </c>
      <c r="G61" s="57">
        <f t="shared" ref="G61" si="40">IF(ISERROR(F61/H61),0,F61/H61)</f>
        <v>0</v>
      </c>
      <c r="H61" s="101">
        <f t="shared" si="39"/>
        <v>0</v>
      </c>
      <c r="I61" s="102">
        <f>SUMIF($D62:$D67,$D61,I62:I67)</f>
        <v>0</v>
      </c>
      <c r="J61" s="57">
        <f t="shared" ref="J61:J67" si="41">IF(ISERROR(I61/K61),0,I61/K61)</f>
        <v>0</v>
      </c>
      <c r="K61" s="103">
        <f>SUM(K62:K67)</f>
        <v>0</v>
      </c>
      <c r="L61"/>
      <c r="M61"/>
      <c r="N61"/>
      <c r="O61"/>
      <c r="P61"/>
      <c r="Q61"/>
      <c r="R61" s="23"/>
      <c r="S61" s="27"/>
      <c r="T61" s="23"/>
      <c r="U61" s="23"/>
      <c r="V61" s="27"/>
      <c r="W61" s="23"/>
      <c r="X61" s="23"/>
      <c r="Y61" s="27"/>
      <c r="Z61" s="23"/>
    </row>
    <row r="62" spans="1:26" s="14" customFormat="1" ht="12" customHeight="1" outlineLevel="1" x14ac:dyDescent="0.2">
      <c r="A62" s="199"/>
      <c r="B62" s="82" t="s">
        <v>1</v>
      </c>
      <c r="C62" s="28">
        <v>0</v>
      </c>
      <c r="D62" s="28">
        <v>9803</v>
      </c>
      <c r="E62" s="28">
        <v>0</v>
      </c>
      <c r="F62" s="104">
        <f t="shared" si="36"/>
        <v>0</v>
      </c>
      <c r="G62" s="37">
        <f t="shared" ref="G62" si="42">IF(ISERROR(F62/H62),0,F62/H62)</f>
        <v>0</v>
      </c>
      <c r="H62" s="105">
        <f t="shared" si="39"/>
        <v>0</v>
      </c>
      <c r="I62" s="106">
        <f>IFERROR(INDEX(DB!$G$3:$G$65423,MATCH($C62&amp;"-"&amp;$D62&amp;"-"&amp;I$2&amp;"-"&amp;$E62,INDEX(DB!$A$3:$A$65423&amp;"-"&amp;DB!$C$3:$C$65423&amp;"-"&amp;DB!$D$3:$D$65423&amp;"-"&amp;DB!$E$3:$E$65423,),0)),0)</f>
        <v>0</v>
      </c>
      <c r="J62" s="37">
        <f t="shared" si="41"/>
        <v>0</v>
      </c>
      <c r="K62" s="107">
        <f>IFERROR(INDEX(DB!$F$3:$F$65423,MATCH($C62&amp;"-"&amp;$D62&amp;"-"&amp;I$2&amp;"-"&amp;$E62,INDEX(DB!$A$3:$A$65423&amp;"-"&amp;DB!$C$3:$C$65423&amp;"-"&amp;DB!$D$3:$D$65423&amp;"-"&amp;DB!$E$3:$E$65423,),0)),0)</f>
        <v>0</v>
      </c>
      <c r="L62"/>
      <c r="M62"/>
      <c r="N62"/>
      <c r="O62"/>
      <c r="P62"/>
      <c r="Q62"/>
      <c r="R62" s="23"/>
      <c r="S62" s="27"/>
      <c r="T62" s="23"/>
      <c r="U62" s="23"/>
      <c r="V62" s="27"/>
      <c r="W62" s="23"/>
      <c r="X62" s="23"/>
      <c r="Y62" s="27"/>
      <c r="Z62" s="23"/>
    </row>
    <row r="63" spans="1:26" s="14" customFormat="1" ht="12" customHeight="1" outlineLevel="1" x14ac:dyDescent="0.2">
      <c r="A63" s="199"/>
      <c r="B63" s="87" t="s">
        <v>90</v>
      </c>
      <c r="C63" s="29">
        <v>0</v>
      </c>
      <c r="D63" s="29">
        <v>9803</v>
      </c>
      <c r="E63" s="29">
        <v>1</v>
      </c>
      <c r="F63" s="108">
        <f>SUMIF(I$3:N$3,$F$3,I63:N63)</f>
        <v>0</v>
      </c>
      <c r="G63" s="38">
        <f t="shared" ref="G63" si="43">IF(ISERROR(F63/H63),0,F63/H63)</f>
        <v>0</v>
      </c>
      <c r="H63" s="109">
        <f t="shared" si="39"/>
        <v>0</v>
      </c>
      <c r="I63" s="106">
        <f>IFERROR(INDEX(DB!$G$3:$G$65423,MATCH($C63&amp;"-"&amp;$D63&amp;"-"&amp;I$2&amp;"-"&amp;$E63,INDEX(DB!$A$3:$A$65423&amp;"-"&amp;DB!$C$3:$C$65423&amp;"-"&amp;DB!$D$3:$D$65423&amp;"-"&amp;DB!$E$3:$E$65423,),0)),0)</f>
        <v>0</v>
      </c>
      <c r="J63" s="38">
        <f t="shared" si="41"/>
        <v>0</v>
      </c>
      <c r="K63" s="107">
        <f>IFERROR(INDEX(DB!$F$3:$F$65423,MATCH($C63&amp;"-"&amp;$D63&amp;"-"&amp;I$2&amp;"-"&amp;$E63,INDEX(DB!$A$3:$A$65423&amp;"-"&amp;DB!$C$3:$C$65423&amp;"-"&amp;DB!$D$3:$D$65423&amp;"-"&amp;DB!$E$3:$E$65423,),0)),0)</f>
        <v>0</v>
      </c>
      <c r="L63"/>
      <c r="M63"/>
      <c r="N63"/>
      <c r="O63"/>
      <c r="P63"/>
      <c r="Q63"/>
      <c r="R63" s="23"/>
      <c r="S63" s="27"/>
      <c r="T63" s="23"/>
      <c r="U63" s="23"/>
      <c r="V63" s="27"/>
      <c r="W63" s="23"/>
      <c r="X63" s="23"/>
      <c r="Y63" s="27"/>
      <c r="Z63" s="23"/>
    </row>
    <row r="64" spans="1:26" s="14" customFormat="1" ht="12" customHeight="1" outlineLevel="1" x14ac:dyDescent="0.2">
      <c r="A64" s="199"/>
      <c r="B64" s="87" t="s">
        <v>91</v>
      </c>
      <c r="C64" s="29">
        <v>0</v>
      </c>
      <c r="D64" s="29">
        <v>9803</v>
      </c>
      <c r="E64" s="29">
        <v>2</v>
      </c>
      <c r="F64" s="108">
        <f t="shared" ref="F64:F70" si="44">SUMIF(I$3:N$3,$F$3,I64:N64)</f>
        <v>0</v>
      </c>
      <c r="G64" s="38">
        <f t="shared" ref="G64:G67" si="45">IF(ISERROR(F64/H64),0,F64/H64)</f>
        <v>0</v>
      </c>
      <c r="H64" s="109">
        <f t="shared" si="39"/>
        <v>0</v>
      </c>
      <c r="I64" s="106">
        <f>IFERROR(INDEX(DB!$G$3:$G$65423,MATCH($C64&amp;"-"&amp;$D64&amp;"-"&amp;I$2&amp;"-"&amp;$E64,INDEX(DB!$A$3:$A$65423&amp;"-"&amp;DB!$C$3:$C$65423&amp;"-"&amp;DB!$D$3:$D$65423&amp;"-"&amp;DB!$E$3:$E$65423,),0)),0)</f>
        <v>0</v>
      </c>
      <c r="J64" s="38">
        <f t="shared" si="41"/>
        <v>0</v>
      </c>
      <c r="K64" s="107">
        <f>IFERROR(INDEX(DB!$F$3:$F$65423,MATCH($C64&amp;"-"&amp;$D64&amp;"-"&amp;I$2&amp;"-"&amp;$E64,INDEX(DB!$A$3:$A$65423&amp;"-"&amp;DB!$C$3:$C$65423&amp;"-"&amp;DB!$D$3:$D$65423&amp;"-"&amp;DB!$E$3:$E$65423,),0)),0)</f>
        <v>0</v>
      </c>
      <c r="L64"/>
      <c r="M64"/>
      <c r="N64"/>
      <c r="O64"/>
      <c r="P64"/>
      <c r="Q64"/>
      <c r="R64" s="23"/>
      <c r="S64" s="27"/>
      <c r="T64" s="23"/>
      <c r="U64" s="23"/>
      <c r="V64" s="27"/>
      <c r="W64" s="23"/>
      <c r="X64" s="23"/>
      <c r="Y64" s="27"/>
      <c r="Z64" s="23"/>
    </row>
    <row r="65" spans="1:26" s="14" customFormat="1" ht="12" customHeight="1" outlineLevel="1" x14ac:dyDescent="0.2">
      <c r="A65" s="199"/>
      <c r="B65" s="87" t="s">
        <v>104</v>
      </c>
      <c r="C65" s="29">
        <v>0</v>
      </c>
      <c r="D65" s="29">
        <v>9803</v>
      </c>
      <c r="E65" s="29">
        <v>3</v>
      </c>
      <c r="F65" s="108">
        <f t="shared" si="44"/>
        <v>0</v>
      </c>
      <c r="G65" s="38">
        <f t="shared" si="45"/>
        <v>0</v>
      </c>
      <c r="H65" s="109">
        <f t="shared" si="39"/>
        <v>0</v>
      </c>
      <c r="I65" s="106">
        <f>IFERROR(INDEX(DB!$G$3:$G$65423,MATCH($C65&amp;"-"&amp;$D65&amp;"-"&amp;I$2&amp;"-"&amp;$E65,INDEX(DB!$A$3:$A$65423&amp;"-"&amp;DB!$C$3:$C$65423&amp;"-"&amp;DB!$D$3:$D$65423&amp;"-"&amp;DB!$E$3:$E$65423,),0)),0)</f>
        <v>0</v>
      </c>
      <c r="J65" s="38">
        <f t="shared" si="41"/>
        <v>0</v>
      </c>
      <c r="K65" s="107">
        <f>IFERROR(INDEX(DB!$F$3:$F$65423,MATCH($C65&amp;"-"&amp;$D65&amp;"-"&amp;I$2&amp;"-"&amp;$E65,INDEX(DB!$A$3:$A$65423&amp;"-"&amp;DB!$C$3:$C$65423&amp;"-"&amp;DB!$D$3:$D$65423&amp;"-"&amp;DB!$E$3:$E$65423,),0)),0)</f>
        <v>0</v>
      </c>
      <c r="L65"/>
      <c r="M65"/>
      <c r="N65"/>
      <c r="O65"/>
      <c r="P65"/>
      <c r="Q65"/>
      <c r="R65" s="23"/>
      <c r="S65" s="27"/>
      <c r="T65" s="23"/>
      <c r="U65" s="23"/>
      <c r="V65" s="27"/>
      <c r="W65" s="23"/>
      <c r="X65" s="23"/>
      <c r="Y65" s="27"/>
      <c r="Z65" s="23"/>
    </row>
    <row r="66" spans="1:26" s="14" customFormat="1" ht="12" customHeight="1" outlineLevel="1" x14ac:dyDescent="0.2">
      <c r="A66" s="199"/>
      <c r="B66" s="87" t="s">
        <v>85</v>
      </c>
      <c r="C66" s="29">
        <v>0</v>
      </c>
      <c r="D66" s="29">
        <v>9803</v>
      </c>
      <c r="E66" s="29">
        <v>106</v>
      </c>
      <c r="F66" s="108">
        <f t="shared" si="44"/>
        <v>0</v>
      </c>
      <c r="G66" s="38">
        <f t="shared" si="45"/>
        <v>0</v>
      </c>
      <c r="H66" s="109">
        <f t="shared" ref="H66" si="46">SUMIF(I$3:N$3,$H$3,I66:N66)</f>
        <v>0</v>
      </c>
      <c r="I66" s="106">
        <f>IFERROR(INDEX(DB!$G$3:$G$65423,MATCH($C66&amp;"-"&amp;$D66&amp;"-"&amp;I$2&amp;"-"&amp;$E66,INDEX(DB!$A$3:$A$65423&amp;"-"&amp;DB!$C$3:$C$65423&amp;"-"&amp;DB!$D$3:$D$65423&amp;"-"&amp;DB!$E$3:$E$65423,),0)),0)</f>
        <v>0</v>
      </c>
      <c r="J66" s="38">
        <f t="shared" si="41"/>
        <v>0</v>
      </c>
      <c r="K66" s="107">
        <f>IFERROR(INDEX(DB!$F$3:$F$65423,MATCH($C66&amp;"-"&amp;$D66&amp;"-"&amp;I$2&amp;"-"&amp;$E66,INDEX(DB!$A$3:$A$65423&amp;"-"&amp;DB!$C$3:$C$65423&amp;"-"&amp;DB!$D$3:$D$65423&amp;"-"&amp;DB!$E$3:$E$65423,),0)),0)</f>
        <v>0</v>
      </c>
      <c r="L66"/>
      <c r="M66"/>
      <c r="N66"/>
      <c r="O66"/>
      <c r="P66"/>
      <c r="Q66"/>
      <c r="R66" s="23"/>
      <c r="S66" s="27"/>
      <c r="T66" s="23"/>
      <c r="U66" s="23"/>
      <c r="V66" s="27"/>
      <c r="W66" s="23"/>
      <c r="X66" s="23"/>
      <c r="Y66" s="27"/>
      <c r="Z66" s="23"/>
    </row>
    <row r="67" spans="1:26" s="14" customFormat="1" ht="12" customHeight="1" outlineLevel="1" x14ac:dyDescent="0.2">
      <c r="A67" s="199"/>
      <c r="B67" s="93" t="s">
        <v>2</v>
      </c>
      <c r="C67" s="30">
        <v>0</v>
      </c>
      <c r="D67" s="30">
        <v>9803</v>
      </c>
      <c r="E67" s="30">
        <v>4</v>
      </c>
      <c r="F67" s="110">
        <f t="shared" si="44"/>
        <v>0</v>
      </c>
      <c r="G67" s="36">
        <f t="shared" si="45"/>
        <v>0</v>
      </c>
      <c r="H67" s="111">
        <f t="shared" ref="H67:H89" si="47">SUMIF(I$3:N$3,$H$3,I67:N67)</f>
        <v>0</v>
      </c>
      <c r="I67" s="106">
        <f>IFERROR(INDEX(DB!$G$3:$G$65423,MATCH($C67&amp;"-"&amp;$D67&amp;"-"&amp;I$2&amp;"-"&amp;$E67,INDEX(DB!$A$3:$A$65423&amp;"-"&amp;DB!$C$3:$C$65423&amp;"-"&amp;DB!$D$3:$D$65423&amp;"-"&amp;DB!$E$3:$E$65423,),0)),0)</f>
        <v>0</v>
      </c>
      <c r="J67" s="36">
        <f t="shared" si="41"/>
        <v>0</v>
      </c>
      <c r="K67" s="107">
        <f>IFERROR(INDEX(DB!$F$3:$F$65423,MATCH($C67&amp;"-"&amp;$D67&amp;"-"&amp;I$2&amp;"-"&amp;$E67,INDEX(DB!$A$3:$A$65423&amp;"-"&amp;DB!$C$3:$C$65423&amp;"-"&amp;DB!$D$3:$D$65423&amp;"-"&amp;DB!$E$3:$E$65423,),0)),0)</f>
        <v>0</v>
      </c>
      <c r="L67"/>
      <c r="M67"/>
      <c r="N67"/>
      <c r="O67"/>
      <c r="P67"/>
      <c r="Q67"/>
      <c r="R67" s="23"/>
      <c r="S67" s="27"/>
      <c r="T67" s="23"/>
      <c r="U67" s="23"/>
      <c r="V67" s="27"/>
      <c r="W67" s="23"/>
      <c r="X67" s="23"/>
      <c r="Y67" s="27"/>
      <c r="Z67" s="23"/>
    </row>
    <row r="68" spans="1:26" ht="0.15" customHeight="1" outlineLevel="1" x14ac:dyDescent="0.2">
      <c r="A68" s="200"/>
      <c r="B68" s="63" t="s">
        <v>73</v>
      </c>
      <c r="C68" s="25"/>
      <c r="D68" s="31">
        <v>9803</v>
      </c>
      <c r="E68" s="31">
        <v>20</v>
      </c>
      <c r="F68" s="100">
        <f t="shared" si="44"/>
        <v>0</v>
      </c>
      <c r="G68" s="112" t="s">
        <v>74</v>
      </c>
      <c r="H68" s="113">
        <f t="shared" si="47"/>
        <v>0</v>
      </c>
      <c r="I68" s="114">
        <f>IFERROR(INDEX(DB!$AB$3:$AB$65423,MATCH($D68&amp;"-"&amp;I$2,INDEX(DB!$Y$3:$Y$65423&amp;"-"&amp;DB!$Z$3:$Z$65423,),0)),0)</f>
        <v>0</v>
      </c>
      <c r="J68" s="112" t="s">
        <v>75</v>
      </c>
      <c r="K68" s="115">
        <f>IFERROR(INDEX(DB!$AA$3:$AA$65423,MATCH($D68&amp;"-"&amp;I$2,INDEX(DB!$Y$3:$Y$65423&amp;"-"&amp;DB!$Z$3:$Z$65423,),0)),0)</f>
        <v>0</v>
      </c>
      <c r="L68"/>
      <c r="M68"/>
      <c r="N68"/>
      <c r="O68"/>
      <c r="P68"/>
      <c r="Q68"/>
      <c r="R68" s="23"/>
      <c r="S68" s="26"/>
      <c r="T68" s="23"/>
      <c r="U68" s="23"/>
      <c r="V68" s="26"/>
      <c r="W68" s="23"/>
      <c r="X68" s="23"/>
      <c r="Y68" s="26"/>
      <c r="Z68" s="23"/>
    </row>
    <row r="69" spans="1:26" ht="13.5" customHeight="1" collapsed="1" x14ac:dyDescent="0.2">
      <c r="A69" s="198" t="s">
        <v>94</v>
      </c>
      <c r="B69" s="118" t="s">
        <v>96</v>
      </c>
      <c r="C69" s="56"/>
      <c r="D69" s="56">
        <v>4801</v>
      </c>
      <c r="E69" s="56"/>
      <c r="F69" s="100">
        <f t="shared" si="44"/>
        <v>0</v>
      </c>
      <c r="G69" s="57">
        <f t="shared" ref="G69:G75" si="48">IF(ISERROR(F69/H69),0,F69/H69)</f>
        <v>0</v>
      </c>
      <c r="H69" s="101">
        <f t="shared" si="47"/>
        <v>0</v>
      </c>
      <c r="I69" s="102">
        <f>SUMIF($D70:$D75,$D69,I70:I75)</f>
        <v>0</v>
      </c>
      <c r="J69" s="57">
        <f t="shared" ref="J69:J75" si="49">IF(ISERROR(I69/K69),0,I69/K69)</f>
        <v>0</v>
      </c>
      <c r="K69" s="103">
        <f>SUM(K70:K75)</f>
        <v>0</v>
      </c>
      <c r="L69"/>
      <c r="M69"/>
      <c r="N69"/>
      <c r="O69"/>
      <c r="P69"/>
      <c r="Q69"/>
      <c r="R69" s="23"/>
      <c r="S69" s="27"/>
      <c r="T69" s="23"/>
      <c r="U69" s="23"/>
      <c r="V69" s="27"/>
      <c r="W69" s="23"/>
      <c r="X69" s="23"/>
      <c r="Y69" s="27"/>
      <c r="Z69" s="23"/>
    </row>
    <row r="70" spans="1:26" s="14" customFormat="1" ht="12" customHeight="1" outlineLevel="1" x14ac:dyDescent="0.2">
      <c r="A70" s="199"/>
      <c r="B70" s="82" t="s">
        <v>1</v>
      </c>
      <c r="C70" s="28">
        <v>0</v>
      </c>
      <c r="D70" s="28">
        <v>4801</v>
      </c>
      <c r="E70" s="28">
        <v>0</v>
      </c>
      <c r="F70" s="104">
        <f t="shared" si="44"/>
        <v>0</v>
      </c>
      <c r="G70" s="37">
        <f t="shared" si="48"/>
        <v>0</v>
      </c>
      <c r="H70" s="105">
        <f t="shared" si="47"/>
        <v>0</v>
      </c>
      <c r="I70" s="106">
        <f>IFERROR(INDEX(DB!$G$3:$G$65423,MATCH($C70&amp;"-"&amp;$D70&amp;"-"&amp;I$2&amp;"-"&amp;$E70,INDEX(DB!$A$3:$A$65423&amp;"-"&amp;DB!$C$3:$C$65423&amp;"-"&amp;DB!$D$3:$D$65423&amp;"-"&amp;DB!$E$3:$E$65423,),0)),0)</f>
        <v>0</v>
      </c>
      <c r="J70" s="37">
        <f t="shared" si="49"/>
        <v>0</v>
      </c>
      <c r="K70" s="107">
        <f>IFERROR(INDEX(DB!$F$3:$F$65423,MATCH($C70&amp;"-"&amp;$D70&amp;"-"&amp;I$2&amp;"-"&amp;$E70,INDEX(DB!$A$3:$A$65423&amp;"-"&amp;DB!$C$3:$C$65423&amp;"-"&amp;DB!$D$3:$D$65423&amp;"-"&amp;DB!$E$3:$E$65423,),0)),0)</f>
        <v>0</v>
      </c>
      <c r="L70"/>
      <c r="M70"/>
      <c r="N70"/>
      <c r="O70"/>
      <c r="P70"/>
      <c r="Q70"/>
      <c r="R70" s="23"/>
      <c r="S70" s="27"/>
      <c r="T70" s="23"/>
      <c r="U70" s="23"/>
      <c r="V70" s="27"/>
      <c r="W70" s="23"/>
      <c r="X70" s="23"/>
      <c r="Y70" s="27"/>
      <c r="Z70" s="23"/>
    </row>
    <row r="71" spans="1:26" s="14" customFormat="1" ht="12" customHeight="1" outlineLevel="1" x14ac:dyDescent="0.2">
      <c r="A71" s="199"/>
      <c r="B71" s="87" t="s">
        <v>90</v>
      </c>
      <c r="C71" s="29">
        <v>0</v>
      </c>
      <c r="D71" s="29">
        <v>4801</v>
      </c>
      <c r="E71" s="29">
        <v>1</v>
      </c>
      <c r="F71" s="108">
        <f>SUMIF(I$3:N$3,$F$3,I71:N71)</f>
        <v>0</v>
      </c>
      <c r="G71" s="38">
        <f t="shared" si="48"/>
        <v>0</v>
      </c>
      <c r="H71" s="109">
        <f t="shared" si="47"/>
        <v>0</v>
      </c>
      <c r="I71" s="106">
        <f>IFERROR(INDEX(DB!$G$3:$G$65423,MATCH($C71&amp;"-"&amp;$D71&amp;"-"&amp;I$2&amp;"-"&amp;$E71,INDEX(DB!$A$3:$A$65423&amp;"-"&amp;DB!$C$3:$C$65423&amp;"-"&amp;DB!$D$3:$D$65423&amp;"-"&amp;DB!$E$3:$E$65423,),0)),0)</f>
        <v>0</v>
      </c>
      <c r="J71" s="38">
        <f t="shared" si="49"/>
        <v>0</v>
      </c>
      <c r="K71" s="107">
        <f>IFERROR(INDEX(DB!$F$3:$F$65423,MATCH($C71&amp;"-"&amp;$D71&amp;"-"&amp;I$2&amp;"-"&amp;$E71,INDEX(DB!$A$3:$A$65423&amp;"-"&amp;DB!$C$3:$C$65423&amp;"-"&amp;DB!$D$3:$D$65423&amp;"-"&amp;DB!$E$3:$E$65423,),0)),0)</f>
        <v>0</v>
      </c>
      <c r="L71"/>
      <c r="M71"/>
      <c r="N71"/>
      <c r="O71"/>
      <c r="P71"/>
      <c r="Q71"/>
      <c r="R71" s="23"/>
      <c r="S71" s="27"/>
      <c r="T71" s="23"/>
      <c r="U71" s="23"/>
      <c r="V71" s="27"/>
      <c r="W71" s="23"/>
      <c r="X71" s="23"/>
      <c r="Y71" s="27"/>
      <c r="Z71" s="23"/>
    </row>
    <row r="72" spans="1:26" s="14" customFormat="1" ht="12" customHeight="1" outlineLevel="1" x14ac:dyDescent="0.2">
      <c r="A72" s="199"/>
      <c r="B72" s="87" t="s">
        <v>91</v>
      </c>
      <c r="C72" s="29">
        <v>0</v>
      </c>
      <c r="D72" s="29">
        <v>4801</v>
      </c>
      <c r="E72" s="29">
        <v>2</v>
      </c>
      <c r="F72" s="108">
        <f t="shared" ref="F72:F78" si="50">SUMIF(I$3:N$3,$F$3,I72:N72)</f>
        <v>0</v>
      </c>
      <c r="G72" s="38">
        <f t="shared" si="48"/>
        <v>0</v>
      </c>
      <c r="H72" s="109">
        <f t="shared" si="47"/>
        <v>0</v>
      </c>
      <c r="I72" s="106">
        <f>IFERROR(INDEX(DB!$G$3:$G$65423,MATCH($C72&amp;"-"&amp;$D72&amp;"-"&amp;I$2&amp;"-"&amp;$E72,INDEX(DB!$A$3:$A$65423&amp;"-"&amp;DB!$C$3:$C$65423&amp;"-"&amp;DB!$D$3:$D$65423&amp;"-"&amp;DB!$E$3:$E$65423,),0)),0)</f>
        <v>0</v>
      </c>
      <c r="J72" s="38">
        <f t="shared" si="49"/>
        <v>0</v>
      </c>
      <c r="K72" s="107">
        <f>IFERROR(INDEX(DB!$F$3:$F$65423,MATCH($C72&amp;"-"&amp;$D72&amp;"-"&amp;I$2&amp;"-"&amp;$E72,INDEX(DB!$A$3:$A$65423&amp;"-"&amp;DB!$C$3:$C$65423&amp;"-"&amp;DB!$D$3:$D$65423&amp;"-"&amp;DB!$E$3:$E$65423,),0)),0)</f>
        <v>0</v>
      </c>
      <c r="L72"/>
      <c r="M72"/>
      <c r="N72"/>
      <c r="O72"/>
      <c r="P72"/>
      <c r="Q72"/>
      <c r="R72" s="23"/>
      <c r="S72" s="27"/>
      <c r="T72" s="23"/>
      <c r="U72" s="23"/>
      <c r="V72" s="27"/>
      <c r="W72" s="23"/>
      <c r="X72" s="23"/>
      <c r="Y72" s="27"/>
      <c r="Z72" s="23"/>
    </row>
    <row r="73" spans="1:26" s="14" customFormat="1" ht="12" customHeight="1" outlineLevel="1" x14ac:dyDescent="0.2">
      <c r="A73" s="199"/>
      <c r="B73" s="87" t="s">
        <v>104</v>
      </c>
      <c r="C73" s="29">
        <v>0</v>
      </c>
      <c r="D73" s="29">
        <v>4801</v>
      </c>
      <c r="E73" s="29">
        <v>3</v>
      </c>
      <c r="F73" s="108">
        <f t="shared" si="50"/>
        <v>0</v>
      </c>
      <c r="G73" s="38">
        <f t="shared" si="48"/>
        <v>0</v>
      </c>
      <c r="H73" s="109">
        <f t="shared" si="47"/>
        <v>0</v>
      </c>
      <c r="I73" s="106">
        <f>IFERROR(INDEX(DB!$G$3:$G$65423,MATCH($C73&amp;"-"&amp;$D73&amp;"-"&amp;I$2&amp;"-"&amp;$E73,INDEX(DB!$A$3:$A$65423&amp;"-"&amp;DB!$C$3:$C$65423&amp;"-"&amp;DB!$D$3:$D$65423&amp;"-"&amp;DB!$E$3:$E$65423,),0)),0)</f>
        <v>0</v>
      </c>
      <c r="J73" s="38">
        <f t="shared" si="49"/>
        <v>0</v>
      </c>
      <c r="K73" s="107">
        <f>IFERROR(INDEX(DB!$F$3:$F$65423,MATCH($C73&amp;"-"&amp;$D73&amp;"-"&amp;I$2&amp;"-"&amp;$E73,INDEX(DB!$A$3:$A$65423&amp;"-"&amp;DB!$C$3:$C$65423&amp;"-"&amp;DB!$D$3:$D$65423&amp;"-"&amp;DB!$E$3:$E$65423,),0)),0)</f>
        <v>0</v>
      </c>
      <c r="L73"/>
      <c r="M73"/>
      <c r="N73"/>
      <c r="O73"/>
      <c r="P73"/>
      <c r="Q73"/>
      <c r="R73" s="23"/>
      <c r="S73" s="27"/>
      <c r="T73" s="23"/>
      <c r="U73" s="23"/>
      <c r="V73" s="27"/>
      <c r="W73" s="23"/>
      <c r="X73" s="23"/>
      <c r="Y73" s="27"/>
      <c r="Z73" s="23"/>
    </row>
    <row r="74" spans="1:26" s="14" customFormat="1" ht="12" customHeight="1" outlineLevel="1" x14ac:dyDescent="0.2">
      <c r="A74" s="199"/>
      <c r="B74" s="87" t="s">
        <v>85</v>
      </c>
      <c r="C74" s="29">
        <v>0</v>
      </c>
      <c r="D74" s="29">
        <v>4801</v>
      </c>
      <c r="E74" s="29">
        <v>106</v>
      </c>
      <c r="F74" s="108">
        <f t="shared" si="50"/>
        <v>0</v>
      </c>
      <c r="G74" s="38">
        <f t="shared" si="48"/>
        <v>0</v>
      </c>
      <c r="H74" s="109">
        <f t="shared" si="47"/>
        <v>0</v>
      </c>
      <c r="I74" s="106">
        <f>IFERROR(INDEX(DB!$G$3:$G$65423,MATCH($C74&amp;"-"&amp;$D74&amp;"-"&amp;I$2&amp;"-"&amp;$E74,INDEX(DB!$A$3:$A$65423&amp;"-"&amp;DB!$C$3:$C$65423&amp;"-"&amp;DB!$D$3:$D$65423&amp;"-"&amp;DB!$E$3:$E$65423,),0)),0)</f>
        <v>0</v>
      </c>
      <c r="J74" s="38">
        <f t="shared" si="49"/>
        <v>0</v>
      </c>
      <c r="K74" s="107">
        <f>IFERROR(INDEX(DB!$F$3:$F$65423,MATCH($C74&amp;"-"&amp;$D74&amp;"-"&amp;I$2&amp;"-"&amp;$E74,INDEX(DB!$A$3:$A$65423&amp;"-"&amp;DB!$C$3:$C$65423&amp;"-"&amp;DB!$D$3:$D$65423&amp;"-"&amp;DB!$E$3:$E$65423,),0)),0)</f>
        <v>0</v>
      </c>
      <c r="L74"/>
      <c r="M74"/>
      <c r="N74"/>
      <c r="O74"/>
      <c r="P74"/>
      <c r="Q74"/>
      <c r="R74" s="23"/>
      <c r="S74" s="27"/>
      <c r="T74" s="23"/>
      <c r="U74" s="23"/>
      <c r="V74" s="27"/>
      <c r="W74" s="23"/>
      <c r="X74" s="23"/>
      <c r="Y74" s="27"/>
      <c r="Z74" s="23"/>
    </row>
    <row r="75" spans="1:26" s="14" customFormat="1" ht="12" customHeight="1" outlineLevel="1" x14ac:dyDescent="0.2">
      <c r="A75" s="199"/>
      <c r="B75" s="93" t="s">
        <v>2</v>
      </c>
      <c r="C75" s="30">
        <v>0</v>
      </c>
      <c r="D75" s="30">
        <v>4801</v>
      </c>
      <c r="E75" s="30">
        <v>4</v>
      </c>
      <c r="F75" s="110">
        <f t="shared" si="50"/>
        <v>0</v>
      </c>
      <c r="G75" s="36">
        <f t="shared" si="48"/>
        <v>0</v>
      </c>
      <c r="H75" s="111">
        <f t="shared" si="47"/>
        <v>0</v>
      </c>
      <c r="I75" s="106">
        <f>IFERROR(INDEX(DB!$G$3:$G$65423,MATCH($C75&amp;"-"&amp;$D75&amp;"-"&amp;I$2&amp;"-"&amp;$E75,INDEX(DB!$A$3:$A$65423&amp;"-"&amp;DB!$C$3:$C$65423&amp;"-"&amp;DB!$D$3:$D$65423&amp;"-"&amp;DB!$E$3:$E$65423,),0)),0)</f>
        <v>0</v>
      </c>
      <c r="J75" s="36">
        <f t="shared" si="49"/>
        <v>0</v>
      </c>
      <c r="K75" s="107">
        <f>IFERROR(INDEX(DB!$F$3:$F$65423,MATCH($C75&amp;"-"&amp;$D75&amp;"-"&amp;I$2&amp;"-"&amp;$E75,INDEX(DB!$A$3:$A$65423&amp;"-"&amp;DB!$C$3:$C$65423&amp;"-"&amp;DB!$D$3:$D$65423&amp;"-"&amp;DB!$E$3:$E$65423,),0)),0)</f>
        <v>0</v>
      </c>
      <c r="L75"/>
      <c r="M75"/>
      <c r="N75"/>
      <c r="O75"/>
      <c r="P75"/>
      <c r="Q75"/>
      <c r="R75" s="23"/>
      <c r="S75" s="27"/>
      <c r="T75" s="23"/>
      <c r="U75" s="23"/>
      <c r="V75" s="27"/>
      <c r="W75" s="23"/>
      <c r="X75" s="23"/>
      <c r="Y75" s="27"/>
      <c r="Z75" s="23"/>
    </row>
    <row r="76" spans="1:26" ht="0.15" customHeight="1" outlineLevel="1" x14ac:dyDescent="0.2">
      <c r="A76" s="200"/>
      <c r="B76" s="63" t="s">
        <v>73</v>
      </c>
      <c r="C76" s="25"/>
      <c r="D76" s="31">
        <v>4801</v>
      </c>
      <c r="E76" s="31">
        <v>20</v>
      </c>
      <c r="F76" s="100">
        <f t="shared" si="50"/>
        <v>0</v>
      </c>
      <c r="G76" s="112" t="s">
        <v>74</v>
      </c>
      <c r="H76" s="113">
        <f t="shared" si="47"/>
        <v>0</v>
      </c>
      <c r="I76" s="114">
        <f>IFERROR(INDEX(DB!$AB$3:$AB$65423,MATCH($D76&amp;"-"&amp;I$2,INDEX(DB!$Y$3:$Y$65423&amp;"-"&amp;DB!$Z$3:$Z$65423,),0)),0)</f>
        <v>0</v>
      </c>
      <c r="J76" s="112" t="s">
        <v>75</v>
      </c>
      <c r="K76" s="115">
        <f>IFERROR(INDEX(DB!$AA$3:$AA$65423,MATCH($D76&amp;"-"&amp;I$2,INDEX(DB!$Y$3:$Y$65423&amp;"-"&amp;DB!$Z$3:$Z$65423,),0)),0)</f>
        <v>0</v>
      </c>
      <c r="L76"/>
      <c r="M76"/>
      <c r="N76"/>
      <c r="O76"/>
      <c r="P76"/>
      <c r="Q76"/>
      <c r="R76" s="23"/>
      <c r="S76" s="26"/>
      <c r="T76" s="23"/>
      <c r="U76" s="23"/>
      <c r="V76" s="26"/>
      <c r="W76" s="23"/>
      <c r="X76" s="23"/>
      <c r="Y76" s="26"/>
      <c r="Z76" s="23"/>
    </row>
    <row r="77" spans="1:26" ht="13.5" customHeight="1" collapsed="1" x14ac:dyDescent="0.2">
      <c r="A77" s="198" t="s">
        <v>79</v>
      </c>
      <c r="B77" s="118" t="s">
        <v>96</v>
      </c>
      <c r="C77" s="56"/>
      <c r="D77" s="56">
        <v>8001</v>
      </c>
      <c r="E77" s="56"/>
      <c r="F77" s="100">
        <f t="shared" si="50"/>
        <v>0</v>
      </c>
      <c r="G77" s="57">
        <f t="shared" ref="G77:G83" si="51">IF(ISERROR(F77/H77),0,F77/H77)</f>
        <v>0</v>
      </c>
      <c r="H77" s="101">
        <f t="shared" si="47"/>
        <v>0</v>
      </c>
      <c r="I77" s="102">
        <f>SUMIF($D78:$D83,$D77,I78:I83)</f>
        <v>0</v>
      </c>
      <c r="J77" s="57">
        <f t="shared" ref="J77:J83" si="52">IF(ISERROR(I77/K77),0,I77/K77)</f>
        <v>0</v>
      </c>
      <c r="K77" s="103">
        <f>SUM(K78:K83)</f>
        <v>0</v>
      </c>
      <c r="L77"/>
      <c r="M77"/>
      <c r="N77"/>
      <c r="O77"/>
      <c r="P77"/>
      <c r="Q77"/>
      <c r="R77" s="23"/>
      <c r="S77" s="27"/>
      <c r="T77" s="23"/>
      <c r="U77" s="23"/>
      <c r="V77" s="27"/>
      <c r="W77" s="23"/>
      <c r="X77" s="23"/>
      <c r="Y77" s="27"/>
      <c r="Z77" s="23"/>
    </row>
    <row r="78" spans="1:26" s="14" customFormat="1" ht="12" customHeight="1" outlineLevel="1" x14ac:dyDescent="0.2">
      <c r="A78" s="199"/>
      <c r="B78" s="82" t="s">
        <v>1</v>
      </c>
      <c r="C78" s="28">
        <v>0</v>
      </c>
      <c r="D78" s="28">
        <v>8001</v>
      </c>
      <c r="E78" s="28">
        <v>0</v>
      </c>
      <c r="F78" s="104">
        <f t="shared" si="50"/>
        <v>0</v>
      </c>
      <c r="G78" s="37">
        <f t="shared" si="51"/>
        <v>0</v>
      </c>
      <c r="H78" s="105">
        <f t="shared" si="47"/>
        <v>0</v>
      </c>
      <c r="I78" s="106">
        <f>IFERROR(INDEX(DB!$G$3:$G$65423,MATCH($C78&amp;"-"&amp;$D78&amp;"-"&amp;I$2&amp;"-"&amp;$E78,INDEX(DB!$A$3:$A$65423&amp;"-"&amp;DB!$C$3:$C$65423&amp;"-"&amp;DB!$D$3:$D$65423&amp;"-"&amp;DB!$E$3:$E$65423,),0)),0)</f>
        <v>0</v>
      </c>
      <c r="J78" s="37">
        <f t="shared" si="52"/>
        <v>0</v>
      </c>
      <c r="K78" s="107">
        <f>IFERROR(INDEX(DB!$F$3:$F$65423,MATCH($C78&amp;"-"&amp;$D78&amp;"-"&amp;I$2&amp;"-"&amp;$E78,INDEX(DB!$A$3:$A$65423&amp;"-"&amp;DB!$C$3:$C$65423&amp;"-"&amp;DB!$D$3:$D$65423&amp;"-"&amp;DB!$E$3:$E$65423,),0)),0)</f>
        <v>0</v>
      </c>
      <c r="L78"/>
      <c r="M78"/>
      <c r="N78"/>
      <c r="O78"/>
      <c r="P78"/>
      <c r="Q78"/>
      <c r="R78" s="23"/>
      <c r="S78" s="27"/>
      <c r="T78" s="23"/>
      <c r="U78" s="23"/>
      <c r="V78" s="27"/>
      <c r="W78" s="23"/>
      <c r="X78" s="23"/>
      <c r="Y78" s="27"/>
      <c r="Z78" s="23"/>
    </row>
    <row r="79" spans="1:26" s="14" customFormat="1" ht="12" customHeight="1" outlineLevel="1" x14ac:dyDescent="0.2">
      <c r="A79" s="199"/>
      <c r="B79" s="87" t="s">
        <v>90</v>
      </c>
      <c r="C79" s="29">
        <v>0</v>
      </c>
      <c r="D79" s="29">
        <v>8001</v>
      </c>
      <c r="E79" s="29">
        <v>1</v>
      </c>
      <c r="F79" s="108">
        <f>SUMIF(I$3:N$3,$F$3,I79:N79)</f>
        <v>0</v>
      </c>
      <c r="G79" s="38">
        <f t="shared" si="51"/>
        <v>0</v>
      </c>
      <c r="H79" s="109">
        <f t="shared" si="47"/>
        <v>0</v>
      </c>
      <c r="I79" s="106">
        <f>IFERROR(INDEX(DB!$G$3:$G$65423,MATCH($C79&amp;"-"&amp;$D79&amp;"-"&amp;I$2&amp;"-"&amp;$E79,INDEX(DB!$A$3:$A$65423&amp;"-"&amp;DB!$C$3:$C$65423&amp;"-"&amp;DB!$D$3:$D$65423&amp;"-"&amp;DB!$E$3:$E$65423,),0)),0)</f>
        <v>0</v>
      </c>
      <c r="J79" s="38">
        <f t="shared" si="52"/>
        <v>0</v>
      </c>
      <c r="K79" s="107">
        <f>IFERROR(INDEX(DB!$F$3:$F$65423,MATCH($C79&amp;"-"&amp;$D79&amp;"-"&amp;I$2&amp;"-"&amp;$E79,INDEX(DB!$A$3:$A$65423&amp;"-"&amp;DB!$C$3:$C$65423&amp;"-"&amp;DB!$D$3:$D$65423&amp;"-"&amp;DB!$E$3:$E$65423,),0)),0)</f>
        <v>0</v>
      </c>
      <c r="L79"/>
      <c r="M79"/>
      <c r="N79"/>
      <c r="O79"/>
      <c r="P79"/>
      <c r="Q79"/>
      <c r="R79" s="23"/>
      <c r="S79" s="27"/>
      <c r="T79" s="23"/>
      <c r="U79" s="23"/>
      <c r="V79" s="27"/>
      <c r="W79" s="23"/>
      <c r="X79" s="23"/>
      <c r="Y79" s="27"/>
      <c r="Z79" s="23"/>
    </row>
    <row r="80" spans="1:26" s="14" customFormat="1" ht="12" customHeight="1" outlineLevel="1" x14ac:dyDescent="0.2">
      <c r="A80" s="199"/>
      <c r="B80" s="87" t="s">
        <v>91</v>
      </c>
      <c r="C80" s="29">
        <v>0</v>
      </c>
      <c r="D80" s="29">
        <v>8001</v>
      </c>
      <c r="E80" s="29">
        <v>2</v>
      </c>
      <c r="F80" s="108">
        <f t="shared" ref="F80:F84" si="53">SUMIF(I$3:N$3,$F$3,I80:N80)</f>
        <v>0</v>
      </c>
      <c r="G80" s="38">
        <f t="shared" si="51"/>
        <v>0</v>
      </c>
      <c r="H80" s="109">
        <f t="shared" si="47"/>
        <v>0</v>
      </c>
      <c r="I80" s="106">
        <f>IFERROR(INDEX(DB!$G$3:$G$65423,MATCH($C80&amp;"-"&amp;$D80&amp;"-"&amp;I$2&amp;"-"&amp;$E80,INDEX(DB!$A$3:$A$65423&amp;"-"&amp;DB!$C$3:$C$65423&amp;"-"&amp;DB!$D$3:$D$65423&amp;"-"&amp;DB!$E$3:$E$65423,),0)),0)</f>
        <v>0</v>
      </c>
      <c r="J80" s="38">
        <f t="shared" si="52"/>
        <v>0</v>
      </c>
      <c r="K80" s="107">
        <f>IFERROR(INDEX(DB!$F$3:$F$65423,MATCH($C80&amp;"-"&amp;$D80&amp;"-"&amp;I$2&amp;"-"&amp;$E80,INDEX(DB!$A$3:$A$65423&amp;"-"&amp;DB!$C$3:$C$65423&amp;"-"&amp;DB!$D$3:$D$65423&amp;"-"&amp;DB!$E$3:$E$65423,),0)),0)</f>
        <v>0</v>
      </c>
      <c r="L80"/>
      <c r="M80"/>
      <c r="N80"/>
      <c r="O80"/>
      <c r="P80"/>
      <c r="Q80"/>
      <c r="R80" s="23"/>
      <c r="S80" s="27"/>
      <c r="T80" s="23"/>
      <c r="U80" s="23"/>
      <c r="V80" s="27"/>
      <c r="W80" s="23"/>
      <c r="X80" s="23"/>
      <c r="Y80" s="27"/>
      <c r="Z80" s="23"/>
    </row>
    <row r="81" spans="1:26" s="14" customFormat="1" ht="12" customHeight="1" outlineLevel="1" x14ac:dyDescent="0.2">
      <c r="A81" s="199"/>
      <c r="B81" s="87" t="s">
        <v>104</v>
      </c>
      <c r="C81" s="29">
        <v>0</v>
      </c>
      <c r="D81" s="29">
        <v>8001</v>
      </c>
      <c r="E81" s="29">
        <v>3</v>
      </c>
      <c r="F81" s="108">
        <f t="shared" si="53"/>
        <v>0</v>
      </c>
      <c r="G81" s="38">
        <f t="shared" si="51"/>
        <v>0</v>
      </c>
      <c r="H81" s="109">
        <f t="shared" si="47"/>
        <v>0</v>
      </c>
      <c r="I81" s="106">
        <f>IFERROR(INDEX(DB!$G$3:$G$65423,MATCH($C81&amp;"-"&amp;$D81&amp;"-"&amp;I$2&amp;"-"&amp;$E81,INDEX(DB!$A$3:$A$65423&amp;"-"&amp;DB!$C$3:$C$65423&amp;"-"&amp;DB!$D$3:$D$65423&amp;"-"&amp;DB!$E$3:$E$65423,),0)),0)</f>
        <v>0</v>
      </c>
      <c r="J81" s="38">
        <f t="shared" si="52"/>
        <v>0</v>
      </c>
      <c r="K81" s="107">
        <f>IFERROR(INDEX(DB!$F$3:$F$65423,MATCH($C81&amp;"-"&amp;$D81&amp;"-"&amp;I$2&amp;"-"&amp;$E81,INDEX(DB!$A$3:$A$65423&amp;"-"&amp;DB!$C$3:$C$65423&amp;"-"&amp;DB!$D$3:$D$65423&amp;"-"&amp;DB!$E$3:$E$65423,),0)),0)</f>
        <v>0</v>
      </c>
      <c r="L81"/>
      <c r="M81"/>
      <c r="N81"/>
      <c r="O81"/>
      <c r="P81"/>
      <c r="Q81"/>
      <c r="R81" s="23"/>
      <c r="S81" s="27"/>
      <c r="T81" s="23"/>
      <c r="U81" s="23"/>
      <c r="V81" s="27"/>
      <c r="W81" s="23"/>
      <c r="X81" s="23"/>
      <c r="Y81" s="27"/>
      <c r="Z81" s="23"/>
    </row>
    <row r="82" spans="1:26" s="14" customFormat="1" ht="12" customHeight="1" outlineLevel="1" x14ac:dyDescent="0.2">
      <c r="A82" s="199"/>
      <c r="B82" s="87" t="s">
        <v>85</v>
      </c>
      <c r="C82" s="29">
        <v>0</v>
      </c>
      <c r="D82" s="29">
        <v>8001</v>
      </c>
      <c r="E82" s="29">
        <v>106</v>
      </c>
      <c r="F82" s="108">
        <f t="shared" si="53"/>
        <v>0</v>
      </c>
      <c r="G82" s="38">
        <f t="shared" si="51"/>
        <v>0</v>
      </c>
      <c r="H82" s="109">
        <f t="shared" si="47"/>
        <v>0</v>
      </c>
      <c r="I82" s="106">
        <f>IFERROR(INDEX(DB!$G$3:$G$65423,MATCH($C82&amp;"-"&amp;$D82&amp;"-"&amp;I$2&amp;"-"&amp;$E82,INDEX(DB!$A$3:$A$65423&amp;"-"&amp;DB!$C$3:$C$65423&amp;"-"&amp;DB!$D$3:$D$65423&amp;"-"&amp;DB!$E$3:$E$65423,),0)),0)</f>
        <v>0</v>
      </c>
      <c r="J82" s="38">
        <f t="shared" si="52"/>
        <v>0</v>
      </c>
      <c r="K82" s="107">
        <f>IFERROR(INDEX(DB!$F$3:$F$65423,MATCH($C82&amp;"-"&amp;$D82&amp;"-"&amp;I$2&amp;"-"&amp;$E82,INDEX(DB!$A$3:$A$65423&amp;"-"&amp;DB!$C$3:$C$65423&amp;"-"&amp;DB!$D$3:$D$65423&amp;"-"&amp;DB!$E$3:$E$65423,),0)),0)</f>
        <v>0</v>
      </c>
      <c r="L82"/>
      <c r="M82"/>
      <c r="N82"/>
      <c r="O82"/>
      <c r="P82"/>
      <c r="Q82"/>
      <c r="R82" s="23"/>
      <c r="S82" s="27"/>
      <c r="T82" s="23"/>
      <c r="U82" s="23"/>
      <c r="V82" s="27"/>
      <c r="W82" s="23"/>
      <c r="X82" s="23"/>
      <c r="Y82" s="27"/>
      <c r="Z82" s="23"/>
    </row>
    <row r="83" spans="1:26" s="14" customFormat="1" ht="12" customHeight="1" outlineLevel="1" x14ac:dyDescent="0.2">
      <c r="A83" s="199"/>
      <c r="B83" s="93" t="s">
        <v>2</v>
      </c>
      <c r="C83" s="30">
        <v>0</v>
      </c>
      <c r="D83" s="30">
        <v>8001</v>
      </c>
      <c r="E83" s="30">
        <v>4</v>
      </c>
      <c r="F83" s="110">
        <f t="shared" si="53"/>
        <v>0</v>
      </c>
      <c r="G83" s="36">
        <f t="shared" si="51"/>
        <v>0</v>
      </c>
      <c r="H83" s="111">
        <f t="shared" si="47"/>
        <v>0</v>
      </c>
      <c r="I83" s="106">
        <f>IFERROR(INDEX(DB!$G$3:$G$65423,MATCH($C83&amp;"-"&amp;$D83&amp;"-"&amp;I$2&amp;"-"&amp;$E83,INDEX(DB!$A$3:$A$65423&amp;"-"&amp;DB!$C$3:$C$65423&amp;"-"&amp;DB!$D$3:$D$65423&amp;"-"&amp;DB!$E$3:$E$65423,),0)),0)</f>
        <v>0</v>
      </c>
      <c r="J83" s="36">
        <f t="shared" si="52"/>
        <v>0</v>
      </c>
      <c r="K83" s="107">
        <f>IFERROR(INDEX(DB!$F$3:$F$65423,MATCH($C83&amp;"-"&amp;$D83&amp;"-"&amp;I$2&amp;"-"&amp;$E83,INDEX(DB!$A$3:$A$65423&amp;"-"&amp;DB!$C$3:$C$65423&amp;"-"&amp;DB!$D$3:$D$65423&amp;"-"&amp;DB!$E$3:$E$65423,),0)),0)</f>
        <v>0</v>
      </c>
      <c r="L83"/>
      <c r="M83"/>
      <c r="N83"/>
      <c r="O83"/>
      <c r="P83"/>
      <c r="Q83"/>
      <c r="R83" s="23"/>
      <c r="S83" s="27"/>
      <c r="T83" s="23"/>
      <c r="U83" s="23"/>
      <c r="V83" s="27"/>
      <c r="W83" s="23"/>
      <c r="X83" s="23"/>
      <c r="Y83" s="27"/>
      <c r="Z83" s="23"/>
    </row>
    <row r="84" spans="1:26" ht="0.15" customHeight="1" outlineLevel="1" x14ac:dyDescent="0.2">
      <c r="A84" s="200"/>
      <c r="B84" s="63" t="s">
        <v>73</v>
      </c>
      <c r="C84" s="25"/>
      <c r="D84" s="31">
        <v>8001</v>
      </c>
      <c r="E84" s="31">
        <v>20</v>
      </c>
      <c r="F84" s="100">
        <f t="shared" si="53"/>
        <v>0</v>
      </c>
      <c r="G84" s="112" t="s">
        <v>74</v>
      </c>
      <c r="H84" s="113">
        <f t="shared" si="47"/>
        <v>0</v>
      </c>
      <c r="I84" s="114">
        <f>IFERROR(INDEX(DB!$AB$3:$AB$65423,MATCH($D84&amp;"-"&amp;I$2,INDEX(DB!$Y$3:$Y$65423&amp;"-"&amp;DB!$Z$3:$Z$65423,),0)),0)</f>
        <v>0</v>
      </c>
      <c r="J84" s="112" t="s">
        <v>75</v>
      </c>
      <c r="K84" s="115">
        <f>IFERROR(INDEX(DB!$AA$3:$AA$65423,MATCH($D84&amp;"-"&amp;I$2,INDEX(DB!$Y$3:$Y$65423&amp;"-"&amp;DB!$Z$3:$Z$65423,),0)),0)</f>
        <v>0</v>
      </c>
      <c r="L84"/>
      <c r="M84"/>
      <c r="N84"/>
      <c r="O84"/>
      <c r="P84"/>
      <c r="Q84"/>
      <c r="R84" s="23"/>
      <c r="S84" s="26"/>
      <c r="T84" s="23"/>
      <c r="U84" s="23"/>
      <c r="V84" s="26"/>
      <c r="W84" s="23"/>
      <c r="X84" s="23"/>
      <c r="Y84" s="26"/>
      <c r="Z84" s="23"/>
    </row>
    <row r="85" spans="1:26" ht="13.5" customHeight="1" collapsed="1" x14ac:dyDescent="0.2">
      <c r="A85" s="198" t="s">
        <v>28</v>
      </c>
      <c r="B85" s="118" t="s">
        <v>96</v>
      </c>
      <c r="C85" s="73"/>
      <c r="D85" s="73">
        <v>99999</v>
      </c>
      <c r="E85" s="73"/>
      <c r="F85" s="100">
        <f t="shared" si="29"/>
        <v>0</v>
      </c>
      <c r="G85" s="57">
        <f t="shared" ref="G85" si="54">IF(ISERROR(F85/H85),0,F85/H85)</f>
        <v>0</v>
      </c>
      <c r="H85" s="101">
        <f t="shared" si="47"/>
        <v>0</v>
      </c>
      <c r="I85" s="102">
        <f>SUMIF($D86:$D91,$D85,I86:I91)</f>
        <v>0</v>
      </c>
      <c r="J85" s="57">
        <f t="shared" ref="J85:J91" si="55">IF(ISERROR(I85/K85),0,I85/K85)</f>
        <v>0</v>
      </c>
      <c r="K85" s="103">
        <f>SUM(K86:K91)</f>
        <v>0</v>
      </c>
      <c r="L85"/>
      <c r="M85"/>
      <c r="N85"/>
      <c r="O85"/>
      <c r="P85"/>
      <c r="Q85"/>
      <c r="R85" s="23"/>
      <c r="S85" s="27"/>
      <c r="T85" s="23"/>
      <c r="U85" s="23"/>
      <c r="V85" s="27"/>
      <c r="W85" s="23"/>
      <c r="X85" s="23"/>
      <c r="Y85" s="27"/>
      <c r="Z85" s="23"/>
    </row>
    <row r="86" spans="1:26" s="14" customFormat="1" ht="12" customHeight="1" outlineLevel="1" x14ac:dyDescent="0.2">
      <c r="A86" s="199"/>
      <c r="B86" s="82" t="s">
        <v>1</v>
      </c>
      <c r="C86" s="83">
        <v>0</v>
      </c>
      <c r="D86" s="83">
        <v>99999</v>
      </c>
      <c r="E86" s="83">
        <v>0</v>
      </c>
      <c r="F86" s="104">
        <f t="shared" si="29"/>
        <v>0</v>
      </c>
      <c r="G86" s="37">
        <f t="shared" ref="G86" si="56">IF(ISERROR(F86/H86),0,F86/H86)</f>
        <v>0</v>
      </c>
      <c r="H86" s="105">
        <f t="shared" si="47"/>
        <v>0</v>
      </c>
      <c r="I86" s="106">
        <f>IFERROR(INDEX(DB!$G$3:$G$65423,MATCH($C86&amp;"-"&amp;$D86&amp;"-"&amp;I$2&amp;"-"&amp;$E86,INDEX(DB!$A$3:$A$65423&amp;"-"&amp;DB!$C$3:$C$65423&amp;"-"&amp;DB!$D$3:$D$65423&amp;"-"&amp;DB!$E$3:$E$65423,),0)),0)</f>
        <v>0</v>
      </c>
      <c r="J86" s="37">
        <f t="shared" si="55"/>
        <v>0</v>
      </c>
      <c r="K86" s="107">
        <f>IFERROR(INDEX(DB!$F$3:$F$65423,MATCH($C86&amp;"-"&amp;$D86&amp;"-"&amp;I$2&amp;"-"&amp;$E86,INDEX(DB!$A$3:$A$65423&amp;"-"&amp;DB!$C$3:$C$65423&amp;"-"&amp;DB!$D$3:$D$65423&amp;"-"&amp;DB!$E$3:$E$65423,),0)),0)</f>
        <v>0</v>
      </c>
      <c r="L86"/>
      <c r="M86"/>
      <c r="N86"/>
      <c r="O86"/>
      <c r="P86"/>
      <c r="Q86"/>
      <c r="R86" s="23"/>
      <c r="S86" s="27"/>
      <c r="T86" s="23"/>
      <c r="U86" s="23"/>
      <c r="V86" s="27"/>
      <c r="W86" s="23"/>
      <c r="X86" s="23"/>
      <c r="Y86" s="27"/>
      <c r="Z86" s="23"/>
    </row>
    <row r="87" spans="1:26" s="14" customFormat="1" ht="12" customHeight="1" outlineLevel="1" x14ac:dyDescent="0.2">
      <c r="A87" s="199"/>
      <c r="B87" s="87" t="s">
        <v>90</v>
      </c>
      <c r="C87" s="88">
        <v>0</v>
      </c>
      <c r="D87" s="88">
        <v>99999</v>
      </c>
      <c r="E87" s="88">
        <v>1</v>
      </c>
      <c r="F87" s="108">
        <f>SUMIF(I$3:N$3,$F$3,I87:N87)</f>
        <v>0</v>
      </c>
      <c r="G87" s="38">
        <f t="shared" ref="G87" si="57">IF(ISERROR(F87/H87),0,F87/H87)</f>
        <v>0</v>
      </c>
      <c r="H87" s="109">
        <f t="shared" si="47"/>
        <v>0</v>
      </c>
      <c r="I87" s="106">
        <f>IFERROR(INDEX(DB!$G$3:$G$65423,MATCH($C87&amp;"-"&amp;$D87&amp;"-"&amp;I$2&amp;"-"&amp;$E87,INDEX(DB!$A$3:$A$65423&amp;"-"&amp;DB!$C$3:$C$65423&amp;"-"&amp;DB!$D$3:$D$65423&amp;"-"&amp;DB!$E$3:$E$65423,),0)),0)</f>
        <v>0</v>
      </c>
      <c r="J87" s="38">
        <f t="shared" si="55"/>
        <v>0</v>
      </c>
      <c r="K87" s="107">
        <f>IFERROR(INDEX(DB!$F$3:$F$65423,MATCH($C87&amp;"-"&amp;$D87&amp;"-"&amp;I$2&amp;"-"&amp;$E87,INDEX(DB!$A$3:$A$65423&amp;"-"&amp;DB!$C$3:$C$65423&amp;"-"&amp;DB!$D$3:$D$65423&amp;"-"&amp;DB!$E$3:$E$65423,),0)),0)</f>
        <v>0</v>
      </c>
      <c r="L87"/>
      <c r="M87"/>
      <c r="N87"/>
      <c r="O87"/>
      <c r="P87"/>
      <c r="Q87"/>
      <c r="R87" s="23"/>
      <c r="S87" s="27"/>
      <c r="T87" s="23"/>
      <c r="U87" s="23"/>
      <c r="V87" s="27"/>
      <c r="W87" s="23"/>
      <c r="X87" s="23"/>
      <c r="Y87" s="27"/>
      <c r="Z87" s="23"/>
    </row>
    <row r="88" spans="1:26" s="14" customFormat="1" ht="12" customHeight="1" outlineLevel="1" x14ac:dyDescent="0.2">
      <c r="A88" s="199"/>
      <c r="B88" s="87" t="s">
        <v>91</v>
      </c>
      <c r="C88" s="88">
        <v>0</v>
      </c>
      <c r="D88" s="88">
        <v>99999</v>
      </c>
      <c r="E88" s="88">
        <v>2</v>
      </c>
      <c r="F88" s="108">
        <f t="shared" ref="F88:F92" si="58">SUMIF(I$3:N$3,$F$3,I88:N88)</f>
        <v>0</v>
      </c>
      <c r="G88" s="38">
        <f t="shared" ref="G88:G91" si="59">IF(ISERROR(F88/H88),0,F88/H88)</f>
        <v>0</v>
      </c>
      <c r="H88" s="109">
        <f t="shared" si="47"/>
        <v>0</v>
      </c>
      <c r="I88" s="106">
        <f>IFERROR(INDEX(DB!$G$3:$G$65423,MATCH($C88&amp;"-"&amp;$D88&amp;"-"&amp;I$2&amp;"-"&amp;$E88,INDEX(DB!$A$3:$A$65423&amp;"-"&amp;DB!$C$3:$C$65423&amp;"-"&amp;DB!$D$3:$D$65423&amp;"-"&amp;DB!$E$3:$E$65423,),0)),0)</f>
        <v>0</v>
      </c>
      <c r="J88" s="38">
        <f t="shared" si="55"/>
        <v>0</v>
      </c>
      <c r="K88" s="107">
        <f>IFERROR(INDEX(DB!$F$3:$F$65423,MATCH($C88&amp;"-"&amp;$D88&amp;"-"&amp;I$2&amp;"-"&amp;$E88,INDEX(DB!$A$3:$A$65423&amp;"-"&amp;DB!$C$3:$C$65423&amp;"-"&amp;DB!$D$3:$D$65423&amp;"-"&amp;DB!$E$3:$E$65423,),0)),0)</f>
        <v>0</v>
      </c>
      <c r="L88"/>
      <c r="M88"/>
      <c r="N88"/>
      <c r="O88"/>
      <c r="P88"/>
      <c r="Q88"/>
      <c r="R88" s="23"/>
      <c r="S88" s="27"/>
      <c r="T88" s="23"/>
      <c r="U88" s="23"/>
      <c r="V88" s="27"/>
      <c r="W88" s="23"/>
      <c r="X88" s="23"/>
      <c r="Y88" s="27"/>
      <c r="Z88" s="23"/>
    </row>
    <row r="89" spans="1:26" s="14" customFormat="1" ht="12" customHeight="1" outlineLevel="1" x14ac:dyDescent="0.2">
      <c r="A89" s="199"/>
      <c r="B89" s="87" t="s">
        <v>104</v>
      </c>
      <c r="C89" s="88">
        <v>0</v>
      </c>
      <c r="D89" s="88">
        <v>99999</v>
      </c>
      <c r="E89" s="88">
        <v>3</v>
      </c>
      <c r="F89" s="108">
        <f t="shared" si="58"/>
        <v>0</v>
      </c>
      <c r="G89" s="38">
        <f t="shared" si="59"/>
        <v>0</v>
      </c>
      <c r="H89" s="109">
        <f t="shared" si="47"/>
        <v>0</v>
      </c>
      <c r="I89" s="106">
        <f>IFERROR(INDEX(DB!$G$3:$G$65423,MATCH($C89&amp;"-"&amp;$D89&amp;"-"&amp;I$2&amp;"-"&amp;$E89,INDEX(DB!$A$3:$A$65423&amp;"-"&amp;DB!$C$3:$C$65423&amp;"-"&amp;DB!$D$3:$D$65423&amp;"-"&amp;DB!$E$3:$E$65423,),0)),0)</f>
        <v>0</v>
      </c>
      <c r="J89" s="38">
        <f t="shared" si="55"/>
        <v>0</v>
      </c>
      <c r="K89" s="107">
        <f>IFERROR(INDEX(DB!$F$3:$F$65423,MATCH($C89&amp;"-"&amp;$D89&amp;"-"&amp;I$2&amp;"-"&amp;$E89,INDEX(DB!$A$3:$A$65423&amp;"-"&amp;DB!$C$3:$C$65423&amp;"-"&amp;DB!$D$3:$D$65423&amp;"-"&amp;DB!$E$3:$E$65423,),0)),0)</f>
        <v>0</v>
      </c>
      <c r="L89"/>
      <c r="M89"/>
      <c r="N89"/>
      <c r="O89"/>
      <c r="P89"/>
      <c r="Q89"/>
      <c r="R89" s="23"/>
      <c r="S89" s="27"/>
      <c r="T89" s="23"/>
      <c r="U89" s="23"/>
      <c r="V89" s="27"/>
      <c r="W89" s="23"/>
      <c r="X89" s="23"/>
      <c r="Y89" s="27"/>
      <c r="Z89" s="23"/>
    </row>
    <row r="90" spans="1:26" s="14" customFormat="1" ht="12" customHeight="1" outlineLevel="1" x14ac:dyDescent="0.2">
      <c r="A90" s="199"/>
      <c r="B90" s="87" t="s">
        <v>85</v>
      </c>
      <c r="C90" s="88">
        <v>0</v>
      </c>
      <c r="D90" s="88">
        <v>99999</v>
      </c>
      <c r="E90" s="88">
        <v>106</v>
      </c>
      <c r="F90" s="108">
        <f t="shared" si="58"/>
        <v>0</v>
      </c>
      <c r="G90" s="38">
        <f t="shared" si="59"/>
        <v>0</v>
      </c>
      <c r="H90" s="109">
        <f t="shared" ref="H90" si="60">SUMIF(I$3:N$3,$H$3,I90:N90)</f>
        <v>0</v>
      </c>
      <c r="I90" s="106">
        <f>IFERROR(INDEX(DB!$G$3:$G$65423,MATCH($C90&amp;"-"&amp;$D90&amp;"-"&amp;I$2&amp;"-"&amp;$E90,INDEX(DB!$A$3:$A$65423&amp;"-"&amp;DB!$C$3:$C$65423&amp;"-"&amp;DB!$D$3:$D$65423&amp;"-"&amp;DB!$E$3:$E$65423,),0)),0)</f>
        <v>0</v>
      </c>
      <c r="J90" s="38">
        <f t="shared" si="55"/>
        <v>0</v>
      </c>
      <c r="K90" s="107">
        <f>IFERROR(INDEX(DB!$F$3:$F$65423,MATCH($C90&amp;"-"&amp;$D90&amp;"-"&amp;I$2&amp;"-"&amp;$E90,INDEX(DB!$A$3:$A$65423&amp;"-"&amp;DB!$C$3:$C$65423&amp;"-"&amp;DB!$D$3:$D$65423&amp;"-"&amp;DB!$E$3:$E$65423,),0)),0)</f>
        <v>0</v>
      </c>
      <c r="L90"/>
      <c r="M90"/>
      <c r="N90"/>
      <c r="O90"/>
      <c r="P90"/>
      <c r="Q90"/>
      <c r="R90" s="23"/>
      <c r="S90" s="27"/>
      <c r="T90" s="23"/>
      <c r="U90" s="23"/>
      <c r="V90" s="27"/>
      <c r="W90" s="23"/>
      <c r="X90" s="23"/>
      <c r="Y90" s="27"/>
      <c r="Z90" s="23"/>
    </row>
    <row r="91" spans="1:26" s="14" customFormat="1" ht="12" customHeight="1" outlineLevel="1" x14ac:dyDescent="0.2">
      <c r="A91" s="199"/>
      <c r="B91" s="93" t="s">
        <v>2</v>
      </c>
      <c r="C91" s="94">
        <v>0</v>
      </c>
      <c r="D91" s="94">
        <v>99999</v>
      </c>
      <c r="E91" s="94">
        <v>4</v>
      </c>
      <c r="F91" s="110">
        <f t="shared" si="58"/>
        <v>0</v>
      </c>
      <c r="G91" s="36">
        <f t="shared" si="59"/>
        <v>0</v>
      </c>
      <c r="H91" s="111">
        <f>SUMIF(I$3:N$3,$H$3,I91:N91)</f>
        <v>0</v>
      </c>
      <c r="I91" s="106">
        <f>IFERROR(INDEX(DB!$G$3:$G$65423,MATCH($C91&amp;"-"&amp;$D91&amp;"-"&amp;I$2&amp;"-"&amp;$E91,INDEX(DB!$A$3:$A$65423&amp;"-"&amp;DB!$C$3:$C$65423&amp;"-"&amp;DB!$D$3:$D$65423&amp;"-"&amp;DB!$E$3:$E$65423,),0)),0)</f>
        <v>0</v>
      </c>
      <c r="J91" s="36">
        <f t="shared" si="55"/>
        <v>0</v>
      </c>
      <c r="K91" s="107">
        <f>IFERROR(INDEX(DB!$F$3:$F$65423,MATCH($C91&amp;"-"&amp;$D91&amp;"-"&amp;I$2&amp;"-"&amp;$E91,INDEX(DB!$A$3:$A$65423&amp;"-"&amp;DB!$C$3:$C$65423&amp;"-"&amp;DB!$D$3:$D$65423&amp;"-"&amp;DB!$E$3:$E$65423,),0)),0)</f>
        <v>0</v>
      </c>
      <c r="L91"/>
      <c r="M91"/>
      <c r="N91"/>
      <c r="O91"/>
      <c r="P91"/>
      <c r="Q91"/>
      <c r="R91" s="23"/>
      <c r="S91" s="27"/>
      <c r="T91" s="23"/>
      <c r="U91" s="23"/>
      <c r="V91" s="27"/>
      <c r="W91" s="23"/>
      <c r="X91" s="23"/>
      <c r="Y91" s="27"/>
      <c r="Z91" s="23"/>
    </row>
    <row r="92" spans="1:26" ht="0.15" customHeight="1" outlineLevel="1" x14ac:dyDescent="0.2">
      <c r="A92" s="200"/>
      <c r="B92" s="63" t="s">
        <v>73</v>
      </c>
      <c r="C92" s="25"/>
      <c r="D92" s="31">
        <v>0</v>
      </c>
      <c r="E92" s="31">
        <v>20</v>
      </c>
      <c r="F92" s="100">
        <f t="shared" si="58"/>
        <v>0</v>
      </c>
      <c r="G92" s="112" t="s">
        <v>74</v>
      </c>
      <c r="H92" s="113">
        <f>SUMIF(I$3:N$3,$H$3,I92:N92)</f>
        <v>0</v>
      </c>
      <c r="I92" s="114">
        <f>IFERROR(INDEX(DB!$AB$3:$AB$65423,MATCH($D92&amp;"-"&amp;I$2,INDEX(DB!$Y$3:$Y$65423&amp;"-"&amp;DB!$Z$3:$Z$65423,),0)),0)</f>
        <v>0</v>
      </c>
      <c r="J92" s="112" t="s">
        <v>75</v>
      </c>
      <c r="K92" s="115">
        <f>IFERROR(INDEX(DB!$AA$3:$AA$65423,MATCH($D92&amp;"-"&amp;I$2,INDEX(DB!$Y$3:$Y$65423&amp;"-"&amp;DB!$Z$3:$Z$65423,),0)),0)</f>
        <v>0</v>
      </c>
      <c r="L92"/>
      <c r="M92"/>
      <c r="N92"/>
      <c r="O92"/>
      <c r="P92"/>
      <c r="Q92"/>
      <c r="R92" s="23"/>
      <c r="S92" s="26"/>
      <c r="T92" s="23"/>
      <c r="U92" s="23"/>
      <c r="V92" s="26"/>
      <c r="W92" s="23"/>
      <c r="X92" s="23"/>
      <c r="Y92" s="26"/>
      <c r="Z92" s="23"/>
    </row>
    <row r="93" spans="1:26" ht="13.5" customHeight="1" collapsed="1" x14ac:dyDescent="0.2">
      <c r="A93" s="198" t="s">
        <v>97</v>
      </c>
      <c r="B93" s="118" t="s">
        <v>96</v>
      </c>
      <c r="C93" s="56">
        <v>0</v>
      </c>
      <c r="D93" s="56">
        <v>9</v>
      </c>
      <c r="E93" s="56"/>
      <c r="F93" s="100">
        <f t="shared" ref="F93:F94" si="61">SUMIF(I$3:N$3,$F$3,I93:N93)</f>
        <v>0</v>
      </c>
      <c r="G93" s="57">
        <f t="shared" ref="G93" si="62">IF(ISERROR(F93/H93),0,F93/H93)</f>
        <v>0</v>
      </c>
      <c r="H93" s="101">
        <f t="shared" ref="H93" si="63">SUMIF(I$3:N$3,$H$3,I93:N93)</f>
        <v>0</v>
      </c>
      <c r="I93" s="102">
        <f>SUMIF($D94:$D99,$D93,I94:I99)</f>
        <v>0</v>
      </c>
      <c r="J93" s="57">
        <f t="shared" ref="J93" si="64">IF(ISERROR(I93/K93),0,I93/K93)</f>
        <v>0</v>
      </c>
      <c r="K93" s="103">
        <f>SUM(K94:K99)</f>
        <v>0</v>
      </c>
      <c r="L93"/>
      <c r="M93"/>
      <c r="N93"/>
      <c r="O93"/>
      <c r="P93"/>
      <c r="Q93"/>
      <c r="R93" s="23"/>
      <c r="S93" s="27"/>
      <c r="T93" s="23"/>
      <c r="U93" s="23"/>
      <c r="V93" s="27"/>
      <c r="W93" s="23"/>
      <c r="X93" s="23"/>
      <c r="Y93" s="27"/>
      <c r="Z93" s="23"/>
    </row>
    <row r="94" spans="1:26" s="14" customFormat="1" ht="12" customHeight="1" outlineLevel="1" x14ac:dyDescent="0.2">
      <c r="A94" s="199"/>
      <c r="B94" s="82" t="s">
        <v>1</v>
      </c>
      <c r="C94" s="28"/>
      <c r="D94" s="28">
        <v>9</v>
      </c>
      <c r="E94" s="28">
        <v>0</v>
      </c>
      <c r="F94" s="104">
        <f t="shared" si="61"/>
        <v>0</v>
      </c>
      <c r="G94" s="37">
        <f t="shared" ref="G94" si="65">IF(ISERROR(F94/H94),0,F94/H94)</f>
        <v>0</v>
      </c>
      <c r="H94" s="105">
        <f>SUMIF(I$3:N$3,$H$3,I94:N94)</f>
        <v>0</v>
      </c>
      <c r="I94" s="106">
        <f>SUMIF($B$102:$B$116,$B94,I$102:I$116)</f>
        <v>0</v>
      </c>
      <c r="J94" s="37">
        <f t="shared" ref="J94:J99" si="66">IF(ISERROR(I94/K94),0,I94/K94)</f>
        <v>0</v>
      </c>
      <c r="K94" s="107">
        <f t="shared" ref="K94:K100" si="67">SUMIF($B$102:$B$116,$B94,K$102:K$116)</f>
        <v>0</v>
      </c>
      <c r="L94"/>
      <c r="M94"/>
      <c r="N94"/>
      <c r="O94"/>
      <c r="P94"/>
      <c r="Q94"/>
      <c r="R94" s="23"/>
      <c r="S94" s="27"/>
      <c r="T94" s="23"/>
      <c r="U94" s="23"/>
      <c r="V94" s="27"/>
      <c r="W94" s="23"/>
      <c r="X94" s="23"/>
      <c r="Y94" s="27"/>
      <c r="Z94" s="23"/>
    </row>
    <row r="95" spans="1:26" s="14" customFormat="1" ht="12" customHeight="1" outlineLevel="1" x14ac:dyDescent="0.2">
      <c r="A95" s="199"/>
      <c r="B95" s="87" t="s">
        <v>90</v>
      </c>
      <c r="C95" s="29"/>
      <c r="D95" s="29">
        <v>9</v>
      </c>
      <c r="E95" s="29">
        <v>1</v>
      </c>
      <c r="F95" s="108">
        <f>SUMIF(I$3:N$3,$F$3,I95:N95)</f>
        <v>0</v>
      </c>
      <c r="G95" s="38">
        <f t="shared" ref="G95:G99" si="68">IF(ISERROR(F95/H95),0,F95/H95)</f>
        <v>0</v>
      </c>
      <c r="H95" s="109">
        <f t="shared" ref="H95:H101" si="69">SUMIF(I$3:N$3,$H$3,I95:N95)</f>
        <v>0</v>
      </c>
      <c r="I95" s="106">
        <f t="shared" ref="I95:I99" si="70">SUMIF($B$102:$B$116,$B95,I$102:I$116)</f>
        <v>0</v>
      </c>
      <c r="J95" s="38">
        <f t="shared" si="66"/>
        <v>0</v>
      </c>
      <c r="K95" s="107">
        <f t="shared" si="67"/>
        <v>0</v>
      </c>
      <c r="L95"/>
      <c r="M95"/>
      <c r="N95"/>
      <c r="O95"/>
      <c r="P95"/>
      <c r="Q95"/>
      <c r="R95" s="23"/>
      <c r="S95" s="27"/>
      <c r="T95" s="23"/>
      <c r="U95" s="23"/>
      <c r="V95" s="27"/>
      <c r="W95" s="23"/>
      <c r="X95" s="23"/>
      <c r="Y95" s="27"/>
      <c r="Z95" s="23"/>
    </row>
    <row r="96" spans="1:26" s="14" customFormat="1" ht="12" customHeight="1" outlineLevel="1" x14ac:dyDescent="0.2">
      <c r="A96" s="199"/>
      <c r="B96" s="87" t="s">
        <v>91</v>
      </c>
      <c r="C96" s="29"/>
      <c r="D96" s="29">
        <v>9</v>
      </c>
      <c r="E96" s="29">
        <v>2</v>
      </c>
      <c r="F96" s="108">
        <f t="shared" ref="F96:F102" si="71">SUMIF(I$3:N$3,$F$3,I96:N96)</f>
        <v>0</v>
      </c>
      <c r="G96" s="38">
        <f t="shared" si="68"/>
        <v>0</v>
      </c>
      <c r="H96" s="109">
        <f t="shared" si="69"/>
        <v>0</v>
      </c>
      <c r="I96" s="106">
        <f t="shared" si="70"/>
        <v>0</v>
      </c>
      <c r="J96" s="38">
        <f t="shared" si="66"/>
        <v>0</v>
      </c>
      <c r="K96" s="107">
        <f t="shared" si="67"/>
        <v>0</v>
      </c>
      <c r="L96"/>
      <c r="M96"/>
      <c r="N96"/>
      <c r="O96"/>
      <c r="P96"/>
      <c r="Q96"/>
      <c r="R96" s="23"/>
      <c r="S96" s="27"/>
      <c r="T96" s="23"/>
      <c r="U96" s="23"/>
      <c r="V96" s="27"/>
      <c r="W96" s="23"/>
      <c r="X96" s="23"/>
      <c r="Y96" s="27"/>
      <c r="Z96" s="23"/>
    </row>
    <row r="97" spans="1:26" s="14" customFormat="1" ht="12" customHeight="1" outlineLevel="1" x14ac:dyDescent="0.2">
      <c r="A97" s="199"/>
      <c r="B97" s="87" t="s">
        <v>104</v>
      </c>
      <c r="C97" s="29"/>
      <c r="D97" s="29">
        <v>9</v>
      </c>
      <c r="E97" s="29">
        <v>3</v>
      </c>
      <c r="F97" s="108">
        <f t="shared" si="71"/>
        <v>0</v>
      </c>
      <c r="G97" s="38">
        <f t="shared" si="68"/>
        <v>0</v>
      </c>
      <c r="H97" s="109">
        <f t="shared" si="69"/>
        <v>0</v>
      </c>
      <c r="I97" s="106">
        <f t="shared" si="70"/>
        <v>0</v>
      </c>
      <c r="J97" s="38">
        <f t="shared" si="66"/>
        <v>0</v>
      </c>
      <c r="K97" s="107">
        <f t="shared" si="67"/>
        <v>0</v>
      </c>
      <c r="L97"/>
      <c r="M97"/>
      <c r="N97"/>
      <c r="O97"/>
      <c r="P97"/>
      <c r="Q97"/>
      <c r="R97" s="23"/>
      <c r="S97" s="27"/>
      <c r="T97" s="23"/>
      <c r="U97" s="23"/>
      <c r="V97" s="27"/>
      <c r="W97" s="23"/>
      <c r="X97" s="23"/>
      <c r="Y97" s="27"/>
      <c r="Z97" s="23"/>
    </row>
    <row r="98" spans="1:26" s="14" customFormat="1" ht="12" customHeight="1" outlineLevel="1" x14ac:dyDescent="0.2">
      <c r="A98" s="199"/>
      <c r="B98" s="87" t="s">
        <v>85</v>
      </c>
      <c r="C98" s="29"/>
      <c r="D98" s="29">
        <v>9</v>
      </c>
      <c r="E98" s="29">
        <v>106</v>
      </c>
      <c r="F98" s="108">
        <f t="shared" si="71"/>
        <v>0</v>
      </c>
      <c r="G98" s="38">
        <f t="shared" si="68"/>
        <v>0</v>
      </c>
      <c r="H98" s="109">
        <f t="shared" si="69"/>
        <v>0</v>
      </c>
      <c r="I98" s="106">
        <f t="shared" si="70"/>
        <v>0</v>
      </c>
      <c r="J98" s="38">
        <f t="shared" si="66"/>
        <v>0</v>
      </c>
      <c r="K98" s="107">
        <f t="shared" si="67"/>
        <v>0</v>
      </c>
      <c r="L98"/>
      <c r="M98"/>
      <c r="N98"/>
      <c r="O98"/>
      <c r="P98"/>
      <c r="Q98"/>
      <c r="R98" s="23"/>
      <c r="S98" s="27"/>
      <c r="T98" s="23"/>
      <c r="U98" s="23"/>
      <c r="V98" s="27"/>
      <c r="W98" s="23"/>
      <c r="X98" s="23"/>
      <c r="Y98" s="27"/>
      <c r="Z98" s="23"/>
    </row>
    <row r="99" spans="1:26" s="14" customFormat="1" ht="12" customHeight="1" outlineLevel="1" x14ac:dyDescent="0.2">
      <c r="A99" s="199"/>
      <c r="B99" s="93" t="s">
        <v>2</v>
      </c>
      <c r="C99" s="30"/>
      <c r="D99" s="30">
        <v>9</v>
      </c>
      <c r="E99" s="30">
        <v>4</v>
      </c>
      <c r="F99" s="110">
        <f t="shared" si="71"/>
        <v>0</v>
      </c>
      <c r="G99" s="36">
        <f t="shared" si="68"/>
        <v>0</v>
      </c>
      <c r="H99" s="111">
        <f t="shared" si="69"/>
        <v>0</v>
      </c>
      <c r="I99" s="116">
        <f t="shared" si="70"/>
        <v>0</v>
      </c>
      <c r="J99" s="36">
        <f t="shared" si="66"/>
        <v>0</v>
      </c>
      <c r="K99" s="117">
        <f t="shared" si="67"/>
        <v>0</v>
      </c>
      <c r="L99"/>
      <c r="M99"/>
      <c r="N99"/>
      <c r="O99"/>
      <c r="P99"/>
      <c r="Q99"/>
      <c r="R99" s="23"/>
      <c r="S99" s="27"/>
      <c r="T99" s="23"/>
      <c r="U99" s="23"/>
      <c r="V99" s="27"/>
      <c r="W99" s="23"/>
      <c r="X99" s="23"/>
      <c r="Y99" s="27"/>
      <c r="Z99" s="23"/>
    </row>
    <row r="100" spans="1:26" ht="0.15" customHeight="1" outlineLevel="1" x14ac:dyDescent="0.2">
      <c r="A100" s="200"/>
      <c r="B100" s="63" t="s">
        <v>73</v>
      </c>
      <c r="C100" s="25"/>
      <c r="D100" s="31"/>
      <c r="E100" s="31">
        <v>20</v>
      </c>
      <c r="F100" s="100">
        <f t="shared" si="71"/>
        <v>0</v>
      </c>
      <c r="G100" s="112" t="s">
        <v>74</v>
      </c>
      <c r="H100" s="113">
        <f t="shared" si="69"/>
        <v>0</v>
      </c>
      <c r="I100" s="114">
        <f>SUMIF($B$102:$B$116,$B100,I$102:I$116)</f>
        <v>0</v>
      </c>
      <c r="J100" s="112" t="s">
        <v>74</v>
      </c>
      <c r="K100" s="115">
        <f t="shared" si="67"/>
        <v>0</v>
      </c>
      <c r="L100"/>
      <c r="M100"/>
      <c r="N100"/>
      <c r="O100"/>
      <c r="P100"/>
      <c r="Q100"/>
      <c r="R100" s="23"/>
      <c r="S100" s="26"/>
      <c r="T100" s="23"/>
      <c r="U100" s="23"/>
      <c r="V100" s="26"/>
      <c r="W100" s="23"/>
      <c r="X100" s="23"/>
      <c r="Y100" s="26"/>
      <c r="Z100" s="23"/>
    </row>
    <row r="101" spans="1:26" ht="12" hidden="1" customHeight="1" x14ac:dyDescent="0.2">
      <c r="A101" s="192" t="s">
        <v>98</v>
      </c>
      <c r="B101" s="55" t="s">
        <v>96</v>
      </c>
      <c r="C101" s="56">
        <v>0</v>
      </c>
      <c r="D101" s="56">
        <v>1041</v>
      </c>
      <c r="E101" s="56"/>
      <c r="F101" s="43">
        <f t="shared" si="71"/>
        <v>0</v>
      </c>
      <c r="G101" s="57">
        <f t="shared" ref="G101:G107" si="72">IF(ISERROR(F101/H101),0,F101/H101)</f>
        <v>0</v>
      </c>
      <c r="H101" s="58">
        <f t="shared" si="69"/>
        <v>0</v>
      </c>
      <c r="I101" s="59">
        <f>SUMIF($D102:$D107,$D101,I102:I107)</f>
        <v>0</v>
      </c>
      <c r="J101" s="57">
        <f t="shared" ref="J101:J107" si="73">IF(ISERROR(I101/K101),0,I101/K101)</f>
        <v>0</v>
      </c>
      <c r="K101" s="60">
        <f>SUM(K102:K107)</f>
        <v>0</v>
      </c>
      <c r="L101"/>
      <c r="M101"/>
      <c r="N101"/>
      <c r="O101"/>
      <c r="P101"/>
      <c r="Q101"/>
      <c r="R101" s="23"/>
      <c r="S101" s="27"/>
      <c r="T101" s="23"/>
      <c r="U101" s="23"/>
      <c r="V101" s="27"/>
      <c r="W101" s="23"/>
      <c r="X101" s="23"/>
      <c r="Y101" s="27"/>
      <c r="Z101" s="23"/>
    </row>
    <row r="102" spans="1:26" s="14" customFormat="1" ht="12" hidden="1" customHeight="1" x14ac:dyDescent="0.2">
      <c r="A102" s="193"/>
      <c r="B102" s="64" t="s">
        <v>1</v>
      </c>
      <c r="C102" s="28">
        <v>0</v>
      </c>
      <c r="D102" s="28">
        <v>1041</v>
      </c>
      <c r="E102" s="28">
        <v>0</v>
      </c>
      <c r="F102" s="41">
        <f t="shared" si="71"/>
        <v>0</v>
      </c>
      <c r="G102" s="37">
        <f t="shared" si="72"/>
        <v>0</v>
      </c>
      <c r="H102" s="44">
        <f>SUMIF(I$3:N$3,$H$3,I102:N102)</f>
        <v>0</v>
      </c>
      <c r="I102" s="35">
        <f>IFERROR(INDEX(DB!$G$3:$G$65423,MATCH($C102&amp;"-"&amp;$D102&amp;"-"&amp;I$2&amp;"-"&amp;$E102,INDEX(DB!$A$3:$A$65423&amp;"-"&amp;DB!$C$3:$C$65423&amp;"-"&amp;DB!$D$3:$D$65423&amp;"-"&amp;DB!$E$3:$E$65423,),0)),0)</f>
        <v>0</v>
      </c>
      <c r="J102" s="37">
        <f t="shared" si="73"/>
        <v>0</v>
      </c>
      <c r="K102" s="49">
        <f>IFERROR(INDEX(DB!$F$3:$F$65423,MATCH($C102&amp;"-"&amp;$D102&amp;"-"&amp;I$2&amp;"-"&amp;$E102,INDEX(DB!$A$3:$A$65423&amp;"-"&amp;DB!$C$3:$C$65423&amp;"-"&amp;DB!$D$3:$D$65423&amp;"-"&amp;DB!$E$3:$E$65423,),0)),0)</f>
        <v>0</v>
      </c>
      <c r="L102"/>
      <c r="M102"/>
      <c r="N102"/>
      <c r="O102"/>
      <c r="P102"/>
      <c r="Q102"/>
      <c r="R102" s="23"/>
      <c r="S102" s="27"/>
      <c r="T102" s="23"/>
      <c r="U102" s="23"/>
      <c r="V102" s="27"/>
      <c r="W102" s="23"/>
      <c r="X102" s="23"/>
      <c r="Y102" s="27"/>
      <c r="Z102" s="23"/>
    </row>
    <row r="103" spans="1:26" s="14" customFormat="1" ht="12" hidden="1" customHeight="1" x14ac:dyDescent="0.2">
      <c r="A103" s="193"/>
      <c r="B103" s="61" t="s">
        <v>92</v>
      </c>
      <c r="C103" s="29">
        <v>0</v>
      </c>
      <c r="D103" s="29">
        <v>1041</v>
      </c>
      <c r="E103" s="29">
        <v>1</v>
      </c>
      <c r="F103" s="42">
        <f>SUMIF(I$3:N$3,$F$3,I103:N103)</f>
        <v>0</v>
      </c>
      <c r="G103" s="38">
        <f t="shared" si="72"/>
        <v>0</v>
      </c>
      <c r="H103" s="45">
        <f>SUMIF(I$3:N$3,$H$3,I103:N103)</f>
        <v>0</v>
      </c>
      <c r="I103" s="35">
        <f>IFERROR(INDEX(DB!$G$3:$G$65423,MATCH($C103&amp;"-"&amp;$D103&amp;"-"&amp;I$2&amp;"-"&amp;$E103,INDEX(DB!$A$3:$A$65423&amp;"-"&amp;DB!$C$3:$C$65423&amp;"-"&amp;DB!$D$3:$D$65423&amp;"-"&amp;DB!$E$3:$E$65423,),0)),0)</f>
        <v>0</v>
      </c>
      <c r="J103" s="38">
        <f t="shared" si="73"/>
        <v>0</v>
      </c>
      <c r="K103" s="49">
        <f>IFERROR(INDEX(DB!$F$3:$F$65423,MATCH($C103&amp;"-"&amp;$D103&amp;"-"&amp;I$2&amp;"-"&amp;$E103,INDEX(DB!$A$3:$A$65423&amp;"-"&amp;DB!$C$3:$C$65423&amp;"-"&amp;DB!$D$3:$D$65423&amp;"-"&amp;DB!$E$3:$E$65423,),0)),0)</f>
        <v>0</v>
      </c>
      <c r="L103"/>
      <c r="M103"/>
      <c r="N103"/>
      <c r="O103"/>
      <c r="P103"/>
      <c r="Q103"/>
      <c r="R103" s="23"/>
      <c r="S103" s="27"/>
      <c r="T103" s="23"/>
      <c r="U103" s="23"/>
      <c r="V103" s="27"/>
      <c r="W103" s="23"/>
      <c r="X103" s="23"/>
      <c r="Y103" s="27"/>
      <c r="Z103" s="23"/>
    </row>
    <row r="104" spans="1:26" s="14" customFormat="1" ht="12" hidden="1" customHeight="1" x14ac:dyDescent="0.2">
      <c r="A104" s="193"/>
      <c r="B104" s="61" t="s">
        <v>91</v>
      </c>
      <c r="C104" s="29">
        <v>0</v>
      </c>
      <c r="D104" s="29">
        <v>1041</v>
      </c>
      <c r="E104" s="29">
        <v>2</v>
      </c>
      <c r="F104" s="42">
        <f t="shared" ref="F104:F110" si="74">SUMIF(I$3:N$3,$F$3,I104:N104)</f>
        <v>0</v>
      </c>
      <c r="G104" s="38">
        <f t="shared" si="72"/>
        <v>0</v>
      </c>
      <c r="H104" s="45">
        <f t="shared" ref="H104:H109" si="75">SUMIF(I$3:N$3,$H$3,I104:N104)</f>
        <v>0</v>
      </c>
      <c r="I104" s="35">
        <f>IFERROR(INDEX(DB!$G$3:$G$65423,MATCH($C104&amp;"-"&amp;$D104&amp;"-"&amp;I$2&amp;"-"&amp;$E104,INDEX(DB!$A$3:$A$65423&amp;"-"&amp;DB!$C$3:$C$65423&amp;"-"&amp;DB!$D$3:$D$65423&amp;"-"&amp;DB!$E$3:$E$65423,),0)),0)</f>
        <v>0</v>
      </c>
      <c r="J104" s="38">
        <f t="shared" si="73"/>
        <v>0</v>
      </c>
      <c r="K104" s="49">
        <f>IFERROR(INDEX(DB!$F$3:$F$65423,MATCH($C104&amp;"-"&amp;$D104&amp;"-"&amp;I$2&amp;"-"&amp;$E104,INDEX(DB!$A$3:$A$65423&amp;"-"&amp;DB!$C$3:$C$65423&amp;"-"&amp;DB!$D$3:$D$65423&amp;"-"&amp;DB!$E$3:$E$65423,),0)),0)</f>
        <v>0</v>
      </c>
      <c r="L104"/>
      <c r="M104"/>
      <c r="N104"/>
      <c r="O104"/>
      <c r="P104"/>
      <c r="Q104"/>
      <c r="R104" s="23"/>
      <c r="S104" s="27"/>
      <c r="T104" s="23"/>
      <c r="U104" s="23"/>
      <c r="V104" s="27"/>
      <c r="W104" s="23"/>
      <c r="X104" s="23"/>
      <c r="Y104" s="27"/>
      <c r="Z104" s="23"/>
    </row>
    <row r="105" spans="1:26" s="14" customFormat="1" ht="12" hidden="1" customHeight="1" x14ac:dyDescent="0.2">
      <c r="A105" s="193"/>
      <c r="B105" s="61" t="s">
        <v>104</v>
      </c>
      <c r="C105" s="29">
        <v>0</v>
      </c>
      <c r="D105" s="29">
        <v>1041</v>
      </c>
      <c r="E105" s="29">
        <v>3</v>
      </c>
      <c r="F105" s="42">
        <f t="shared" si="74"/>
        <v>0</v>
      </c>
      <c r="G105" s="38">
        <f t="shared" si="72"/>
        <v>0</v>
      </c>
      <c r="H105" s="45">
        <f t="shared" si="75"/>
        <v>0</v>
      </c>
      <c r="I105" s="35">
        <f>IFERROR(INDEX(DB!$G$3:$G$65423,MATCH($C105&amp;"-"&amp;$D105&amp;"-"&amp;I$2&amp;"-"&amp;$E105,INDEX(DB!$A$3:$A$65423&amp;"-"&amp;DB!$C$3:$C$65423&amp;"-"&amp;DB!$D$3:$D$65423&amp;"-"&amp;DB!$E$3:$E$65423,),0)),0)</f>
        <v>0</v>
      </c>
      <c r="J105" s="38">
        <f t="shared" si="73"/>
        <v>0</v>
      </c>
      <c r="K105" s="49">
        <f>IFERROR(INDEX(DB!$F$3:$F$65423,MATCH($C105&amp;"-"&amp;$D105&amp;"-"&amp;I$2&amp;"-"&amp;$E105,INDEX(DB!$A$3:$A$65423&amp;"-"&amp;DB!$C$3:$C$65423&amp;"-"&amp;DB!$D$3:$D$65423&amp;"-"&amp;DB!$E$3:$E$65423,),0)),0)</f>
        <v>0</v>
      </c>
      <c r="L105"/>
      <c r="M105"/>
      <c r="N105"/>
      <c r="O105"/>
      <c r="P105"/>
      <c r="Q105"/>
      <c r="R105" s="23"/>
      <c r="S105" s="27"/>
      <c r="T105" s="23"/>
      <c r="U105" s="23"/>
      <c r="V105" s="27"/>
      <c r="W105" s="23"/>
      <c r="X105" s="23"/>
      <c r="Y105" s="27"/>
      <c r="Z105" s="23"/>
    </row>
    <row r="106" spans="1:26" s="14" customFormat="1" ht="12" hidden="1" customHeight="1" x14ac:dyDescent="0.2">
      <c r="A106" s="193"/>
      <c r="B106" s="61" t="s">
        <v>85</v>
      </c>
      <c r="C106" s="29">
        <v>0</v>
      </c>
      <c r="D106" s="29">
        <v>1041</v>
      </c>
      <c r="E106" s="29">
        <v>106</v>
      </c>
      <c r="F106" s="42">
        <f t="shared" si="74"/>
        <v>0</v>
      </c>
      <c r="G106" s="38">
        <f t="shared" si="72"/>
        <v>0</v>
      </c>
      <c r="H106" s="45">
        <f t="shared" si="75"/>
        <v>0</v>
      </c>
      <c r="I106" s="35">
        <f>IFERROR(INDEX(DB!$G$3:$G$65423,MATCH($C106&amp;"-"&amp;$D106&amp;"-"&amp;I$2&amp;"-"&amp;$E106,INDEX(DB!$A$3:$A$65423&amp;"-"&amp;DB!$C$3:$C$65423&amp;"-"&amp;DB!$D$3:$D$65423&amp;"-"&amp;DB!$E$3:$E$65423,),0)),0)</f>
        <v>0</v>
      </c>
      <c r="J106" s="38">
        <f t="shared" si="73"/>
        <v>0</v>
      </c>
      <c r="K106" s="49">
        <f>IFERROR(INDEX(DB!$F$3:$F$65423,MATCH($C106&amp;"-"&amp;$D106&amp;"-"&amp;I$2&amp;"-"&amp;$E106,INDEX(DB!$A$3:$A$65423&amp;"-"&amp;DB!$C$3:$C$65423&amp;"-"&amp;DB!$D$3:$D$65423&amp;"-"&amp;DB!$E$3:$E$65423,),0)),0)</f>
        <v>0</v>
      </c>
      <c r="L106"/>
      <c r="M106"/>
      <c r="N106"/>
      <c r="O106"/>
      <c r="P106"/>
      <c r="Q106"/>
      <c r="R106" s="23"/>
      <c r="S106" s="27"/>
      <c r="T106" s="23"/>
      <c r="U106" s="23"/>
      <c r="V106" s="27"/>
      <c r="W106" s="23"/>
      <c r="X106" s="23"/>
      <c r="Y106" s="27"/>
      <c r="Z106" s="23"/>
    </row>
    <row r="107" spans="1:26" s="14" customFormat="1" ht="12" hidden="1" customHeight="1" x14ac:dyDescent="0.2">
      <c r="A107" s="193"/>
      <c r="B107" s="62" t="s">
        <v>2</v>
      </c>
      <c r="C107" s="30">
        <v>0</v>
      </c>
      <c r="D107" s="30">
        <v>1041</v>
      </c>
      <c r="E107" s="30">
        <v>4</v>
      </c>
      <c r="F107" s="40">
        <f t="shared" si="74"/>
        <v>0</v>
      </c>
      <c r="G107" s="36">
        <f t="shared" si="72"/>
        <v>0</v>
      </c>
      <c r="H107" s="46">
        <f t="shared" si="75"/>
        <v>0</v>
      </c>
      <c r="I107" s="35">
        <f>IFERROR(INDEX(DB!$G$3:$G$65423,MATCH($C107&amp;"-"&amp;$D107&amp;"-"&amp;I$2&amp;"-"&amp;$E107,INDEX(DB!$A$3:$A$65423&amp;"-"&amp;DB!$C$3:$C$65423&amp;"-"&amp;DB!$D$3:$D$65423&amp;"-"&amp;DB!$E$3:$E$65423,),0)),0)</f>
        <v>0</v>
      </c>
      <c r="J107" s="36">
        <f t="shared" si="73"/>
        <v>0</v>
      </c>
      <c r="K107" s="49">
        <f>IFERROR(INDEX(DB!$F$3:$F$65423,MATCH($C107&amp;"-"&amp;$D107&amp;"-"&amp;I$2&amp;"-"&amp;$E107,INDEX(DB!$A$3:$A$65423&amp;"-"&amp;DB!$C$3:$C$65423&amp;"-"&amp;DB!$D$3:$D$65423&amp;"-"&amp;DB!$E$3:$E$65423,),0)),0)</f>
        <v>0</v>
      </c>
      <c r="L107"/>
      <c r="M107"/>
      <c r="N107"/>
      <c r="O107"/>
      <c r="P107"/>
      <c r="Q107"/>
      <c r="R107" s="23"/>
      <c r="S107" s="27"/>
      <c r="T107" s="23"/>
      <c r="U107" s="23"/>
      <c r="V107" s="27"/>
      <c r="W107" s="23"/>
      <c r="X107" s="23"/>
      <c r="Y107" s="27"/>
      <c r="Z107" s="23"/>
    </row>
    <row r="108" spans="1:26" ht="12" hidden="1" customHeight="1" x14ac:dyDescent="0.2">
      <c r="A108" s="194"/>
      <c r="B108" s="63" t="s">
        <v>73</v>
      </c>
      <c r="C108" s="25"/>
      <c r="D108" s="31">
        <v>1041</v>
      </c>
      <c r="E108" s="31">
        <v>20</v>
      </c>
      <c r="F108" s="43">
        <f t="shared" si="74"/>
        <v>0</v>
      </c>
      <c r="G108" s="39" t="s">
        <v>74</v>
      </c>
      <c r="H108" s="47">
        <f t="shared" si="75"/>
        <v>0</v>
      </c>
      <c r="I108" s="48">
        <f>IFERROR(INDEX(DB!$AB$3:$AB$65423,MATCH($D108&amp;"-"&amp;I$2,INDEX(DB!$Y$3:$Y$65423&amp;"-"&amp;DB!$Z$3:$Z$65423,),0)),0)</f>
        <v>0</v>
      </c>
      <c r="J108" s="39" t="s">
        <v>75</v>
      </c>
      <c r="K108" s="50">
        <f>IFERROR(INDEX(DB!$AA$3:$AA$65423,MATCH($D108&amp;"-"&amp;I$2,INDEX(DB!$Y$3:$Y$65423&amp;"-"&amp;DB!$Z$3:$Z$65423,),0)),0)</f>
        <v>0</v>
      </c>
      <c r="L108"/>
      <c r="M108"/>
      <c r="N108"/>
      <c r="O108"/>
      <c r="P108"/>
      <c r="Q108"/>
      <c r="R108" s="23"/>
      <c r="S108" s="26"/>
      <c r="T108" s="23"/>
      <c r="U108" s="23"/>
      <c r="V108" s="26"/>
      <c r="W108" s="23"/>
      <c r="X108" s="23"/>
      <c r="Y108" s="26"/>
      <c r="Z108" s="23"/>
    </row>
    <row r="109" spans="1:26" ht="12" hidden="1" customHeight="1" x14ac:dyDescent="0.2">
      <c r="A109" s="195" t="s">
        <v>99</v>
      </c>
      <c r="B109" s="55" t="s">
        <v>96</v>
      </c>
      <c r="C109" s="56">
        <v>0</v>
      </c>
      <c r="D109" s="56">
        <v>7605</v>
      </c>
      <c r="E109" s="56"/>
      <c r="F109" s="43">
        <f>SUMIF(I$3:N$3,$F$3,I109:N109)</f>
        <v>0</v>
      </c>
      <c r="G109" s="57">
        <f t="shared" ref="G109:G115" si="76">IF(ISERROR(F109/H109),0,F109/H109)</f>
        <v>0</v>
      </c>
      <c r="H109" s="58">
        <f t="shared" si="75"/>
        <v>0</v>
      </c>
      <c r="I109" s="59">
        <f>SUMIF($D110:$D115,$D109,I110:I115)</f>
        <v>0</v>
      </c>
      <c r="J109" s="57">
        <f t="shared" ref="J109:J115" si="77">IF(ISERROR(I109/K109),0,I109/K109)</f>
        <v>0</v>
      </c>
      <c r="K109" s="60">
        <f>SUM(K110:K115)</f>
        <v>0</v>
      </c>
      <c r="L109"/>
      <c r="M109"/>
      <c r="N109"/>
      <c r="O109"/>
      <c r="P109"/>
      <c r="Q109"/>
      <c r="R109" s="23"/>
      <c r="S109" s="27"/>
      <c r="T109" s="23"/>
      <c r="U109" s="23"/>
      <c r="V109" s="27"/>
      <c r="W109" s="23"/>
      <c r="X109" s="23"/>
      <c r="Y109" s="27"/>
      <c r="Z109" s="23"/>
    </row>
    <row r="110" spans="1:26" s="14" customFormat="1" ht="12" hidden="1" customHeight="1" x14ac:dyDescent="0.2">
      <c r="A110" s="196"/>
      <c r="B110" s="64" t="s">
        <v>1</v>
      </c>
      <c r="C110" s="28">
        <v>0</v>
      </c>
      <c r="D110" s="28">
        <v>7605</v>
      </c>
      <c r="E110" s="28">
        <v>0</v>
      </c>
      <c r="F110" s="41">
        <f t="shared" si="74"/>
        <v>0</v>
      </c>
      <c r="G110" s="37">
        <f t="shared" si="76"/>
        <v>0</v>
      </c>
      <c r="H110" s="44">
        <f>SUMIF(I$3:N$3,$H$3,I110:N110)</f>
        <v>0</v>
      </c>
      <c r="I110" s="35">
        <f>IFERROR(INDEX(DB!$G$3:$G$65423,MATCH($C110&amp;"-"&amp;$D110&amp;"-"&amp;I$2&amp;"-"&amp;$E110,INDEX(DB!$A$3:$A$65423&amp;"-"&amp;DB!$C$3:$C$65423&amp;"-"&amp;DB!$D$3:$D$65423&amp;"-"&amp;DB!$E$3:$E$65423,),0)),0)</f>
        <v>0</v>
      </c>
      <c r="J110" s="37">
        <f t="shared" si="77"/>
        <v>0</v>
      </c>
      <c r="K110" s="49">
        <f>IFERROR(INDEX(DB!$F$3:$F$65423,MATCH($C110&amp;"-"&amp;$D110&amp;"-"&amp;I$2&amp;"-"&amp;$E110,INDEX(DB!$A$3:$A$65423&amp;"-"&amp;DB!$C$3:$C$65423&amp;"-"&amp;DB!$D$3:$D$65423&amp;"-"&amp;DB!$E$3:$E$65423,),0)),0)</f>
        <v>0</v>
      </c>
      <c r="L110"/>
      <c r="M110"/>
      <c r="N110"/>
      <c r="O110"/>
      <c r="P110"/>
      <c r="Q110"/>
      <c r="R110" s="23"/>
      <c r="S110" s="27"/>
      <c r="T110" s="23"/>
      <c r="U110" s="23"/>
      <c r="V110" s="27"/>
      <c r="W110" s="23"/>
      <c r="X110" s="23"/>
      <c r="Y110" s="27"/>
      <c r="Z110" s="23"/>
    </row>
    <row r="111" spans="1:26" s="14" customFormat="1" ht="12" hidden="1" customHeight="1" x14ac:dyDescent="0.2">
      <c r="A111" s="196"/>
      <c r="B111" s="61" t="s">
        <v>92</v>
      </c>
      <c r="C111" s="29">
        <v>0</v>
      </c>
      <c r="D111" s="29">
        <v>7605</v>
      </c>
      <c r="E111" s="29">
        <v>1</v>
      </c>
      <c r="F111" s="42">
        <f>SUMIF(I$3:N$3,$F$3,I111:N111)</f>
        <v>0</v>
      </c>
      <c r="G111" s="38">
        <f t="shared" si="76"/>
        <v>0</v>
      </c>
      <c r="H111" s="45">
        <f>SUMIF(I$3:N$3,$H$3,I111:N111)</f>
        <v>0</v>
      </c>
      <c r="I111" s="35">
        <f>IFERROR(INDEX(DB!$G$3:$G$65423,MATCH($C111&amp;"-"&amp;$D111&amp;"-"&amp;I$2&amp;"-"&amp;$E111,INDEX(DB!$A$3:$A$65423&amp;"-"&amp;DB!$C$3:$C$65423&amp;"-"&amp;DB!$D$3:$D$65423&amp;"-"&amp;DB!$E$3:$E$65423,),0)),0)</f>
        <v>0</v>
      </c>
      <c r="J111" s="38">
        <f t="shared" si="77"/>
        <v>0</v>
      </c>
      <c r="K111" s="49">
        <f>IFERROR(INDEX(DB!$F$3:$F$65423,MATCH($C111&amp;"-"&amp;$D111&amp;"-"&amp;I$2&amp;"-"&amp;$E111,INDEX(DB!$A$3:$A$65423&amp;"-"&amp;DB!$C$3:$C$65423&amp;"-"&amp;DB!$D$3:$D$65423&amp;"-"&amp;DB!$E$3:$E$65423,),0)),0)</f>
        <v>0</v>
      </c>
      <c r="L111"/>
      <c r="M111"/>
      <c r="N111"/>
      <c r="O111"/>
      <c r="P111"/>
      <c r="Q111"/>
      <c r="R111" s="23"/>
      <c r="S111" s="27"/>
      <c r="T111" s="23"/>
      <c r="U111" s="23"/>
      <c r="V111" s="27"/>
      <c r="W111" s="23"/>
      <c r="X111" s="23"/>
      <c r="Y111" s="27"/>
      <c r="Z111" s="23"/>
    </row>
    <row r="112" spans="1:26" s="14" customFormat="1" ht="12" hidden="1" customHeight="1" x14ac:dyDescent="0.2">
      <c r="A112" s="196"/>
      <c r="B112" s="61" t="s">
        <v>91</v>
      </c>
      <c r="C112" s="29">
        <v>0</v>
      </c>
      <c r="D112" s="29">
        <v>7605</v>
      </c>
      <c r="E112" s="29">
        <v>2</v>
      </c>
      <c r="F112" s="42">
        <f t="shared" ref="F112:F116" si="78">SUMIF(I$3:N$3,$F$3,I112:N112)</f>
        <v>0</v>
      </c>
      <c r="G112" s="38">
        <f t="shared" si="76"/>
        <v>0</v>
      </c>
      <c r="H112" s="45">
        <f t="shared" ref="H112:H116" si="79">SUMIF(I$3:N$3,$H$3,I112:N112)</f>
        <v>0</v>
      </c>
      <c r="I112" s="35">
        <f>IFERROR(INDEX(DB!$G$3:$G$65423,MATCH($C112&amp;"-"&amp;$D112&amp;"-"&amp;I$2&amp;"-"&amp;$E112,INDEX(DB!$A$3:$A$65423&amp;"-"&amp;DB!$C$3:$C$65423&amp;"-"&amp;DB!$D$3:$D$65423&amp;"-"&amp;DB!$E$3:$E$65423,),0)),0)</f>
        <v>0</v>
      </c>
      <c r="J112" s="38">
        <f t="shared" si="77"/>
        <v>0</v>
      </c>
      <c r="K112" s="49">
        <f>IFERROR(INDEX(DB!$F$3:$F$65423,MATCH($C112&amp;"-"&amp;$D112&amp;"-"&amp;I$2&amp;"-"&amp;$E112,INDEX(DB!$A$3:$A$65423&amp;"-"&amp;DB!$C$3:$C$65423&amp;"-"&amp;DB!$D$3:$D$65423&amp;"-"&amp;DB!$E$3:$E$65423,),0)),0)</f>
        <v>0</v>
      </c>
      <c r="L112"/>
      <c r="M112"/>
      <c r="N112"/>
      <c r="O112"/>
      <c r="P112"/>
      <c r="Q112"/>
      <c r="R112" s="23"/>
      <c r="S112" s="27"/>
      <c r="T112" s="23"/>
      <c r="U112" s="23"/>
      <c r="V112" s="27"/>
      <c r="W112" s="23"/>
      <c r="X112" s="23"/>
      <c r="Y112" s="27"/>
      <c r="Z112" s="23"/>
    </row>
    <row r="113" spans="1:26" s="14" customFormat="1" ht="12" hidden="1" customHeight="1" x14ac:dyDescent="0.2">
      <c r="A113" s="196"/>
      <c r="B113" s="61" t="s">
        <v>104</v>
      </c>
      <c r="C113" s="29">
        <v>0</v>
      </c>
      <c r="D113" s="29">
        <v>7605</v>
      </c>
      <c r="E113" s="29">
        <v>3</v>
      </c>
      <c r="F113" s="42">
        <f t="shared" si="78"/>
        <v>0</v>
      </c>
      <c r="G113" s="38">
        <f t="shared" si="76"/>
        <v>0</v>
      </c>
      <c r="H113" s="45">
        <f t="shared" si="79"/>
        <v>0</v>
      </c>
      <c r="I113" s="35">
        <f>IFERROR(INDEX(DB!$G$3:$G$65423,MATCH($C113&amp;"-"&amp;$D113&amp;"-"&amp;I$2&amp;"-"&amp;$E113,INDEX(DB!$A$3:$A$65423&amp;"-"&amp;DB!$C$3:$C$65423&amp;"-"&amp;DB!$D$3:$D$65423&amp;"-"&amp;DB!$E$3:$E$65423,),0)),0)</f>
        <v>0</v>
      </c>
      <c r="J113" s="38">
        <f t="shared" si="77"/>
        <v>0</v>
      </c>
      <c r="K113" s="49">
        <f>IFERROR(INDEX(DB!$F$3:$F$65423,MATCH($C113&amp;"-"&amp;$D113&amp;"-"&amp;I$2&amp;"-"&amp;$E113,INDEX(DB!$A$3:$A$65423&amp;"-"&amp;DB!$C$3:$C$65423&amp;"-"&amp;DB!$D$3:$D$65423&amp;"-"&amp;DB!$E$3:$E$65423,),0)),0)</f>
        <v>0</v>
      </c>
      <c r="L113"/>
      <c r="M113"/>
      <c r="N113"/>
      <c r="O113"/>
      <c r="P113"/>
      <c r="Q113"/>
      <c r="R113" s="23"/>
      <c r="S113" s="27"/>
      <c r="T113" s="23"/>
      <c r="U113" s="23"/>
      <c r="V113" s="27"/>
      <c r="W113" s="23"/>
      <c r="X113" s="23"/>
      <c r="Y113" s="27"/>
      <c r="Z113" s="23"/>
    </row>
    <row r="114" spans="1:26" s="14" customFormat="1" ht="12" hidden="1" customHeight="1" x14ac:dyDescent="0.2">
      <c r="A114" s="196"/>
      <c r="B114" s="61" t="s">
        <v>85</v>
      </c>
      <c r="C114" s="29">
        <v>0</v>
      </c>
      <c r="D114" s="29">
        <v>7605</v>
      </c>
      <c r="E114" s="29">
        <v>106</v>
      </c>
      <c r="F114" s="42">
        <f t="shared" si="78"/>
        <v>0</v>
      </c>
      <c r="G114" s="38">
        <f t="shared" si="76"/>
        <v>0</v>
      </c>
      <c r="H114" s="45">
        <f t="shared" si="79"/>
        <v>0</v>
      </c>
      <c r="I114" s="35">
        <f>IFERROR(INDEX(DB!$G$3:$G$65423,MATCH($C114&amp;"-"&amp;$D114&amp;"-"&amp;I$2&amp;"-"&amp;$E114,INDEX(DB!$A$3:$A$65423&amp;"-"&amp;DB!$C$3:$C$65423&amp;"-"&amp;DB!$D$3:$D$65423&amp;"-"&amp;DB!$E$3:$E$65423,),0)),0)</f>
        <v>0</v>
      </c>
      <c r="J114" s="38">
        <f t="shared" si="77"/>
        <v>0</v>
      </c>
      <c r="K114" s="49">
        <f>IFERROR(INDEX(DB!$F$3:$F$65423,MATCH($C114&amp;"-"&amp;$D114&amp;"-"&amp;I$2&amp;"-"&amp;$E114,INDEX(DB!$A$3:$A$65423&amp;"-"&amp;DB!$C$3:$C$65423&amp;"-"&amp;DB!$D$3:$D$65423&amp;"-"&amp;DB!$E$3:$E$65423,),0)),0)</f>
        <v>0</v>
      </c>
      <c r="L114"/>
      <c r="M114"/>
      <c r="N114"/>
      <c r="O114"/>
      <c r="P114"/>
      <c r="Q114"/>
      <c r="R114" s="23"/>
      <c r="S114" s="27"/>
      <c r="T114" s="23"/>
      <c r="U114" s="23"/>
      <c r="V114" s="27"/>
      <c r="W114" s="23"/>
      <c r="X114" s="23"/>
      <c r="Y114" s="27"/>
      <c r="Z114" s="23"/>
    </row>
    <row r="115" spans="1:26" s="14" customFormat="1" ht="12" hidden="1" customHeight="1" x14ac:dyDescent="0.2">
      <c r="A115" s="196"/>
      <c r="B115" s="62" t="s">
        <v>2</v>
      </c>
      <c r="C115" s="30">
        <v>0</v>
      </c>
      <c r="D115" s="30">
        <v>7605</v>
      </c>
      <c r="E115" s="30">
        <v>4</v>
      </c>
      <c r="F115" s="40">
        <f t="shared" si="78"/>
        <v>0</v>
      </c>
      <c r="G115" s="36">
        <f t="shared" si="76"/>
        <v>0</v>
      </c>
      <c r="H115" s="46">
        <f t="shared" si="79"/>
        <v>0</v>
      </c>
      <c r="I115" s="35">
        <f>IFERROR(INDEX(DB!$G$3:$G$65423,MATCH($C115&amp;"-"&amp;$D115&amp;"-"&amp;I$2&amp;"-"&amp;$E115,INDEX(DB!$A$3:$A$65423&amp;"-"&amp;DB!$C$3:$C$65423&amp;"-"&amp;DB!$D$3:$D$65423&amp;"-"&amp;DB!$E$3:$E$65423,),0)),0)</f>
        <v>0</v>
      </c>
      <c r="J115" s="36">
        <f t="shared" si="77"/>
        <v>0</v>
      </c>
      <c r="K115" s="49">
        <f>IFERROR(INDEX(DB!$F$3:$F$65423,MATCH($C115&amp;"-"&amp;$D115&amp;"-"&amp;I$2&amp;"-"&amp;$E115,INDEX(DB!$A$3:$A$65423&amp;"-"&amp;DB!$C$3:$C$65423&amp;"-"&amp;DB!$D$3:$D$65423&amp;"-"&amp;DB!$E$3:$E$65423,),0)),0)</f>
        <v>0</v>
      </c>
      <c r="L115"/>
      <c r="M115"/>
      <c r="N115"/>
      <c r="O115"/>
      <c r="P115"/>
      <c r="Q115"/>
      <c r="R115" s="23"/>
      <c r="S115" s="27"/>
      <c r="T115" s="23"/>
      <c r="U115" s="23"/>
      <c r="V115" s="27"/>
      <c r="W115" s="23"/>
      <c r="X115" s="23"/>
      <c r="Y115" s="27"/>
      <c r="Z115" s="23"/>
    </row>
    <row r="116" spans="1:26" ht="12" hidden="1" customHeight="1" x14ac:dyDescent="0.2">
      <c r="A116" s="197"/>
      <c r="B116" s="63" t="s">
        <v>73</v>
      </c>
      <c r="C116" s="25"/>
      <c r="D116" s="31">
        <v>7605</v>
      </c>
      <c r="E116" s="31">
        <v>20</v>
      </c>
      <c r="F116" s="43">
        <f t="shared" si="78"/>
        <v>0</v>
      </c>
      <c r="G116" s="39" t="s">
        <v>74</v>
      </c>
      <c r="H116" s="47">
        <f t="shared" si="79"/>
        <v>0</v>
      </c>
      <c r="I116" s="48">
        <f>IFERROR(INDEX(DB!$AB$3:$AB$65423,MATCH($D116&amp;"-"&amp;I$2,INDEX(DB!$Y$3:$Y$65423&amp;"-"&amp;DB!$Z$3:$Z$65423,),0)),0)</f>
        <v>0</v>
      </c>
      <c r="J116" s="39" t="s">
        <v>75</v>
      </c>
      <c r="K116" s="50">
        <f>IFERROR(INDEX(DB!$AA$3:$AA$65423,MATCH($D116&amp;"-"&amp;I$2,INDEX(DB!$Y$3:$Y$65423&amp;"-"&amp;DB!$Z$3:$Z$65423,),0)),0)</f>
        <v>0</v>
      </c>
      <c r="L116"/>
      <c r="M116"/>
      <c r="N116"/>
      <c r="O116"/>
      <c r="P116"/>
      <c r="Q116"/>
      <c r="R116" s="23"/>
      <c r="S116" s="26"/>
      <c r="T116" s="23"/>
      <c r="U116" s="23"/>
      <c r="V116" s="26"/>
      <c r="W116" s="23"/>
      <c r="X116" s="23"/>
      <c r="Y116" s="26"/>
      <c r="Z116" s="23"/>
    </row>
    <row r="117" spans="1:26" ht="3.75" customHeight="1" x14ac:dyDescent="0.2">
      <c r="A117" s="66"/>
      <c r="L117"/>
      <c r="M117"/>
      <c r="N117"/>
      <c r="O117"/>
      <c r="P117"/>
      <c r="Q117"/>
    </row>
    <row r="118" spans="1:26" ht="18.899999999999999" customHeight="1" x14ac:dyDescent="0.2">
      <c r="L118"/>
      <c r="M118"/>
      <c r="N118"/>
      <c r="O118"/>
      <c r="P118"/>
      <c r="Q118"/>
    </row>
  </sheetData>
  <sheetProtection insertColumns="0" insertRows="0"/>
  <dataConsolidate/>
  <mergeCells count="50">
    <mergeCell ref="X2:Z2"/>
    <mergeCell ref="U2:W2"/>
    <mergeCell ref="R2:T2"/>
    <mergeCell ref="A1:G1"/>
    <mergeCell ref="F2:H2"/>
    <mergeCell ref="I2:K2"/>
    <mergeCell ref="A2:B2"/>
    <mergeCell ref="A45:A52"/>
    <mergeCell ref="A37:A44"/>
    <mergeCell ref="A53:A60"/>
    <mergeCell ref="A61:A68"/>
    <mergeCell ref="A93:A100"/>
    <mergeCell ref="A101:A108"/>
    <mergeCell ref="A109:A116"/>
    <mergeCell ref="A85:A92"/>
    <mergeCell ref="A69:A76"/>
    <mergeCell ref="A77:A84"/>
    <mergeCell ref="A4:B4"/>
    <mergeCell ref="F4:H4"/>
    <mergeCell ref="I4:K4"/>
    <mergeCell ref="A6:B6"/>
    <mergeCell ref="F6:G6"/>
    <mergeCell ref="I6:J6"/>
    <mergeCell ref="A7:B7"/>
    <mergeCell ref="F7:G7"/>
    <mergeCell ref="I7:J7"/>
    <mergeCell ref="A8:B8"/>
    <mergeCell ref="F8:G8"/>
    <mergeCell ref="I8:J8"/>
    <mergeCell ref="A10:B10"/>
    <mergeCell ref="F10:H10"/>
    <mergeCell ref="I10:K10"/>
    <mergeCell ref="A12:B12"/>
    <mergeCell ref="F12:G12"/>
    <mergeCell ref="I12:J12"/>
    <mergeCell ref="A21:B21"/>
    <mergeCell ref="F21:G21"/>
    <mergeCell ref="I21:J21"/>
    <mergeCell ref="A22:A27"/>
    <mergeCell ref="A13:A18"/>
    <mergeCell ref="A19:B19"/>
    <mergeCell ref="F19:H19"/>
    <mergeCell ref="I19:K19"/>
    <mergeCell ref="A31:A36"/>
    <mergeCell ref="A28:B28"/>
    <mergeCell ref="F28:H28"/>
    <mergeCell ref="I28:K28"/>
    <mergeCell ref="A30:B30"/>
    <mergeCell ref="F30:G30"/>
    <mergeCell ref="I30:J30"/>
  </mergeCells>
  <phoneticPr fontId="3"/>
  <pageMargins left="0.39370078740157483" right="0.39370078740157483" top="0.94488188976377963" bottom="0.70866141732283472" header="0.59055118110236227" footer="0.51181102362204722"/>
  <pageSetup paperSize="9" scale="95" orientation="landscape" r:id="rId1"/>
  <headerFooter>
    <oddFooter>&amp;L&amp;"HGPｺﾞｼｯｸM,ﾒﾃﾞｨｳﾑ"作成日：&amp;D&amp;C&amp;"HGPｺﾞｼｯｸM,ﾒﾃﾞｨｳﾑ"&amp;F/&amp;A</oddFooter>
  </headerFooter>
  <rowBreaks count="2" manualBreakCount="2">
    <brk id="36" max="13" man="1"/>
    <brk id="68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71</vt:i4>
      </vt:variant>
    </vt:vector>
  </HeadingPairs>
  <TitlesOfParts>
    <vt:vector size="73" baseType="lpstr">
      <vt:lpstr>DB</vt:lpstr>
      <vt:lpstr>商研</vt:lpstr>
      <vt:lpstr>DB!Print_Area</vt:lpstr>
      <vt:lpstr>商研!Print_Area</vt:lpstr>
      <vt:lpstr>商研!Print_Titles</vt:lpstr>
      <vt:lpstr>TukiRetu_顧客</vt:lpstr>
      <vt:lpstr>DB!サービス_営業外費_貨物</vt:lpstr>
      <vt:lpstr>DB!サービス_営業外費_物流</vt:lpstr>
      <vt:lpstr>DB!サービス_原額_貨物自_サンプラ</vt:lpstr>
      <vt:lpstr>DB!サービス_原額_貨物自_その他</vt:lpstr>
      <vt:lpstr>DB!サービス_原額_貨物自_トラン</vt:lpstr>
      <vt:lpstr>DB!サービス_原額_貨物自_三シャ</vt:lpstr>
      <vt:lpstr>DB!サービス_原額_貨物自_三商</vt:lpstr>
      <vt:lpstr>DB!サービス_原額_貨物自_事故</vt:lpstr>
      <vt:lpstr>DB!サービス_原額_貨物自_店装</vt:lpstr>
      <vt:lpstr>DB!サービス_原額_貨物庸_サンプラ</vt:lpstr>
      <vt:lpstr>DB!サービス_原額_貨物庸_その他</vt:lpstr>
      <vt:lpstr>DB!サービス_原額_貨物庸_トラン</vt:lpstr>
      <vt:lpstr>DB!サービス_原額_貨物庸_三シャ</vt:lpstr>
      <vt:lpstr>DB!サービス_原額_貨物庸_三商</vt:lpstr>
      <vt:lpstr>DB!サービス_原額_貨物庸_事故</vt:lpstr>
      <vt:lpstr>DB!サービス_原額_貨物庸_店装</vt:lpstr>
      <vt:lpstr>DB!サービス_原額_物流_その他</vt:lpstr>
      <vt:lpstr>DB!サービス_原額_物流_ルート</vt:lpstr>
      <vt:lpstr>DB!サービス_原額_物流_丸和</vt:lpstr>
      <vt:lpstr>DB!サービス_原額_物流_事故</vt:lpstr>
      <vt:lpstr>DB!サービス_人件一般費_貨物</vt:lpstr>
      <vt:lpstr>DB!サービス_人件一般費_物流</vt:lpstr>
      <vt:lpstr>DB!サービス_年月</vt:lpstr>
      <vt:lpstr>DB!サービス_売額_貨物自_サンプラ</vt:lpstr>
      <vt:lpstr>DB!サービス_売額_貨物自_その他</vt:lpstr>
      <vt:lpstr>DB!サービス_売額_貨物自_トラン</vt:lpstr>
      <vt:lpstr>DB!サービス_売額_貨物自_三シャ</vt:lpstr>
      <vt:lpstr>DB!サービス_売額_貨物自_三商</vt:lpstr>
      <vt:lpstr>DB!サービス_売額_貨物自_事故</vt:lpstr>
      <vt:lpstr>DB!サービス_売額_貨物自_店装</vt:lpstr>
      <vt:lpstr>DB!サービス_売額_貨物庸_サンプラ</vt:lpstr>
      <vt:lpstr>DB!サービス_売額_貨物庸_その他</vt:lpstr>
      <vt:lpstr>DB!サービス_売額_貨物庸_トラン</vt:lpstr>
      <vt:lpstr>DB!サービス_売額_貨物庸_三シャ</vt:lpstr>
      <vt:lpstr>DB!サービス_売額_貨物庸_三商</vt:lpstr>
      <vt:lpstr>DB!サービス_売額_貨物庸_事故</vt:lpstr>
      <vt:lpstr>DB!サービス_売額_貨物庸_店装</vt:lpstr>
      <vt:lpstr>DB!サービス_売額_物流_その他</vt:lpstr>
      <vt:lpstr>DB!サービス_売額_物流_ルート</vt:lpstr>
      <vt:lpstr>DB!サービス_売額_物流_丸和</vt:lpstr>
      <vt:lpstr>DB!サービス_売額_物流_事故</vt:lpstr>
      <vt:lpstr>DB!サービス予測_年月</vt:lpstr>
      <vt:lpstr>DB!サービス予測_予測原価金額_貨物</vt:lpstr>
      <vt:lpstr>DB!サービス予測_予測原価金額_物流</vt:lpstr>
      <vt:lpstr>DB!サービス予測_予測売上金額_貨物</vt:lpstr>
      <vt:lpstr>DB!サービス予測_予測売上金額_物流</vt:lpstr>
      <vt:lpstr>DB!フロント_営業外費</vt:lpstr>
      <vt:lpstr>DB!フロント_原価税抜金額</vt:lpstr>
      <vt:lpstr>DB!フロント_人件一般費</vt:lpstr>
      <vt:lpstr>DB!フロント_年月</vt:lpstr>
      <vt:lpstr>DB!フロント_売上税抜金額</vt:lpstr>
      <vt:lpstr>DB!フロント予測_年月</vt:lpstr>
      <vt:lpstr>DB!フロント予測_予測原価金額</vt:lpstr>
      <vt:lpstr>DB!フロント予測_予測売上金額</vt:lpstr>
      <vt:lpstr>DB!三研_営業外費</vt:lpstr>
      <vt:lpstr>DB!三研_原価税抜金額</vt:lpstr>
      <vt:lpstr>DB!三研_人件一般費</vt:lpstr>
      <vt:lpstr>DB!三研_年月</vt:lpstr>
      <vt:lpstr>DB!三研_売上税抜金額</vt:lpstr>
      <vt:lpstr>DB!三研予測_年月</vt:lpstr>
      <vt:lpstr>DB!三研予測_予測原価金額</vt:lpstr>
      <vt:lpstr>DB!三研予測_予測売上金額</vt:lpstr>
      <vt:lpstr>DB!統計集計先_CD</vt:lpstr>
      <vt:lpstr>DB!統計集計先_経費合計</vt:lpstr>
      <vt:lpstr>DB!統計集計先_人件費一般費</vt:lpstr>
      <vt:lpstr>DB!統計集計先_年月</vt:lpstr>
      <vt:lpstr>DB!統計集計先_部CD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大澤 諭</dc:creator>
  <cp:keywords>2016原価埋込版</cp:keywords>
  <cp:lastModifiedBy>NT-240014</cp:lastModifiedBy>
  <cp:lastPrinted>2024-09-13T02:55:08Z</cp:lastPrinted>
  <dcterms:created xsi:type="dcterms:W3CDTF">2017-02-15T01:37:09Z</dcterms:created>
  <dcterms:modified xsi:type="dcterms:W3CDTF">2025-01-29T04:06:58Z</dcterms:modified>
</cp:coreProperties>
</file>