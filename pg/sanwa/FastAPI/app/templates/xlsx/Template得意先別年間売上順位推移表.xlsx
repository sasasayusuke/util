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T-240014\Downloads\"/>
    </mc:Choice>
  </mc:AlternateContent>
  <bookViews>
    <workbookView xWindow="0" yWindow="0" windowWidth="23040" windowHeight="8976"/>
  </bookViews>
  <sheets>
    <sheet name="Template" sheetId="1" r:id="rId1"/>
  </sheets>
  <definedNames>
    <definedName name="CoreCells">Template!$A$6:$I$6</definedName>
    <definedName name="NenRetu">Template!$D:$I</definedName>
    <definedName name="_xlnm.Print_Titles" localSheetId="0">Template!$A:$C,Template!$1:$5</definedName>
    <definedName name="SumCore">Template!#REF!</definedName>
    <definedName name="YearNamePos">Template!$D$3</definedName>
    <definedName name="集計範囲">Template!$C$1</definedName>
  </definedNames>
  <calcPr calcId="162913" fullCalcOnLoad="1"/>
</workbook>
</file>

<file path=xl/calcChain.xml><?xml version="1.0" encoding="utf-8"?>
<calcChain xmlns="http://schemas.openxmlformats.org/spreadsheetml/2006/main">
  <c r="K6" i="1" l="1"/>
  <c r="K7" i="1"/>
  <c r="E7" i="1"/>
  <c r="E6" i="1"/>
  <c r="L4" i="1"/>
  <c r="M4" i="1"/>
  <c r="F4" i="1"/>
  <c r="G4" i="1"/>
  <c r="N4" i="1"/>
  <c r="O7" i="1"/>
  <c r="O6" i="1"/>
  <c r="H4" i="1"/>
  <c r="I7" i="1"/>
  <c r="I6" i="1"/>
</calcChain>
</file>

<file path=xl/sharedStrings.xml><?xml version="1.0" encoding="utf-8"?>
<sst xmlns="http://schemas.openxmlformats.org/spreadsheetml/2006/main" count="18" uniqueCount="12">
  <si>
    <t>得意先CD</t>
  </si>
  <si>
    <t>得意先名1</t>
  </si>
  <si>
    <t>得意先名2</t>
  </si>
  <si>
    <t>純売上金額</t>
  </si>
  <si>
    <t>ﾊﾟｰｾﾝﾄ</t>
  </si>
  <si>
    <t>順位</t>
    <rPh sb="0" eb="2">
      <t>ジュンイ</t>
    </rPh>
    <phoneticPr fontId="1"/>
  </si>
  <si>
    <t>2012年～2012年</t>
    <rPh sb="4" eb="5">
      <t>ネン</t>
    </rPh>
    <rPh sb="10" eb="11">
      <t>ネン</t>
    </rPh>
    <phoneticPr fontId="1"/>
  </si>
  <si>
    <t>計</t>
    <rPh sb="0" eb="1">
      <t>ケイ</t>
    </rPh>
    <phoneticPr fontId="1"/>
  </si>
  <si>
    <t>原価率</t>
    <rPh sb="0" eb="2">
      <t>ゲンカ</t>
    </rPh>
    <rPh sb="2" eb="3">
      <t>リツ</t>
    </rPh>
    <phoneticPr fontId="1"/>
  </si>
  <si>
    <t>得意先別年間売上順位推移表</t>
  </si>
  <si>
    <t>前対比</t>
    <rPh sb="0" eb="1">
      <t>ゼン</t>
    </rPh>
    <rPh sb="1" eb="3">
      <t>タイヒ</t>
    </rPh>
    <phoneticPr fontId="1"/>
  </si>
  <si>
    <t>原価金額</t>
    <rPh sb="0" eb="2">
      <t>ゲンカ</t>
    </rPh>
    <rPh sb="2" eb="4">
      <t>キンガク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</si>
</sst>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¥&quot;#,##0;[Red]&quot;¥&quot;\-#,##0"/>
    <numFmt numFmtId="185" formatCode="0.0;[Red]\-0.0;0"/>
    <numFmt numFmtId="187" formatCode="0.0;[Red]\-0.0;0.0"/>
    <numFmt numFmtId="191" formatCode="#,##0.0;[Red]\-#,##0.0"/>
  </numFmts>
  <fonts count="20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b/>
      <sz val="18"/>
      <color theme="3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sz val="11"/>
      <color rgb="FF9C6500"/>
      <name val="ＭＳ Ｐゴシック"/>
      <family val="3"/>
      <charset val="128"/>
    </font>
    <font>
      <sz val="11"/>
      <color rgb="FFFA7D00"/>
      <name val="ＭＳ Ｐゴシック"/>
      <family val="3"/>
      <charset val="128"/>
    </font>
    <font>
      <sz val="11"/>
      <color rgb="FF9C0006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5"/>
      <color theme="3"/>
      <name val="ＭＳ Ｐゴシック"/>
      <family val="3"/>
      <charset val="128"/>
    </font>
    <font>
      <b/>
      <sz val="13"/>
      <color theme="3"/>
      <name val="ＭＳ Ｐゴシック"/>
      <family val="3"/>
      <charset val="128"/>
    </font>
    <font>
      <b/>
      <sz val="11"/>
      <color theme="3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</font>
    <font>
      <i/>
      <sz val="11"/>
      <color rgb="FF7F7F7F"/>
      <name val="ＭＳ Ｐゴシック"/>
      <family val="3"/>
      <charset val="128"/>
    </font>
    <font>
      <sz val="11"/>
      <color rgb="FF3F3F76"/>
      <name val="ＭＳ Ｐゴシック"/>
      <family val="3"/>
      <charset val="128"/>
    </font>
    <font>
      <sz val="11"/>
      <color rgb="FF0061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4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6" borderId="25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8" borderId="26" applyNumberFormat="0" applyFont="0" applyAlignment="0" applyProtection="0">
      <alignment vertical="center"/>
    </xf>
    <xf numFmtId="0" fontId="8" fillId="0" borderId="27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30" borderId="28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2" fillId="0" borderId="29" applyNumberFormat="0" applyFill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6" fillId="30" borderId="33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  <xf numFmtId="0" fontId="18" fillId="31" borderId="28" applyNumberFormat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38" fontId="2" fillId="0" borderId="0" xfId="33" applyFont="1">
      <alignment vertical="center"/>
    </xf>
    <xf numFmtId="0" fontId="0" fillId="0" borderId="1" xfId="0" applyBorder="1">
      <alignment vertical="center"/>
    </xf>
    <xf numFmtId="38" fontId="2" fillId="0" borderId="1" xfId="33" applyFont="1" applyBorder="1">
      <alignment vertical="center"/>
    </xf>
    <xf numFmtId="38" fontId="2" fillId="0" borderId="0" xfId="33" applyFont="1" applyBorder="1">
      <alignment vertical="center"/>
    </xf>
    <xf numFmtId="185" fontId="0" fillId="0" borderId="0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6" xfId="0" applyFill="1" applyBorder="1">
      <alignment vertical="center"/>
    </xf>
    <xf numFmtId="38" fontId="2" fillId="0" borderId="6" xfId="33" applyFont="1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87" fontId="0" fillId="0" borderId="8" xfId="0" applyNumberFormat="1" applyBorder="1">
      <alignment vertical="center"/>
    </xf>
    <xf numFmtId="187" fontId="0" fillId="0" borderId="10" xfId="0" applyNumberFormat="1" applyFill="1" applyBorder="1">
      <alignment vertical="center"/>
    </xf>
    <xf numFmtId="191" fontId="3" fillId="0" borderId="6" xfId="41" applyNumberFormat="1" applyFont="1" applyFill="1" applyBorder="1">
      <alignment vertical="center"/>
    </xf>
    <xf numFmtId="191" fontId="3" fillId="0" borderId="1" xfId="41" applyNumberFormat="1" applyFont="1" applyBorder="1">
      <alignment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4" fontId="0" fillId="0" borderId="6" xfId="0" applyNumberFormat="1" applyFill="1" applyBorder="1">
      <alignment vertical="center"/>
    </xf>
    <xf numFmtId="4" fontId="0" fillId="0" borderId="1" xfId="0" applyNumberFormat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 applyAlignment="1">
      <alignment horizontal="center" vertical="center"/>
    </xf>
    <xf numFmtId="3" fontId="0" fillId="0" borderId="18" xfId="0" applyNumberFormat="1" applyBorder="1">
      <alignment vertical="center"/>
    </xf>
    <xf numFmtId="0" fontId="0" fillId="0" borderId="19" xfId="0" applyBorder="1" applyAlignment="1">
      <alignment horizontal="center" vertical="center"/>
    </xf>
    <xf numFmtId="38" fontId="3" fillId="0" borderId="6" xfId="41" applyNumberFormat="1" applyFont="1" applyFill="1" applyBorder="1">
      <alignment vertical="center"/>
    </xf>
    <xf numFmtId="38" fontId="3" fillId="0" borderId="1" xfId="41" applyNumberFormat="1" applyFont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通貨" xfId="41" builtinId="7"/>
    <cellStyle name="入力" xfId="42" builtinId="20" customBuiltin="1"/>
    <cellStyle name="標準" xfId="0" builtinId="0"/>
    <cellStyle name="良い" xfId="43" builtinId="26" customBuiltin="1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10"/>
  <sheetViews>
    <sheetView tabSelected="1" zoomScaleNormal="100" zoomScaleSheetLayoutView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3.2" x14ac:dyDescent="0.2"/>
  <cols>
    <col min="1" max="1" width="9.6640625" customWidth="1"/>
    <col min="2" max="2" width="13.6640625" customWidth="1"/>
    <col min="3" max="3" width="10" customWidth="1"/>
    <col min="4" max="4" width="5.44140625" bestFit="1" customWidth="1"/>
    <col min="5" max="5" width="7.109375" bestFit="1" customWidth="1"/>
    <col min="6" max="6" width="8.109375" hidden="1" customWidth="1"/>
    <col min="7" max="7" width="7.77734375" bestFit="1" customWidth="1"/>
    <col min="8" max="8" width="12.88671875" style="1" bestFit="1" customWidth="1"/>
    <col min="9" max="9" width="7.21875" bestFit="1" customWidth="1"/>
    <col min="10" max="10" width="5.44140625" bestFit="1" customWidth="1"/>
    <col min="11" max="11" width="7.109375" customWidth="1"/>
    <col min="12" max="12" width="8.77734375" hidden="1" customWidth="1"/>
    <col min="13" max="13" width="7.109375" bestFit="1" customWidth="1"/>
    <col min="14" max="14" width="12.88671875" style="1" bestFit="1" customWidth="1"/>
    <col min="15" max="15" width="7.21875" bestFit="1" customWidth="1"/>
    <col min="16" max="16" width="0.6640625" customWidth="1"/>
  </cols>
  <sheetData>
    <row r="1" spans="1:16" x14ac:dyDescent="0.2">
      <c r="B1" s="7"/>
      <c r="C1" s="6" t="s">
        <v>6</v>
      </c>
      <c r="D1" s="6"/>
      <c r="E1" s="6"/>
      <c r="F1" s="6"/>
      <c r="G1" s="6"/>
      <c r="H1"/>
      <c r="J1" s="6"/>
      <c r="K1" s="6"/>
      <c r="L1" s="6"/>
      <c r="M1" s="6"/>
      <c r="N1"/>
    </row>
    <row r="2" spans="1:16" ht="13.8" thickBot="1" x14ac:dyDescent="0.25">
      <c r="A2" t="s">
        <v>9</v>
      </c>
      <c r="H2"/>
      <c r="N2"/>
    </row>
    <row r="3" spans="1:16" x14ac:dyDescent="0.2">
      <c r="A3" s="10"/>
      <c r="B3" s="29"/>
      <c r="C3" s="11"/>
      <c r="D3" s="37"/>
      <c r="E3" s="38"/>
      <c r="F3" s="38"/>
      <c r="G3" s="38"/>
      <c r="H3" s="38"/>
      <c r="I3" s="39"/>
      <c r="J3" s="37"/>
      <c r="K3" s="38"/>
      <c r="L3" s="38"/>
      <c r="M3" s="38"/>
      <c r="N3" s="38"/>
      <c r="O3" s="39"/>
    </row>
    <row r="4" spans="1:16" x14ac:dyDescent="0.2">
      <c r="A4" s="12"/>
      <c r="B4" s="30"/>
      <c r="C4" s="13"/>
      <c r="D4" s="40" t="s">
        <v>7</v>
      </c>
      <c r="E4" s="41"/>
      <c r="F4" s="33">
        <f>SUM(F6:F7)</f>
        <v>0</v>
      </c>
      <c r="G4" s="26">
        <f>IF(ISERROR(F4*100/H4),0,F4*100/H4)</f>
        <v>0</v>
      </c>
      <c r="H4" s="33">
        <f>SUM(H6:H7)</f>
        <v>0</v>
      </c>
      <c r="I4" s="34"/>
      <c r="J4" s="40" t="s">
        <v>7</v>
      </c>
      <c r="K4" s="41"/>
      <c r="L4" s="33">
        <f>SUM(L6:L7)</f>
        <v>0</v>
      </c>
      <c r="M4" s="26">
        <f>IF(ISERROR(L4*100/N4),0,L4*100/N4)</f>
        <v>0</v>
      </c>
      <c r="N4" s="33">
        <f>SUM(N6:N7)</f>
        <v>0</v>
      </c>
      <c r="O4" s="34"/>
    </row>
    <row r="5" spans="1:16" ht="13.8" thickBot="1" x14ac:dyDescent="0.25">
      <c r="A5" s="9" t="s">
        <v>0</v>
      </c>
      <c r="B5" s="31" t="s">
        <v>1</v>
      </c>
      <c r="C5" s="16" t="s">
        <v>2</v>
      </c>
      <c r="D5" s="32" t="s">
        <v>5</v>
      </c>
      <c r="E5" s="27" t="s">
        <v>10</v>
      </c>
      <c r="F5" s="27" t="s">
        <v>11</v>
      </c>
      <c r="G5" s="27" t="s">
        <v>8</v>
      </c>
      <c r="H5" s="27" t="s">
        <v>3</v>
      </c>
      <c r="I5" s="28" t="s">
        <v>4</v>
      </c>
      <c r="J5" s="32" t="s">
        <v>5</v>
      </c>
      <c r="K5" s="27" t="s">
        <v>10</v>
      </c>
      <c r="L5" s="27"/>
      <c r="M5" s="27" t="s">
        <v>8</v>
      </c>
      <c r="N5" s="27" t="s">
        <v>3</v>
      </c>
      <c r="O5" s="28" t="s">
        <v>4</v>
      </c>
    </row>
    <row r="6" spans="1:16" ht="20.100000000000001" customHeight="1" x14ac:dyDescent="0.2">
      <c r="A6" s="24"/>
      <c r="B6" s="14"/>
      <c r="C6" s="23"/>
      <c r="D6" s="24"/>
      <c r="E6" s="21">
        <f ca="1">IF(ISERROR(H6*100/OFFSET(H6,0,-6)),0,IF(OFFSET(H6,0,-6)=0,0,H6*100/OFFSET(H6,0,-6)))</f>
        <v>0</v>
      </c>
      <c r="F6" s="35"/>
      <c r="G6" s="25"/>
      <c r="H6" s="15"/>
      <c r="I6" s="20">
        <f>IF(H6=0,0,H6*100/H$4)</f>
        <v>0</v>
      </c>
      <c r="J6" s="24"/>
      <c r="K6" s="21">
        <f ca="1">IF(ISERROR(N6*100/OFFSET(N6,0,-6)),0,IF(OFFSET(N6,0,-6)=0,0,N6*100/OFFSET(N6,0,-6)))</f>
        <v>0</v>
      </c>
      <c r="L6" s="35"/>
      <c r="M6" s="25"/>
      <c r="N6" s="15"/>
      <c r="O6" s="20">
        <f>IF(N6=0,0,N6*100/N$4)</f>
        <v>0</v>
      </c>
      <c r="P6" s="12"/>
    </row>
    <row r="7" spans="1:16" ht="20.100000000000001" customHeight="1" x14ac:dyDescent="0.2">
      <c r="A7" s="18"/>
      <c r="B7" s="2"/>
      <c r="C7" s="17"/>
      <c r="D7" s="18"/>
      <c r="E7" s="22">
        <f ca="1">IF(ISERROR(H7*100/OFFSET(H7,0,-6)),0,IF(OFFSET(H7,0,-6)=0,0,H7*100/OFFSET(H7,0,-6)))</f>
        <v>0</v>
      </c>
      <c r="F7" s="36"/>
      <c r="G7" s="26"/>
      <c r="H7" s="3"/>
      <c r="I7" s="19">
        <f>IF(H7=0,0,H7*100/H$4)</f>
        <v>0</v>
      </c>
      <c r="J7" s="18"/>
      <c r="K7" s="22">
        <f ca="1">IF(ISERROR(N7*100/OFFSET(N7,0,-6)),0,IF(OFFSET(N7,0,-6)=0,0,N7*100/OFFSET(N7,0,-6)))</f>
        <v>0</v>
      </c>
      <c r="L7" s="36"/>
      <c r="M7" s="26"/>
      <c r="N7" s="3"/>
      <c r="O7" s="19">
        <f>IF(N7=0,0,N7*100/N$4)</f>
        <v>0</v>
      </c>
      <c r="P7" s="12"/>
    </row>
    <row r="9" spans="1:16" x14ac:dyDescent="0.2">
      <c r="B9" s="8"/>
      <c r="C9" s="8"/>
      <c r="D9" s="8"/>
      <c r="E9" s="8"/>
      <c r="F9" s="8"/>
      <c r="G9" s="8"/>
      <c r="H9" s="4"/>
      <c r="I9" s="5"/>
      <c r="J9" s="8"/>
      <c r="K9" s="8"/>
      <c r="L9" s="8"/>
      <c r="M9" s="8"/>
      <c r="N9" s="4"/>
      <c r="O9" s="5"/>
    </row>
    <row r="10" spans="1:16" x14ac:dyDescent="0.2">
      <c r="B10" s="8"/>
      <c r="C10" s="8"/>
      <c r="D10" s="8"/>
      <c r="E10" s="8"/>
      <c r="F10" s="8"/>
      <c r="G10" s="8"/>
      <c r="H10" s="4"/>
      <c r="I10" s="5"/>
      <c r="J10" s="8"/>
      <c r="K10" s="8"/>
      <c r="L10" s="8"/>
      <c r="M10" s="8"/>
      <c r="N10" s="4"/>
      <c r="O10" s="5"/>
    </row>
  </sheetData>
  <mergeCells count="4">
    <mergeCell ref="D3:I3"/>
    <mergeCell ref="J3:O3"/>
    <mergeCell ref="D4:E4"/>
    <mergeCell ref="J4:K4"/>
  </mergeCells>
  <phoneticPr fontId="1"/>
  <conditionalFormatting sqref="M6:M7 G6:G7 G4 M4">
    <cfRule type="expression" dxfId="3" priority="1" stopIfTrue="1">
      <formula>G4&gt;=90</formula>
    </cfRule>
  </conditionalFormatting>
  <conditionalFormatting sqref="J6:J7 D6:D7">
    <cfRule type="expression" dxfId="2" priority="2" stopIfTrue="1">
      <formula>D6&gt;OFFSET(D6,0,-6)</formula>
    </cfRule>
  </conditionalFormatting>
  <conditionalFormatting sqref="N6:N7 H6:H7">
    <cfRule type="expression" dxfId="1" priority="3" stopIfTrue="1">
      <formula>IF(ISERROR(H6*100/OFFSET(H6,0,-6)),FALSE,E6&lt;100)</formula>
    </cfRule>
  </conditionalFormatting>
  <conditionalFormatting sqref="K6:L7 E6:F7">
    <cfRule type="expression" dxfId="0" priority="4" stopIfTrue="1">
      <formula>IF(ISERROR(H6*100/OFFSET(H6,0,-6)),FALSE,E6&lt;100)</formula>
    </cfRule>
  </conditionalFormatting>
  <pageMargins left="0.7" right="0.75" top="0.75" bottom="0.5" header="0.3" footer="0.3"/>
  <pageSetup paperSize="8" orientation="landscape" r:id="rId1"/>
  <headerFooter>
    <oddFooter>&amp;C㈱三和商研&amp;P/&amp;N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5</vt:i4>
      </vt:variant>
    </vt:vector>
  </HeadingPairs>
  <TitlesOfParts>
    <vt:vector size="6" baseType="lpstr">
      <vt:lpstr>Template</vt:lpstr>
      <vt:lpstr>CoreCells</vt:lpstr>
      <vt:lpstr>NenRetu</vt:lpstr>
      <vt:lpstr>Template!Print_Titles</vt:lpstr>
      <vt:lpstr>YearNamePos</vt:lpstr>
      <vt:lpstr>集計範囲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071</dc:creator>
  <cp:lastModifiedBy>NT-240014</cp:lastModifiedBy>
  <cp:lastPrinted>2012-05-10T01:23:34Z</cp:lastPrinted>
  <dcterms:created xsi:type="dcterms:W3CDTF">2012-04-17T02:02:04Z</dcterms:created>
  <dcterms:modified xsi:type="dcterms:W3CDTF">2025-06-09T01:01:59Z</dcterms:modified>
</cp:coreProperties>
</file>