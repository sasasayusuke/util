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HD-REIDENSYA\reidensya\１課\浮ヶ谷\"/>
    </mc:Choice>
  </mc:AlternateContent>
  <xr:revisionPtr revIDLastSave="0" documentId="13_ncr:1_{7373072B-A343-456C-BA9C-F62A9C835311}" xr6:coauthVersionLast="47" xr6:coauthVersionMax="47" xr10:uidLastSave="{00000000-0000-0000-0000-000000000000}"/>
  <bookViews>
    <workbookView showHorizontalScroll="0" showVerticalScroll="0" showSheetTabs="0" xWindow="-120" yWindow="-120" windowWidth="25440" windowHeight="15270" xr2:uid="{00000000-000D-0000-FFFF-FFFF00000000}"/>
  </bookViews>
  <sheets>
    <sheet name="工賃時間単価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M12" i="1"/>
  <c r="M127" i="1" s="1"/>
  <c r="O13" i="1"/>
  <c r="N12" i="1"/>
  <c r="N127" i="1" s="1"/>
  <c r="O12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S12" i="1"/>
  <c r="T12" i="1" s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L27" i="1"/>
  <c r="S27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L28" i="1"/>
  <c r="S28" i="1"/>
  <c r="L29" i="1"/>
  <c r="S29" i="1"/>
  <c r="L30" i="1"/>
  <c r="S30" i="1"/>
  <c r="L31" i="1"/>
  <c r="S31" i="1"/>
  <c r="L32" i="1"/>
  <c r="S32" i="1"/>
  <c r="L33" i="1"/>
  <c r="S33" i="1"/>
  <c r="L34" i="1"/>
  <c r="S34" i="1"/>
  <c r="L35" i="1"/>
  <c r="L36" i="1"/>
  <c r="L37" i="1"/>
  <c r="L38" i="1"/>
  <c r="G7" i="1"/>
  <c r="H6" i="1"/>
  <c r="H2" i="1"/>
  <c r="L16" i="1"/>
  <c r="L17" i="1"/>
  <c r="L18" i="1"/>
  <c r="L19" i="1"/>
  <c r="L20" i="1"/>
  <c r="L21" i="1"/>
  <c r="L22" i="1"/>
  <c r="L23" i="1"/>
  <c r="L24" i="1"/>
  <c r="L25" i="1"/>
  <c r="L26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H5" i="1"/>
  <c r="H4" i="1"/>
  <c r="H3" i="1"/>
  <c r="L12" i="1"/>
  <c r="L13" i="1"/>
  <c r="L14" i="1"/>
  <c r="L15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T30" i="1" l="1"/>
  <c r="T18" i="1"/>
  <c r="T74" i="1"/>
  <c r="T17" i="1"/>
  <c r="T118" i="1"/>
  <c r="T126" i="1"/>
  <c r="T59" i="1"/>
  <c r="T15" i="1"/>
  <c r="T14" i="1"/>
  <c r="T13" i="1"/>
  <c r="T44" i="1"/>
  <c r="T16" i="1"/>
  <c r="T108" i="1"/>
  <c r="T81" i="1"/>
  <c r="T35" i="1"/>
  <c r="T51" i="1"/>
  <c r="T65" i="1"/>
  <c r="T67" i="1"/>
  <c r="T27" i="1"/>
  <c r="T60" i="1"/>
  <c r="T90" i="1"/>
  <c r="O127" i="1"/>
  <c r="P127" i="1"/>
  <c r="T25" i="1"/>
  <c r="T80" i="1"/>
  <c r="T111" i="1"/>
  <c r="T24" i="1"/>
  <c r="T107" i="1"/>
  <c r="T124" i="1"/>
  <c r="T72" i="1"/>
  <c r="T114" i="1"/>
  <c r="T36" i="1"/>
  <c r="T46" i="1"/>
  <c r="T62" i="1"/>
  <c r="T78" i="1"/>
  <c r="T94" i="1"/>
  <c r="T31" i="1"/>
  <c r="T53" i="1"/>
  <c r="T69" i="1"/>
  <c r="T85" i="1"/>
  <c r="T101" i="1"/>
  <c r="T28" i="1"/>
  <c r="T48" i="1"/>
  <c r="T64" i="1"/>
  <c r="T112" i="1"/>
  <c r="T87" i="1"/>
  <c r="T33" i="1"/>
  <c r="T100" i="1"/>
  <c r="T68" i="1"/>
  <c r="T21" i="1"/>
  <c r="T121" i="1"/>
  <c r="T116" i="1"/>
  <c r="T22" i="1"/>
  <c r="T91" i="1"/>
  <c r="T117" i="1"/>
  <c r="T47" i="1"/>
  <c r="T99" i="1"/>
  <c r="T37" i="1"/>
  <c r="T50" i="1"/>
  <c r="T66" i="1"/>
  <c r="T82" i="1"/>
  <c r="T98" i="1"/>
  <c r="T41" i="1"/>
  <c r="T57" i="1"/>
  <c r="T73" i="1"/>
  <c r="T89" i="1"/>
  <c r="T105" i="1"/>
  <c r="T32" i="1"/>
  <c r="T52" i="1"/>
  <c r="T123" i="1"/>
  <c r="T110" i="1"/>
  <c r="T79" i="1"/>
  <c r="T92" i="1"/>
  <c r="T55" i="1"/>
  <c r="T23" i="1"/>
  <c r="T63" i="1"/>
  <c r="T96" i="1"/>
  <c r="T20" i="1"/>
  <c r="T125" i="1"/>
  <c r="T75" i="1"/>
  <c r="T104" i="1"/>
  <c r="T29" i="1"/>
  <c r="T83" i="1"/>
  <c r="T34" i="1"/>
  <c r="T38" i="1"/>
  <c r="T54" i="1"/>
  <c r="T70" i="1"/>
  <c r="T86" i="1"/>
  <c r="T102" i="1"/>
  <c r="T45" i="1"/>
  <c r="T61" i="1"/>
  <c r="T77" i="1"/>
  <c r="T93" i="1"/>
  <c r="T109" i="1"/>
  <c r="T40" i="1"/>
  <c r="T56" i="1"/>
  <c r="T119" i="1"/>
  <c r="T103" i="1"/>
  <c r="T71" i="1"/>
  <c r="T120" i="1"/>
  <c r="T84" i="1"/>
  <c r="T39" i="1"/>
  <c r="U12" i="1"/>
  <c r="V12" i="1" s="1"/>
  <c r="T95" i="1"/>
  <c r="T113" i="1"/>
  <c r="T49" i="1"/>
  <c r="T58" i="1"/>
  <c r="T122" i="1"/>
  <c r="T26" i="1"/>
  <c r="T19" i="1"/>
  <c r="R127" i="1"/>
  <c r="Q127" i="1"/>
  <c r="T76" i="1"/>
  <c r="T115" i="1"/>
  <c r="T97" i="1"/>
  <c r="T106" i="1"/>
  <c r="T42" i="1"/>
  <c r="T88" i="1"/>
  <c r="T43" i="1"/>
  <c r="U17" i="1" l="1"/>
  <c r="U18" i="1"/>
  <c r="U15" i="1"/>
  <c r="U13" i="1"/>
  <c r="V13" i="1" s="1"/>
  <c r="U40" i="1"/>
  <c r="U16" i="1"/>
  <c r="U14" i="1"/>
  <c r="U108" i="1"/>
  <c r="U123" i="1"/>
  <c r="U48" i="1"/>
  <c r="U126" i="1"/>
  <c r="U93" i="1"/>
  <c r="U115" i="1"/>
  <c r="U61" i="1"/>
  <c r="U74" i="1"/>
  <c r="U43" i="1"/>
  <c r="U124" i="1"/>
  <c r="U100" i="1"/>
  <c r="U23" i="1"/>
  <c r="U72" i="1"/>
  <c r="U114" i="1"/>
  <c r="U125" i="1"/>
  <c r="U119" i="1"/>
  <c r="U53" i="1"/>
  <c r="U45" i="1"/>
  <c r="U91" i="1"/>
  <c r="U92" i="1"/>
  <c r="U81" i="1"/>
  <c r="U105" i="1"/>
  <c r="U20" i="1"/>
  <c r="U70" i="1"/>
  <c r="U109" i="1"/>
  <c r="U121" i="1"/>
  <c r="U52" i="1"/>
  <c r="U50" i="1"/>
  <c r="U107" i="1"/>
  <c r="U76" i="1"/>
  <c r="U65" i="1"/>
  <c r="U39" i="1"/>
  <c r="U111" i="1"/>
  <c r="U69" i="1"/>
  <c r="U30" i="1"/>
  <c r="U58" i="1"/>
  <c r="U60" i="1"/>
  <c r="U120" i="1"/>
  <c r="U122" i="1"/>
  <c r="U35" i="1"/>
  <c r="U27" i="1"/>
  <c r="U38" i="1"/>
  <c r="U102" i="1"/>
  <c r="U22" i="1"/>
  <c r="U19" i="1"/>
  <c r="U55" i="1"/>
  <c r="U66" i="1"/>
  <c r="U84" i="1"/>
  <c r="U99" i="1"/>
  <c r="U64" i="1"/>
  <c r="U103" i="1"/>
  <c r="U29" i="1"/>
  <c r="U37" i="1"/>
  <c r="U113" i="1"/>
  <c r="U98" i="1"/>
  <c r="U75" i="1"/>
  <c r="U68" i="1"/>
  <c r="U54" i="1"/>
  <c r="U85" i="1"/>
  <c r="U51" i="1"/>
  <c r="U89" i="1"/>
  <c r="U47" i="1"/>
  <c r="U78" i="1"/>
  <c r="U82" i="1"/>
  <c r="U25" i="1"/>
  <c r="U28" i="1"/>
  <c r="U57" i="1"/>
  <c r="U63" i="1"/>
  <c r="U94" i="1"/>
  <c r="U31" i="1"/>
  <c r="U21" i="1"/>
  <c r="U88" i="1"/>
  <c r="U106" i="1"/>
  <c r="U112" i="1"/>
  <c r="U97" i="1"/>
  <c r="U33" i="1"/>
  <c r="U80" i="1"/>
  <c r="U26" i="1"/>
  <c r="U36" i="1"/>
  <c r="U67" i="1"/>
  <c r="U118" i="1"/>
  <c r="U101" i="1"/>
  <c r="U42" i="1"/>
  <c r="U56" i="1"/>
  <c r="U117" i="1"/>
  <c r="U59" i="1"/>
  <c r="U46" i="1"/>
  <c r="U87" i="1"/>
  <c r="U62" i="1"/>
  <c r="U71" i="1"/>
  <c r="U77" i="1"/>
  <c r="U83" i="1"/>
  <c r="U73" i="1"/>
  <c r="U44" i="1"/>
  <c r="U104" i="1"/>
  <c r="U32" i="1"/>
  <c r="U90" i="1"/>
  <c r="U116" i="1"/>
  <c r="U79" i="1"/>
  <c r="U110" i="1"/>
  <c r="U34" i="1"/>
  <c r="U96" i="1"/>
  <c r="U41" i="1"/>
  <c r="U24" i="1"/>
  <c r="U95" i="1"/>
  <c r="U49" i="1"/>
  <c r="U86" i="1"/>
  <c r="S127" i="1"/>
  <c r="H7" i="1" s="1"/>
  <c r="V18" i="1" l="1"/>
  <c r="V19" i="1"/>
  <c r="V14" i="1"/>
  <c r="V15" i="1"/>
  <c r="V16" i="1"/>
  <c r="V17" i="1"/>
  <c r="V30" i="1"/>
  <c r="V108" i="1"/>
  <c r="V110" i="1"/>
  <c r="V83" i="1"/>
  <c r="V117" i="1"/>
  <c r="V80" i="1"/>
  <c r="V31" i="1"/>
  <c r="V47" i="1"/>
  <c r="V113" i="1"/>
  <c r="V64" i="1"/>
  <c r="V102" i="1"/>
  <c r="V52" i="1"/>
  <c r="V91" i="1"/>
  <c r="V125" i="1"/>
  <c r="V61" i="1"/>
  <c r="V48" i="1"/>
  <c r="V41" i="1"/>
  <c r="V104" i="1"/>
  <c r="V87" i="1"/>
  <c r="V56" i="1"/>
  <c r="V33" i="1"/>
  <c r="V106" i="1"/>
  <c r="V25" i="1"/>
  <c r="V68" i="1"/>
  <c r="V99" i="1"/>
  <c r="V38" i="1"/>
  <c r="V69" i="1"/>
  <c r="V76" i="1"/>
  <c r="V105" i="1"/>
  <c r="V45" i="1"/>
  <c r="V114" i="1"/>
  <c r="V124" i="1"/>
  <c r="V115" i="1"/>
  <c r="V40" i="1"/>
  <c r="V49" i="1"/>
  <c r="V96" i="1"/>
  <c r="V116" i="1"/>
  <c r="V44" i="1"/>
  <c r="V71" i="1"/>
  <c r="V46" i="1"/>
  <c r="V42" i="1"/>
  <c r="V36" i="1"/>
  <c r="V97" i="1"/>
  <c r="V88" i="1"/>
  <c r="V63" i="1"/>
  <c r="V82" i="1"/>
  <c r="V51" i="1"/>
  <c r="V75" i="1"/>
  <c r="V29" i="1"/>
  <c r="V84" i="1"/>
  <c r="V27" i="1"/>
  <c r="V60" i="1"/>
  <c r="V111" i="1"/>
  <c r="V107" i="1"/>
  <c r="V109" i="1"/>
  <c r="V81" i="1"/>
  <c r="V53" i="1"/>
  <c r="V72" i="1"/>
  <c r="V43" i="1"/>
  <c r="V93" i="1"/>
  <c r="V123" i="1"/>
  <c r="V24" i="1"/>
  <c r="V32" i="1"/>
  <c r="V62" i="1"/>
  <c r="V118" i="1"/>
  <c r="V28" i="1"/>
  <c r="V54" i="1"/>
  <c r="V55" i="1"/>
  <c r="V122" i="1"/>
  <c r="V65" i="1"/>
  <c r="V20" i="1"/>
  <c r="V100" i="1"/>
  <c r="V86" i="1"/>
  <c r="V79" i="1"/>
  <c r="V77" i="1"/>
  <c r="V67" i="1"/>
  <c r="V94" i="1"/>
  <c r="V89" i="1"/>
  <c r="V37" i="1"/>
  <c r="V120" i="1"/>
  <c r="V121" i="1"/>
  <c r="V95" i="1"/>
  <c r="V34" i="1"/>
  <c r="V90" i="1"/>
  <c r="V73" i="1"/>
  <c r="V59" i="1"/>
  <c r="V101" i="1"/>
  <c r="V26" i="1"/>
  <c r="V112" i="1"/>
  <c r="V21" i="1"/>
  <c r="V57" i="1"/>
  <c r="V78" i="1"/>
  <c r="V85" i="1"/>
  <c r="V98" i="1"/>
  <c r="V103" i="1"/>
  <c r="V66" i="1"/>
  <c r="V22" i="1"/>
  <c r="V35" i="1"/>
  <c r="V58" i="1"/>
  <c r="V39" i="1"/>
  <c r="V50" i="1"/>
  <c r="V70" i="1"/>
  <c r="V92" i="1"/>
  <c r="V119" i="1"/>
  <c r="V23" i="1"/>
  <c r="V74" i="1"/>
  <c r="V126" i="1"/>
  <c r="V127" i="1" l="1"/>
  <c r="W127" i="1" s="1"/>
  <c r="H8" i="1" s="1"/>
</calcChain>
</file>

<file path=xl/sharedStrings.xml><?xml version="1.0" encoding="utf-8"?>
<sst xmlns="http://schemas.openxmlformats.org/spreadsheetml/2006/main" count="622" uniqueCount="271">
  <si>
    <t>平日単価</t>
    <rPh sb="0" eb="2">
      <t>ヘイジツ</t>
    </rPh>
    <rPh sb="2" eb="4">
      <t>タンカ</t>
    </rPh>
    <phoneticPr fontId="2"/>
  </si>
  <si>
    <t>休日単価</t>
    <rPh sb="0" eb="2">
      <t>キュウジツ</t>
    </rPh>
    <rPh sb="2" eb="4">
      <t>タンカ</t>
    </rPh>
    <phoneticPr fontId="2"/>
  </si>
  <si>
    <t>時間帯</t>
    <rPh sb="0" eb="3">
      <t>ジカンタイ</t>
    </rPh>
    <phoneticPr fontId="2"/>
  </si>
  <si>
    <t>～</t>
    <phoneticPr fontId="2"/>
  </si>
  <si>
    <t>作業開始</t>
    <rPh sb="0" eb="2">
      <t>サギョウ</t>
    </rPh>
    <rPh sb="2" eb="4">
      <t>カイシ</t>
    </rPh>
    <phoneticPr fontId="2"/>
  </si>
  <si>
    <t>人数</t>
    <rPh sb="0" eb="2">
      <t>ニンズウ</t>
    </rPh>
    <phoneticPr fontId="2"/>
  </si>
  <si>
    <t>段取時間</t>
    <rPh sb="0" eb="2">
      <t>ダンド</t>
    </rPh>
    <rPh sb="2" eb="4">
      <t>ジカン</t>
    </rPh>
    <phoneticPr fontId="2"/>
  </si>
  <si>
    <t>移動時間</t>
    <rPh sb="0" eb="2">
      <t>イドウ</t>
    </rPh>
    <rPh sb="2" eb="4">
      <t>ジカン</t>
    </rPh>
    <phoneticPr fontId="2"/>
  </si>
  <si>
    <t>作業時間</t>
    <rPh sb="0" eb="2">
      <t>サギョウ</t>
    </rPh>
    <rPh sb="2" eb="4">
      <t>ジカン</t>
    </rPh>
    <phoneticPr fontId="2"/>
  </si>
  <si>
    <t>0:00</t>
    <phoneticPr fontId="2"/>
  </si>
  <si>
    <t>1:00</t>
    <phoneticPr fontId="2"/>
  </si>
  <si>
    <t>2:00</t>
    <phoneticPr fontId="2"/>
  </si>
  <si>
    <t>3:00</t>
    <phoneticPr fontId="2"/>
  </si>
  <si>
    <t>4:00</t>
    <phoneticPr fontId="2"/>
  </si>
  <si>
    <t>5:00</t>
    <phoneticPr fontId="2"/>
  </si>
  <si>
    <t>6:00</t>
    <phoneticPr fontId="2"/>
  </si>
  <si>
    <t>7:00</t>
    <phoneticPr fontId="2"/>
  </si>
  <si>
    <t>8:00</t>
    <phoneticPr fontId="2"/>
  </si>
  <si>
    <t>9:00</t>
    <phoneticPr fontId="2"/>
  </si>
  <si>
    <t>10:00</t>
    <phoneticPr fontId="2"/>
  </si>
  <si>
    <t>11:00</t>
    <phoneticPr fontId="2"/>
  </si>
  <si>
    <t>13:00</t>
    <phoneticPr fontId="2"/>
  </si>
  <si>
    <t>14:00</t>
    <phoneticPr fontId="2"/>
  </si>
  <si>
    <t>15:00</t>
    <phoneticPr fontId="2"/>
  </si>
  <si>
    <t>16:00</t>
    <phoneticPr fontId="2"/>
  </si>
  <si>
    <t>17:00</t>
    <phoneticPr fontId="2"/>
  </si>
  <si>
    <t>18:00</t>
    <phoneticPr fontId="2"/>
  </si>
  <si>
    <t>19:00</t>
    <phoneticPr fontId="2"/>
  </si>
  <si>
    <t>20:00</t>
    <phoneticPr fontId="2"/>
  </si>
  <si>
    <t>21:00</t>
    <phoneticPr fontId="2"/>
  </si>
  <si>
    <t>22:00</t>
    <phoneticPr fontId="2"/>
  </si>
  <si>
    <t>23:00</t>
    <phoneticPr fontId="2"/>
  </si>
  <si>
    <t>1人</t>
    <rPh sb="1" eb="2">
      <t>リ</t>
    </rPh>
    <phoneticPr fontId="2"/>
  </si>
  <si>
    <t>2人</t>
    <rPh sb="1" eb="2">
      <t>リ</t>
    </rPh>
    <phoneticPr fontId="2"/>
  </si>
  <si>
    <t>3人</t>
    <rPh sb="1" eb="2">
      <t>リ</t>
    </rPh>
    <phoneticPr fontId="2"/>
  </si>
  <si>
    <t>4人</t>
    <rPh sb="1" eb="2">
      <t>リ</t>
    </rPh>
    <phoneticPr fontId="2"/>
  </si>
  <si>
    <t>5人</t>
    <rPh sb="1" eb="2">
      <t>リ</t>
    </rPh>
    <phoneticPr fontId="2"/>
  </si>
  <si>
    <t>6人</t>
    <rPh sb="1" eb="2">
      <t>リ</t>
    </rPh>
    <phoneticPr fontId="2"/>
  </si>
  <si>
    <t>7人</t>
    <rPh sb="1" eb="2">
      <t>リ</t>
    </rPh>
    <phoneticPr fontId="2"/>
  </si>
  <si>
    <t>8人</t>
    <rPh sb="1" eb="2">
      <t>リ</t>
    </rPh>
    <phoneticPr fontId="2"/>
  </si>
  <si>
    <t>9人</t>
    <rPh sb="1" eb="2">
      <t>リ</t>
    </rPh>
    <phoneticPr fontId="2"/>
  </si>
  <si>
    <t>10人</t>
    <rPh sb="2" eb="3">
      <t>リ</t>
    </rPh>
    <phoneticPr fontId="2"/>
  </si>
  <si>
    <t>11人</t>
    <rPh sb="2" eb="3">
      <t>リ</t>
    </rPh>
    <phoneticPr fontId="2"/>
  </si>
  <si>
    <t>12人</t>
    <rPh sb="2" eb="3">
      <t>リ</t>
    </rPh>
    <phoneticPr fontId="2"/>
  </si>
  <si>
    <t>13人</t>
    <rPh sb="2" eb="3">
      <t>リ</t>
    </rPh>
    <phoneticPr fontId="2"/>
  </si>
  <si>
    <t>14人</t>
    <rPh sb="2" eb="3">
      <t>リ</t>
    </rPh>
    <phoneticPr fontId="2"/>
  </si>
  <si>
    <t>15人</t>
    <rPh sb="2" eb="3">
      <t>リ</t>
    </rPh>
    <phoneticPr fontId="2"/>
  </si>
  <si>
    <t>16人</t>
    <rPh sb="2" eb="3">
      <t>リ</t>
    </rPh>
    <phoneticPr fontId="2"/>
  </si>
  <si>
    <t>17人</t>
    <rPh sb="2" eb="3">
      <t>リ</t>
    </rPh>
    <phoneticPr fontId="2"/>
  </si>
  <si>
    <t>18人</t>
    <rPh sb="2" eb="3">
      <t>リ</t>
    </rPh>
    <phoneticPr fontId="2"/>
  </si>
  <si>
    <t>19人</t>
    <rPh sb="2" eb="3">
      <t>リ</t>
    </rPh>
    <phoneticPr fontId="2"/>
  </si>
  <si>
    <t>20人</t>
    <rPh sb="2" eb="3">
      <t>リ</t>
    </rPh>
    <phoneticPr fontId="2"/>
  </si>
  <si>
    <t>21人</t>
    <rPh sb="2" eb="3">
      <t>リ</t>
    </rPh>
    <phoneticPr fontId="2"/>
  </si>
  <si>
    <t>22人</t>
    <rPh sb="2" eb="3">
      <t>リ</t>
    </rPh>
    <phoneticPr fontId="2"/>
  </si>
  <si>
    <t>23人</t>
    <rPh sb="2" eb="3">
      <t>リ</t>
    </rPh>
    <phoneticPr fontId="2"/>
  </si>
  <si>
    <t>24人</t>
    <rPh sb="2" eb="3">
      <t>リ</t>
    </rPh>
    <phoneticPr fontId="2"/>
  </si>
  <si>
    <t>25人</t>
    <rPh sb="2" eb="3">
      <t>リ</t>
    </rPh>
    <phoneticPr fontId="2"/>
  </si>
  <si>
    <t>26人</t>
    <rPh sb="2" eb="3">
      <t>リ</t>
    </rPh>
    <phoneticPr fontId="2"/>
  </si>
  <si>
    <t>27人</t>
    <rPh sb="2" eb="3">
      <t>リ</t>
    </rPh>
    <phoneticPr fontId="2"/>
  </si>
  <si>
    <t>28人</t>
    <rPh sb="2" eb="3">
      <t>リ</t>
    </rPh>
    <phoneticPr fontId="2"/>
  </si>
  <si>
    <t>29人</t>
    <rPh sb="2" eb="3">
      <t>リ</t>
    </rPh>
    <phoneticPr fontId="2"/>
  </si>
  <si>
    <t>30人</t>
    <rPh sb="2" eb="3">
      <t>リ</t>
    </rPh>
    <phoneticPr fontId="2"/>
  </si>
  <si>
    <t>31人</t>
    <rPh sb="2" eb="3">
      <t>リ</t>
    </rPh>
    <phoneticPr fontId="2"/>
  </si>
  <si>
    <t>32人</t>
    <rPh sb="2" eb="3">
      <t>リ</t>
    </rPh>
    <phoneticPr fontId="2"/>
  </si>
  <si>
    <t>33人</t>
    <rPh sb="2" eb="3">
      <t>リ</t>
    </rPh>
    <phoneticPr fontId="2"/>
  </si>
  <si>
    <t>34人</t>
    <rPh sb="2" eb="3">
      <t>リ</t>
    </rPh>
    <phoneticPr fontId="2"/>
  </si>
  <si>
    <t>35人</t>
    <rPh sb="2" eb="3">
      <t>リ</t>
    </rPh>
    <phoneticPr fontId="2"/>
  </si>
  <si>
    <t>36人</t>
    <rPh sb="2" eb="3">
      <t>リ</t>
    </rPh>
    <phoneticPr fontId="2"/>
  </si>
  <si>
    <t>37人</t>
    <rPh sb="2" eb="3">
      <t>リ</t>
    </rPh>
    <phoneticPr fontId="2"/>
  </si>
  <si>
    <t>38人</t>
    <rPh sb="2" eb="3">
      <t>リ</t>
    </rPh>
    <phoneticPr fontId="2"/>
  </si>
  <si>
    <t>39人</t>
    <rPh sb="2" eb="3">
      <t>リ</t>
    </rPh>
    <phoneticPr fontId="2"/>
  </si>
  <si>
    <t>40人</t>
    <rPh sb="2" eb="3">
      <t>リ</t>
    </rPh>
    <phoneticPr fontId="2"/>
  </si>
  <si>
    <t>41人</t>
    <rPh sb="2" eb="3">
      <t>リ</t>
    </rPh>
    <phoneticPr fontId="2"/>
  </si>
  <si>
    <t>42人</t>
    <rPh sb="2" eb="3">
      <t>リ</t>
    </rPh>
    <phoneticPr fontId="2"/>
  </si>
  <si>
    <t>43人</t>
    <rPh sb="2" eb="3">
      <t>リ</t>
    </rPh>
    <phoneticPr fontId="2"/>
  </si>
  <si>
    <t>44人</t>
    <rPh sb="2" eb="3">
      <t>リ</t>
    </rPh>
    <phoneticPr fontId="2"/>
  </si>
  <si>
    <t>45人</t>
    <rPh sb="2" eb="3">
      <t>リ</t>
    </rPh>
    <phoneticPr fontId="2"/>
  </si>
  <si>
    <t>46人</t>
    <rPh sb="2" eb="3">
      <t>リ</t>
    </rPh>
    <phoneticPr fontId="2"/>
  </si>
  <si>
    <t>47人</t>
    <rPh sb="2" eb="3">
      <t>リ</t>
    </rPh>
    <phoneticPr fontId="2"/>
  </si>
  <si>
    <t>48人</t>
    <rPh sb="2" eb="3">
      <t>リ</t>
    </rPh>
    <phoneticPr fontId="2"/>
  </si>
  <si>
    <t>49人</t>
    <rPh sb="2" eb="3">
      <t>リ</t>
    </rPh>
    <phoneticPr fontId="2"/>
  </si>
  <si>
    <t>50人</t>
    <rPh sb="2" eb="3">
      <t>リ</t>
    </rPh>
    <phoneticPr fontId="2"/>
  </si>
  <si>
    <t>51人</t>
    <rPh sb="2" eb="3">
      <t>リ</t>
    </rPh>
    <phoneticPr fontId="2"/>
  </si>
  <si>
    <t>52人</t>
    <rPh sb="2" eb="3">
      <t>リ</t>
    </rPh>
    <phoneticPr fontId="2"/>
  </si>
  <si>
    <t>53人</t>
    <rPh sb="2" eb="3">
      <t>リ</t>
    </rPh>
    <phoneticPr fontId="2"/>
  </si>
  <si>
    <t>54人</t>
    <rPh sb="2" eb="3">
      <t>リ</t>
    </rPh>
    <phoneticPr fontId="2"/>
  </si>
  <si>
    <t>55人</t>
    <rPh sb="2" eb="3">
      <t>リ</t>
    </rPh>
    <phoneticPr fontId="2"/>
  </si>
  <si>
    <t>56人</t>
    <rPh sb="2" eb="3">
      <t>リ</t>
    </rPh>
    <phoneticPr fontId="2"/>
  </si>
  <si>
    <t>57人</t>
    <rPh sb="2" eb="3">
      <t>リ</t>
    </rPh>
    <phoneticPr fontId="2"/>
  </si>
  <si>
    <t>58人</t>
    <rPh sb="2" eb="3">
      <t>リ</t>
    </rPh>
    <phoneticPr fontId="2"/>
  </si>
  <si>
    <t>59人</t>
    <rPh sb="2" eb="3">
      <t>リ</t>
    </rPh>
    <phoneticPr fontId="2"/>
  </si>
  <si>
    <t>60人</t>
    <rPh sb="2" eb="3">
      <t>リ</t>
    </rPh>
    <phoneticPr fontId="2"/>
  </si>
  <si>
    <t>61人</t>
    <rPh sb="2" eb="3">
      <t>リ</t>
    </rPh>
    <phoneticPr fontId="2"/>
  </si>
  <si>
    <t>62人</t>
    <rPh sb="2" eb="3">
      <t>リ</t>
    </rPh>
    <phoneticPr fontId="2"/>
  </si>
  <si>
    <t>63人</t>
    <rPh sb="2" eb="3">
      <t>リ</t>
    </rPh>
    <phoneticPr fontId="2"/>
  </si>
  <si>
    <t>64人</t>
    <rPh sb="2" eb="3">
      <t>リ</t>
    </rPh>
    <phoneticPr fontId="2"/>
  </si>
  <si>
    <t>65人</t>
    <rPh sb="2" eb="3">
      <t>リ</t>
    </rPh>
    <phoneticPr fontId="2"/>
  </si>
  <si>
    <t>66人</t>
    <rPh sb="2" eb="3">
      <t>リ</t>
    </rPh>
    <phoneticPr fontId="2"/>
  </si>
  <si>
    <t>67人</t>
    <rPh sb="2" eb="3">
      <t>リ</t>
    </rPh>
    <phoneticPr fontId="2"/>
  </si>
  <si>
    <t>68人</t>
    <rPh sb="2" eb="3">
      <t>リ</t>
    </rPh>
    <phoneticPr fontId="2"/>
  </si>
  <si>
    <t>69人</t>
    <rPh sb="2" eb="3">
      <t>リ</t>
    </rPh>
    <phoneticPr fontId="2"/>
  </si>
  <si>
    <t>70人</t>
    <rPh sb="2" eb="3">
      <t>リ</t>
    </rPh>
    <phoneticPr fontId="2"/>
  </si>
  <si>
    <t>71人</t>
    <rPh sb="2" eb="3">
      <t>リ</t>
    </rPh>
    <phoneticPr fontId="2"/>
  </si>
  <si>
    <t>72人</t>
    <rPh sb="2" eb="3">
      <t>リ</t>
    </rPh>
    <phoneticPr fontId="2"/>
  </si>
  <si>
    <t>73人</t>
    <rPh sb="2" eb="3">
      <t>リ</t>
    </rPh>
    <phoneticPr fontId="2"/>
  </si>
  <si>
    <t>74人</t>
    <rPh sb="2" eb="3">
      <t>リ</t>
    </rPh>
    <phoneticPr fontId="2"/>
  </si>
  <si>
    <t>75人</t>
    <rPh sb="2" eb="3">
      <t>リ</t>
    </rPh>
    <phoneticPr fontId="2"/>
  </si>
  <si>
    <t>76人</t>
    <rPh sb="2" eb="3">
      <t>リ</t>
    </rPh>
    <phoneticPr fontId="2"/>
  </si>
  <si>
    <t>77人</t>
    <rPh sb="2" eb="3">
      <t>リ</t>
    </rPh>
    <phoneticPr fontId="2"/>
  </si>
  <si>
    <t>78人</t>
    <rPh sb="2" eb="3">
      <t>リ</t>
    </rPh>
    <phoneticPr fontId="2"/>
  </si>
  <si>
    <t>79人</t>
    <rPh sb="2" eb="3">
      <t>リ</t>
    </rPh>
    <phoneticPr fontId="2"/>
  </si>
  <si>
    <t>80人</t>
    <rPh sb="2" eb="3">
      <t>リ</t>
    </rPh>
    <phoneticPr fontId="2"/>
  </si>
  <si>
    <t>81人</t>
    <rPh sb="2" eb="3">
      <t>リ</t>
    </rPh>
    <phoneticPr fontId="2"/>
  </si>
  <si>
    <t>82人</t>
    <rPh sb="2" eb="3">
      <t>リ</t>
    </rPh>
    <phoneticPr fontId="2"/>
  </si>
  <si>
    <t>83人</t>
    <rPh sb="2" eb="3">
      <t>リ</t>
    </rPh>
    <phoneticPr fontId="2"/>
  </si>
  <si>
    <t>84人</t>
    <rPh sb="2" eb="3">
      <t>リ</t>
    </rPh>
    <phoneticPr fontId="2"/>
  </si>
  <si>
    <t>85人</t>
    <rPh sb="2" eb="3">
      <t>リ</t>
    </rPh>
    <phoneticPr fontId="2"/>
  </si>
  <si>
    <t>86人</t>
    <rPh sb="2" eb="3">
      <t>リ</t>
    </rPh>
    <phoneticPr fontId="2"/>
  </si>
  <si>
    <t>87人</t>
    <rPh sb="2" eb="3">
      <t>リ</t>
    </rPh>
    <phoneticPr fontId="2"/>
  </si>
  <si>
    <t>88人</t>
    <rPh sb="2" eb="3">
      <t>リ</t>
    </rPh>
    <phoneticPr fontId="2"/>
  </si>
  <si>
    <t>89人</t>
    <rPh sb="2" eb="3">
      <t>リ</t>
    </rPh>
    <phoneticPr fontId="2"/>
  </si>
  <si>
    <t>90人</t>
    <rPh sb="2" eb="3">
      <t>リ</t>
    </rPh>
    <phoneticPr fontId="2"/>
  </si>
  <si>
    <t>91人</t>
    <rPh sb="2" eb="3">
      <t>リ</t>
    </rPh>
    <phoneticPr fontId="2"/>
  </si>
  <si>
    <t>92人</t>
    <rPh sb="2" eb="3">
      <t>リ</t>
    </rPh>
    <phoneticPr fontId="2"/>
  </si>
  <si>
    <t>93人</t>
    <rPh sb="2" eb="3">
      <t>リ</t>
    </rPh>
    <phoneticPr fontId="2"/>
  </si>
  <si>
    <t>94人</t>
    <rPh sb="2" eb="3">
      <t>リ</t>
    </rPh>
    <phoneticPr fontId="2"/>
  </si>
  <si>
    <t>95人</t>
    <rPh sb="2" eb="3">
      <t>リ</t>
    </rPh>
    <phoneticPr fontId="2"/>
  </si>
  <si>
    <t>96人</t>
    <rPh sb="2" eb="3">
      <t>リ</t>
    </rPh>
    <phoneticPr fontId="2"/>
  </si>
  <si>
    <t>97人</t>
    <rPh sb="2" eb="3">
      <t>リ</t>
    </rPh>
    <phoneticPr fontId="2"/>
  </si>
  <si>
    <t>98人</t>
    <rPh sb="2" eb="3">
      <t>リ</t>
    </rPh>
    <phoneticPr fontId="2"/>
  </si>
  <si>
    <t>99人</t>
    <rPh sb="2" eb="3">
      <t>リ</t>
    </rPh>
    <phoneticPr fontId="2"/>
  </si>
  <si>
    <t>100人</t>
    <rPh sb="3" eb="4">
      <t>リ</t>
    </rPh>
    <phoneticPr fontId="2"/>
  </si>
  <si>
    <t>101人</t>
    <rPh sb="3" eb="4">
      <t>リ</t>
    </rPh>
    <phoneticPr fontId="2"/>
  </si>
  <si>
    <t>102人</t>
    <rPh sb="3" eb="4">
      <t>リ</t>
    </rPh>
    <phoneticPr fontId="2"/>
  </si>
  <si>
    <t>103人</t>
    <rPh sb="3" eb="4">
      <t>リ</t>
    </rPh>
    <phoneticPr fontId="2"/>
  </si>
  <si>
    <t>104人</t>
    <rPh sb="3" eb="4">
      <t>リ</t>
    </rPh>
    <phoneticPr fontId="2"/>
  </si>
  <si>
    <t>105人</t>
    <rPh sb="3" eb="4">
      <t>リ</t>
    </rPh>
    <phoneticPr fontId="2"/>
  </si>
  <si>
    <t>106人</t>
    <rPh sb="3" eb="4">
      <t>リ</t>
    </rPh>
    <phoneticPr fontId="2"/>
  </si>
  <si>
    <t>107人</t>
    <rPh sb="3" eb="4">
      <t>リ</t>
    </rPh>
    <phoneticPr fontId="2"/>
  </si>
  <si>
    <t>108人</t>
    <rPh sb="3" eb="4">
      <t>リ</t>
    </rPh>
    <phoneticPr fontId="2"/>
  </si>
  <si>
    <t>109人</t>
    <rPh sb="3" eb="4">
      <t>リ</t>
    </rPh>
    <phoneticPr fontId="2"/>
  </si>
  <si>
    <t>110人</t>
    <rPh sb="3" eb="4">
      <t>リ</t>
    </rPh>
    <phoneticPr fontId="2"/>
  </si>
  <si>
    <t>111人</t>
    <rPh sb="3" eb="4">
      <t>リ</t>
    </rPh>
    <phoneticPr fontId="2"/>
  </si>
  <si>
    <t>112人</t>
    <rPh sb="3" eb="4">
      <t>リ</t>
    </rPh>
    <phoneticPr fontId="2"/>
  </si>
  <si>
    <t>113人</t>
    <rPh sb="3" eb="4">
      <t>リ</t>
    </rPh>
    <phoneticPr fontId="2"/>
  </si>
  <si>
    <t>114人</t>
    <rPh sb="3" eb="4">
      <t>リ</t>
    </rPh>
    <phoneticPr fontId="2"/>
  </si>
  <si>
    <t>115人</t>
    <rPh sb="3" eb="4">
      <t>リ</t>
    </rPh>
    <phoneticPr fontId="2"/>
  </si>
  <si>
    <t>作業人数</t>
    <rPh sb="0" eb="2">
      <t>サギョウ</t>
    </rPh>
    <rPh sb="2" eb="4">
      <t>ニンズウ</t>
    </rPh>
    <phoneticPr fontId="2"/>
  </si>
  <si>
    <t>工賃合計</t>
    <rPh sb="0" eb="2">
      <t>コウチン</t>
    </rPh>
    <rPh sb="2" eb="4">
      <t>ゴウケイ</t>
    </rPh>
    <phoneticPr fontId="2"/>
  </si>
  <si>
    <t>出発時間</t>
    <rPh sb="0" eb="2">
      <t>シュッパツ</t>
    </rPh>
    <rPh sb="2" eb="4">
      <t>ジカン</t>
    </rPh>
    <phoneticPr fontId="2"/>
  </si>
  <si>
    <t>1ｈ</t>
    <phoneticPr fontId="2"/>
  </si>
  <si>
    <t>2ｈ</t>
  </si>
  <si>
    <t>3ｈ</t>
  </si>
  <si>
    <t>4ｈ</t>
  </si>
  <si>
    <t>5ｈ</t>
  </si>
  <si>
    <t>6ｈ</t>
  </si>
  <si>
    <t>7ｈ</t>
  </si>
  <si>
    <t>8ｈ</t>
  </si>
  <si>
    <t>9ｈ</t>
  </si>
  <si>
    <t>10ｈ</t>
  </si>
  <si>
    <t>11ｈ</t>
  </si>
  <si>
    <t>12ｈ</t>
  </si>
  <si>
    <t>13ｈ</t>
  </si>
  <si>
    <t>14ｈ</t>
  </si>
  <si>
    <t>15ｈ</t>
  </si>
  <si>
    <t>16ｈ</t>
  </si>
  <si>
    <t>17ｈ</t>
  </si>
  <si>
    <t>18ｈ</t>
  </si>
  <si>
    <t>19ｈ</t>
  </si>
  <si>
    <t>20ｈ</t>
  </si>
  <si>
    <t>21ｈ</t>
  </si>
  <si>
    <t>22ｈ</t>
  </si>
  <si>
    <t>23ｈ</t>
  </si>
  <si>
    <t>24ｈ</t>
  </si>
  <si>
    <t>25ｈ</t>
  </si>
  <si>
    <t>26ｈ</t>
  </si>
  <si>
    <t>27ｈ</t>
  </si>
  <si>
    <t>28ｈ</t>
  </si>
  <si>
    <t>29ｈ</t>
  </si>
  <si>
    <t>30ｈ</t>
  </si>
  <si>
    <t>31ｈ</t>
  </si>
  <si>
    <t>32ｈ</t>
  </si>
  <si>
    <t>33ｈ</t>
  </si>
  <si>
    <t>34ｈ</t>
  </si>
  <si>
    <t>35ｈ</t>
  </si>
  <si>
    <t>36ｈ</t>
  </si>
  <si>
    <t>37ｈ</t>
  </si>
  <si>
    <t>38ｈ</t>
  </si>
  <si>
    <t>39ｈ</t>
  </si>
  <si>
    <t>40ｈ</t>
  </si>
  <si>
    <t>41ｈ</t>
  </si>
  <si>
    <t>42ｈ</t>
  </si>
  <si>
    <t>43ｈ</t>
  </si>
  <si>
    <t>44ｈ</t>
  </si>
  <si>
    <t>45ｈ</t>
  </si>
  <si>
    <t>46ｈ</t>
  </si>
  <si>
    <t>47ｈ</t>
  </si>
  <si>
    <t>48ｈ</t>
  </si>
  <si>
    <t>49ｈ</t>
  </si>
  <si>
    <t>50ｈ</t>
  </si>
  <si>
    <t>51ｈ</t>
  </si>
  <si>
    <t>52ｈ</t>
  </si>
  <si>
    <t>53ｈ</t>
  </si>
  <si>
    <t>54ｈ</t>
  </si>
  <si>
    <t>55ｈ</t>
  </si>
  <si>
    <t>56ｈ</t>
  </si>
  <si>
    <t>57ｈ</t>
  </si>
  <si>
    <t>58ｈ</t>
  </si>
  <si>
    <t>59ｈ</t>
  </si>
  <si>
    <t>60ｈ</t>
  </si>
  <si>
    <t>61ｈ</t>
  </si>
  <si>
    <t>62ｈ</t>
  </si>
  <si>
    <t>63ｈ</t>
  </si>
  <si>
    <t>64ｈ</t>
  </si>
  <si>
    <t>65ｈ</t>
  </si>
  <si>
    <t>66ｈ</t>
  </si>
  <si>
    <t>67ｈ</t>
  </si>
  <si>
    <t>68ｈ</t>
  </si>
  <si>
    <t>69ｈ</t>
  </si>
  <si>
    <t>70ｈ</t>
  </si>
  <si>
    <t>71ｈ</t>
  </si>
  <si>
    <t>72ｈ</t>
  </si>
  <si>
    <t>73ｈ</t>
  </si>
  <si>
    <t>74ｈ</t>
  </si>
  <si>
    <t>75ｈ</t>
  </si>
  <si>
    <t>76ｈ</t>
  </si>
  <si>
    <t>77ｈ</t>
  </si>
  <si>
    <t>78ｈ</t>
  </si>
  <si>
    <t>79ｈ</t>
  </si>
  <si>
    <t>80ｈ</t>
  </si>
  <si>
    <t>81ｈ</t>
  </si>
  <si>
    <t>82ｈ</t>
  </si>
  <si>
    <t>83ｈ</t>
  </si>
  <si>
    <t>84ｈ</t>
  </si>
  <si>
    <t>85ｈ</t>
  </si>
  <si>
    <t>86ｈ</t>
  </si>
  <si>
    <t>87ｈ</t>
  </si>
  <si>
    <t>88ｈ</t>
  </si>
  <si>
    <t>89ｈ</t>
  </si>
  <si>
    <t>90ｈ</t>
  </si>
  <si>
    <t>91ｈ</t>
  </si>
  <si>
    <t>92ｈ</t>
  </si>
  <si>
    <t>93ｈ</t>
  </si>
  <si>
    <t>94ｈ</t>
  </si>
  <si>
    <t>95ｈ</t>
  </si>
  <si>
    <t>96ｈ</t>
  </si>
  <si>
    <t>97ｈ</t>
  </si>
  <si>
    <t>98ｈ</t>
  </si>
  <si>
    <t>99ｈ</t>
  </si>
  <si>
    <t>100ｈ</t>
  </si>
  <si>
    <t>101ｈ</t>
  </si>
  <si>
    <t>102ｈ</t>
  </si>
  <si>
    <t>103ｈ</t>
  </si>
  <si>
    <t>104ｈ</t>
  </si>
  <si>
    <t>105ｈ</t>
  </si>
  <si>
    <t>106ｈ</t>
  </si>
  <si>
    <t>107ｈ</t>
  </si>
  <si>
    <t>108ｈ</t>
  </si>
  <si>
    <t>109ｈ</t>
  </si>
  <si>
    <t>110ｈ</t>
  </si>
  <si>
    <t>111ｈ</t>
  </si>
  <si>
    <t>112ｈ</t>
  </si>
  <si>
    <t>113ｈ</t>
  </si>
  <si>
    <t>114ｈ</t>
  </si>
  <si>
    <t>115ｈ</t>
  </si>
  <si>
    <t>段取片付</t>
    <rPh sb="0" eb="2">
      <t>ダンド</t>
    </rPh>
    <rPh sb="2" eb="4">
      <t>カタヅ</t>
    </rPh>
    <phoneticPr fontId="2"/>
  </si>
  <si>
    <t>/1人</t>
    <phoneticPr fontId="2"/>
  </si>
  <si>
    <t>h</t>
    <phoneticPr fontId="2"/>
  </si>
  <si>
    <t>休業補償</t>
    <rPh sb="0" eb="2">
      <t>キュウギョウ</t>
    </rPh>
    <rPh sb="2" eb="4">
      <t>ホショウ</t>
    </rPh>
    <phoneticPr fontId="2"/>
  </si>
  <si>
    <t>1人</t>
  </si>
  <si>
    <t>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</si>
</sst>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5" formatCode="&quot;¥&quot;#,##0;&quot;¥&quot;\-#,##0"/>
  </numFmts>
  <fonts count="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0" fontId="0" fillId="2" borderId="4" xfId="0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5" fontId="0" fillId="3" borderId="0" xfId="0" applyNumberFormat="1" applyFill="1" applyAlignment="1">
      <alignment horizontal="center"/>
    </xf>
    <xf numFmtId="5" fontId="1" fillId="6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49" fontId="3" fillId="7" borderId="0" xfId="0" applyNumberFormat="1" applyFont="1" applyFill="1" applyAlignment="1">
      <alignment vertical="center"/>
    </xf>
    <xf numFmtId="49" fontId="0" fillId="8" borderId="0" xfId="0" applyNumberFormat="1" applyFill="1" applyAlignment="1">
      <alignment horizontal="left"/>
    </xf>
    <xf numFmtId="49" fontId="0" fillId="8" borderId="0" xfId="0" applyNumberFormat="1" applyFill="1" applyAlignment="1">
      <alignment horizontal="right"/>
    </xf>
    <xf numFmtId="0" fontId="0" fillId="8" borderId="0" xfId="0" applyFill="1" applyAlignment="1">
      <alignment horizontal="left"/>
    </xf>
    <xf numFmtId="49" fontId="3" fillId="7" borderId="2" xfId="0" applyNumberFormat="1" applyFont="1" applyFill="1" applyBorder="1" applyAlignment="1" applyProtection="1">
      <alignment horizontal="right" vertical="center"/>
      <protection locked="0"/>
    </xf>
    <xf numFmtId="49" fontId="3" fillId="7" borderId="4" xfId="0" applyNumberFormat="1" applyFont="1" applyFill="1" applyBorder="1" applyAlignment="1" applyProtection="1">
      <alignment horizontal="right" vertical="center"/>
      <protection locked="0"/>
    </xf>
    <xf numFmtId="5" fontId="4" fillId="7" borderId="2" xfId="0" quotePrefix="1" applyNumberFormat="1" applyFont="1" applyFill="1" applyBorder="1" applyAlignment="1" applyProtection="1">
      <alignment horizontal="right" vertical="center"/>
      <protection locked="0"/>
    </xf>
    <xf numFmtId="5" fontId="4" fillId="7" borderId="4" xfId="0" applyNumberFormat="1" applyFont="1" applyFill="1" applyBorder="1" applyAlignment="1" applyProtection="1">
      <alignment horizontal="right" vertical="center"/>
      <protection locked="0"/>
    </xf>
    <xf numFmtId="5" fontId="4" fillId="7" borderId="2" xfId="0" applyNumberFormat="1" applyFont="1" applyFill="1" applyBorder="1" applyAlignment="1" applyProtection="1">
      <alignment horizontal="right" vertical="center"/>
      <protection locked="0"/>
    </xf>
    <xf numFmtId="0" fontId="3" fillId="7" borderId="2" xfId="0" applyFont="1" applyFill="1" applyBorder="1" applyAlignment="1" applyProtection="1">
      <alignment horizontal="right" vertical="center"/>
      <protection locked="0"/>
    </xf>
    <xf numFmtId="0" fontId="3" fillId="7" borderId="4" xfId="0" applyFont="1" applyFill="1" applyBorder="1" applyAlignment="1" applyProtection="1">
      <alignment horizontal="righ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28575</xdr:rowOff>
        </xdr:from>
        <xdr:to>
          <xdr:col>7</xdr:col>
          <xdr:colOff>47625</xdr:colOff>
          <xdr:row>0</xdr:row>
          <xdr:rowOff>219075</xdr:rowOff>
        </xdr:to>
        <xdr:sp macro="" textlink="">
          <xdr:nvSpPr>
            <xdr:cNvPr id="2049" name="平日作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28575</xdr:rowOff>
        </xdr:from>
        <xdr:to>
          <xdr:col>8</xdr:col>
          <xdr:colOff>114300</xdr:colOff>
          <xdr:row>0</xdr:row>
          <xdr:rowOff>219075</xdr:rowOff>
        </xdr:to>
        <xdr:sp macro="" textlink="">
          <xdr:nvSpPr>
            <xdr:cNvPr id="2050" name="休日作業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19050</xdr:rowOff>
        </xdr:from>
        <xdr:to>
          <xdr:col>7</xdr:col>
          <xdr:colOff>190500</xdr:colOff>
          <xdr:row>1</xdr:row>
          <xdr:rowOff>238125</xdr:rowOff>
        </xdr:to>
        <xdr:sp macro="" textlink="">
          <xdr:nvSpPr>
            <xdr:cNvPr id="2064" name="ComboBox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</xdr:row>
          <xdr:rowOff>19050</xdr:rowOff>
        </xdr:from>
        <xdr:to>
          <xdr:col>7</xdr:col>
          <xdr:colOff>190500</xdr:colOff>
          <xdr:row>2</xdr:row>
          <xdr:rowOff>238125</xdr:rowOff>
        </xdr:to>
        <xdr:sp macro="" textlink="">
          <xdr:nvSpPr>
            <xdr:cNvPr id="2065" name="ComboBox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19050</xdr:rowOff>
        </xdr:from>
        <xdr:to>
          <xdr:col>7</xdr:col>
          <xdr:colOff>190500</xdr:colOff>
          <xdr:row>3</xdr:row>
          <xdr:rowOff>238125</xdr:rowOff>
        </xdr:to>
        <xdr:sp macro="" textlink="">
          <xdr:nvSpPr>
            <xdr:cNvPr id="2066" name="ComboBox3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4</xdr:row>
          <xdr:rowOff>19050</xdr:rowOff>
        </xdr:from>
        <xdr:to>
          <xdr:col>7</xdr:col>
          <xdr:colOff>190500</xdr:colOff>
          <xdr:row>4</xdr:row>
          <xdr:rowOff>238125</xdr:rowOff>
        </xdr:to>
        <xdr:sp macro="" textlink="">
          <xdr:nvSpPr>
            <xdr:cNvPr id="2067" name="ComboBox4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5</xdr:row>
          <xdr:rowOff>19050</xdr:rowOff>
        </xdr:from>
        <xdr:to>
          <xdr:col>7</xdr:col>
          <xdr:colOff>190500</xdr:colOff>
          <xdr:row>5</xdr:row>
          <xdr:rowOff>238125</xdr:rowOff>
        </xdr:to>
        <xdr:sp macro="" textlink="">
          <xdr:nvSpPr>
            <xdr:cNvPr id="2068" name="ComboBox5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0</xdr:row>
          <xdr:rowOff>28575</xdr:rowOff>
        </xdr:from>
        <xdr:to>
          <xdr:col>9</xdr:col>
          <xdr:colOff>219075</xdr:colOff>
          <xdr:row>0</xdr:row>
          <xdr:rowOff>219075</xdr:rowOff>
        </xdr:to>
        <xdr:sp macro="" textlink="">
          <xdr:nvSpPr>
            <xdr:cNvPr id="2072" name="OptionButton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352425</xdr:colOff>
          <xdr:row>0</xdr:row>
          <xdr:rowOff>219075</xdr:rowOff>
        </xdr:to>
        <xdr:sp macro="" textlink="">
          <xdr:nvSpPr>
            <xdr:cNvPr id="2074" name="OptionButton2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28575</xdr:rowOff>
        </xdr:from>
        <xdr:to>
          <xdr:col>11</xdr:col>
          <xdr:colOff>762000</xdr:colOff>
          <xdr:row>0</xdr:row>
          <xdr:rowOff>219075</xdr:rowOff>
        </xdr:to>
        <xdr:sp macro="" textlink="">
          <xdr:nvSpPr>
            <xdr:cNvPr id="2075" name="OptionButton3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127"/>
  <sheetViews>
    <sheetView showRowColHeaders="0" showZeros="0" tabSelected="1" showOutlineSymbols="0" topLeftCell="G1" zoomScale="160" zoomScaleNormal="160" workbookViewId="0">
      <selection activeCell="G2" sqref="G2:J8"/>
    </sheetView>
  </sheetViews>
  <sheetFormatPr defaultColWidth="0" defaultRowHeight="13.5" zeroHeight="1" outlineLevelCol="2" x14ac:dyDescent="0.15"/>
  <cols>
    <col min="1" max="1" width="4.5" style="1" hidden="1" customWidth="1"/>
    <col min="2" max="2" width="5.875" style="1" hidden="1" customWidth="1"/>
    <col min="3" max="3" width="3.375" style="1" hidden="1" customWidth="1"/>
    <col min="4" max="4" width="5.875" style="1" hidden="1" customWidth="1"/>
    <col min="5" max="6" width="9" style="1" hidden="1" customWidth="1"/>
    <col min="7" max="7" width="9.75" style="1" bestFit="1" customWidth="1"/>
    <col min="8" max="10" width="9" style="1" bestFit="1" customWidth="1"/>
    <col min="11" max="11" width="5.75" style="12" customWidth="1"/>
    <col min="12" max="12" width="10.25" style="1" customWidth="1"/>
    <col min="13" max="14" width="8" style="1" hidden="1" customWidth="1" outlineLevel="2"/>
    <col min="15" max="15" width="4.375" style="1" hidden="1" customWidth="1"/>
    <col min="16" max="18" width="3.625" style="1" hidden="1" customWidth="1"/>
    <col min="19" max="19" width="4.875" style="1" hidden="1" customWidth="1"/>
    <col min="20" max="20" width="2.5" style="1" hidden="1" customWidth="1"/>
    <col min="21" max="21" width="4.5" style="1" hidden="1" customWidth="1"/>
    <col min="22" max="23" width="8" style="1" hidden="1" customWidth="1"/>
    <col min="24" max="24" width="9" style="1" hidden="1" customWidth="1"/>
    <col min="25" max="16384" width="2.5" style="1" hidden="1"/>
  </cols>
  <sheetData>
    <row r="1" spans="1:23" s="20" customFormat="1" ht="18.75" customHeight="1" x14ac:dyDescent="0.15">
      <c r="G1" s="22"/>
      <c r="H1" s="22"/>
      <c r="I1" s="22"/>
      <c r="J1" s="22"/>
      <c r="K1" s="26"/>
      <c r="L1" s="28"/>
    </row>
    <row r="2" spans="1:23" s="20" customFormat="1" ht="20.100000000000001" customHeight="1" x14ac:dyDescent="0.15">
      <c r="G2" s="23" t="s">
        <v>147</v>
      </c>
      <c r="H2" s="29" t="str">
        <f>$O$11</f>
        <v>1人</v>
      </c>
      <c r="I2" s="30"/>
      <c r="J2" s="24"/>
      <c r="K2" s="26"/>
      <c r="L2" s="28"/>
    </row>
    <row r="3" spans="1:23" s="20" customFormat="1" ht="20.100000000000001" customHeight="1" x14ac:dyDescent="0.15">
      <c r="G3" s="23" t="s">
        <v>265</v>
      </c>
      <c r="H3" s="29" t="str">
        <f>$P$11</f>
        <v>2ｈ</v>
      </c>
      <c r="I3" s="30"/>
      <c r="J3" s="24" t="s">
        <v>266</v>
      </c>
      <c r="K3" s="26"/>
      <c r="L3" s="28"/>
    </row>
    <row r="4" spans="1:23" s="20" customFormat="1" ht="20.100000000000001" customHeight="1" x14ac:dyDescent="0.15">
      <c r="G4" s="23" t="s">
        <v>7</v>
      </c>
      <c r="H4" s="34" t="str">
        <f>$Q$11</f>
        <v>5ｈ</v>
      </c>
      <c r="I4" s="35"/>
      <c r="J4" s="24" t="s">
        <v>266</v>
      </c>
      <c r="K4" s="26"/>
      <c r="L4" s="28"/>
    </row>
    <row r="5" spans="1:23" s="20" customFormat="1" ht="20.100000000000001" customHeight="1" x14ac:dyDescent="0.15">
      <c r="G5" s="23" t="s">
        <v>8</v>
      </c>
      <c r="H5" s="34" t="str">
        <f>$R$11</f>
        <v>8ｈ</v>
      </c>
      <c r="I5" s="35"/>
      <c r="J5" s="24" t="s">
        <v>266</v>
      </c>
      <c r="K5" s="26"/>
      <c r="L5" s="28"/>
    </row>
    <row r="6" spans="1:23" s="20" customFormat="1" ht="20.100000000000001" customHeight="1" x14ac:dyDescent="0.15">
      <c r="G6" s="23" t="s">
        <v>149</v>
      </c>
      <c r="H6" s="29" t="str">
        <f>$S$11</f>
        <v>5:00</v>
      </c>
      <c r="I6" s="30"/>
      <c r="J6" s="22"/>
      <c r="K6" s="26"/>
      <c r="L6" s="28"/>
    </row>
    <row r="7" spans="1:23" s="20" customFormat="1" ht="20.100000000000001" customHeight="1" x14ac:dyDescent="0.15">
      <c r="G7" s="23" t="str">
        <f>IF($L$11,"平日作業","休日作業")</f>
        <v>平日作業</v>
      </c>
      <c r="H7" s="29">
        <f>$O$127*$S$127</f>
        <v>15</v>
      </c>
      <c r="I7" s="30"/>
      <c r="J7" s="24" t="s">
        <v>267</v>
      </c>
      <c r="K7" s="26"/>
      <c r="L7" s="28"/>
    </row>
    <row r="8" spans="1:23" s="20" customFormat="1" ht="20.100000000000001" customHeight="1" x14ac:dyDescent="0.15">
      <c r="G8" s="23" t="s">
        <v>148</v>
      </c>
      <c r="H8" s="33">
        <f>$W$127</f>
        <v>82000</v>
      </c>
      <c r="I8" s="32"/>
      <c r="J8" s="22"/>
      <c r="K8" s="27"/>
      <c r="L8" s="28"/>
    </row>
    <row r="9" spans="1:23" s="20" customFormat="1" ht="20.100000000000001" customHeight="1" x14ac:dyDescent="0.15">
      <c r="G9" s="23" t="s">
        <v>268</v>
      </c>
      <c r="H9" s="31">
        <f>IF(M11,40000*O127,IF(N11,48000*O127,0))</f>
        <v>0</v>
      </c>
      <c r="I9" s="32"/>
      <c r="J9" s="25"/>
      <c r="K9" s="26"/>
      <c r="L9" s="28"/>
    </row>
    <row r="10" spans="1:23" s="20" customFormat="1" ht="20.100000000000001" customHeight="1" x14ac:dyDescent="0.15">
      <c r="G10" s="21"/>
      <c r="H10" s="21"/>
      <c r="I10" s="21"/>
      <c r="J10" s="21"/>
      <c r="K10" s="26"/>
      <c r="L10" s="28"/>
    </row>
    <row r="11" spans="1:23" hidden="1" x14ac:dyDescent="0.15">
      <c r="A11" s="5"/>
      <c r="B11" s="6" t="s">
        <v>2</v>
      </c>
      <c r="C11" s="7"/>
      <c r="D11" s="8"/>
      <c r="E11" s="5" t="s">
        <v>0</v>
      </c>
      <c r="F11" s="5" t="s">
        <v>1</v>
      </c>
      <c r="G11" s="15" t="s">
        <v>5</v>
      </c>
      <c r="H11" s="15" t="s">
        <v>6</v>
      </c>
      <c r="I11" s="15" t="s">
        <v>7</v>
      </c>
      <c r="J11" s="15" t="s">
        <v>8</v>
      </c>
      <c r="K11" s="16" t="s">
        <v>4</v>
      </c>
      <c r="L11" s="17" t="b">
        <v>1</v>
      </c>
      <c r="M11" s="17" t="b">
        <v>0</v>
      </c>
      <c r="N11" s="17" t="b">
        <v>0</v>
      </c>
      <c r="O11" s="14" t="s">
        <v>269</v>
      </c>
      <c r="P11" s="14" t="s">
        <v>151</v>
      </c>
      <c r="Q11" s="17" t="s">
        <v>154</v>
      </c>
      <c r="R11" s="17" t="s">
        <v>157</v>
      </c>
      <c r="S11" s="14" t="s">
        <v>270</v>
      </c>
      <c r="T11" s="14"/>
      <c r="U11" s="14"/>
      <c r="V11" s="14"/>
      <c r="W11" s="10"/>
    </row>
    <row r="12" spans="1:23" hidden="1" x14ac:dyDescent="0.15">
      <c r="A12" s="5">
        <v>1</v>
      </c>
      <c r="B12" s="11">
        <v>0</v>
      </c>
      <c r="C12" s="11" t="s">
        <v>3</v>
      </c>
      <c r="D12" s="11">
        <v>4.0972222222222222E-2</v>
      </c>
      <c r="E12" s="4">
        <v>8000</v>
      </c>
      <c r="F12" s="4">
        <v>9000</v>
      </c>
      <c r="G12" s="3" t="s">
        <v>32</v>
      </c>
      <c r="H12" s="3" t="s">
        <v>150</v>
      </c>
      <c r="I12" s="3" t="s">
        <v>150</v>
      </c>
      <c r="J12" s="3" t="s">
        <v>150</v>
      </c>
      <c r="K12" s="13" t="s">
        <v>9</v>
      </c>
      <c r="L12" s="2">
        <f>IF($L$11,E12,F12)</f>
        <v>8000</v>
      </c>
      <c r="M12" s="2">
        <f>IF(M11,40000,0)</f>
        <v>0</v>
      </c>
      <c r="N12" s="2">
        <f>IF(N11,48000,0)</f>
        <v>0</v>
      </c>
      <c r="O12" s="1">
        <f t="shared" ref="O12:O43" si="0">IF(O$11=G12,$A12,0)</f>
        <v>1</v>
      </c>
      <c r="P12" s="1">
        <f t="shared" ref="P12:P43" si="1">IF(P$11=H12,$A12,0)</f>
        <v>0</v>
      </c>
      <c r="Q12" s="1">
        <f t="shared" ref="Q12:Q43" si="2">IF(Q$11=I12,$A12,0)</f>
        <v>0</v>
      </c>
      <c r="R12" s="1">
        <f t="shared" ref="R12:R43" si="3">IF(R$11=J12,$A12,0)</f>
        <v>0</v>
      </c>
      <c r="S12" s="1">
        <f>IF(S$11=K12,1,0)</f>
        <v>0</v>
      </c>
      <c r="T12" s="1">
        <f>$S$12</f>
        <v>0</v>
      </c>
      <c r="U12" s="1">
        <f>$T$12</f>
        <v>0</v>
      </c>
      <c r="V12" s="1">
        <f t="shared" ref="V12:V43" si="4">IF(U12=0,0,IF(U12&lt;=S$127,L12,0))</f>
        <v>0</v>
      </c>
      <c r="W12" s="2"/>
    </row>
    <row r="13" spans="1:23" hidden="1" x14ac:dyDescent="0.15">
      <c r="A13" s="5">
        <v>2</v>
      </c>
      <c r="B13" s="11">
        <v>4.1666666666666699E-2</v>
      </c>
      <c r="C13" s="11" t="s">
        <v>3</v>
      </c>
      <c r="D13" s="11">
        <v>8.2638888888888901E-2</v>
      </c>
      <c r="E13" s="4">
        <v>8000</v>
      </c>
      <c r="F13" s="4">
        <v>9000</v>
      </c>
      <c r="G13" s="3" t="s">
        <v>33</v>
      </c>
      <c r="H13" s="3" t="s">
        <v>151</v>
      </c>
      <c r="I13" s="3" t="s">
        <v>151</v>
      </c>
      <c r="J13" s="3" t="s">
        <v>151</v>
      </c>
      <c r="K13" s="13" t="s">
        <v>10</v>
      </c>
      <c r="L13" s="2">
        <f t="shared" ref="L13:L73" si="5">IF($L$11,E13,F13)</f>
        <v>8000</v>
      </c>
      <c r="O13" s="1">
        <f>IF(O$11=G13,$A13,0)</f>
        <v>0</v>
      </c>
      <c r="P13" s="1">
        <f t="shared" si="1"/>
        <v>2</v>
      </c>
      <c r="Q13" s="1">
        <f t="shared" si="2"/>
        <v>0</v>
      </c>
      <c r="R13" s="1">
        <f t="shared" si="3"/>
        <v>0</v>
      </c>
      <c r="S13" s="1">
        <f t="shared" ref="S13:S34" si="6">IF(S$11=K13,1,0)</f>
        <v>0</v>
      </c>
      <c r="T13" s="1">
        <f>SUM(S$12:S13)</f>
        <v>0</v>
      </c>
      <c r="U13" s="1">
        <f>SUM(T$12:T13)</f>
        <v>0</v>
      </c>
      <c r="V13" s="1">
        <f t="shared" si="4"/>
        <v>0</v>
      </c>
    </row>
    <row r="14" spans="1:23" hidden="1" x14ac:dyDescent="0.15">
      <c r="A14" s="5">
        <v>3</v>
      </c>
      <c r="B14" s="11">
        <v>8.3333333333333301E-2</v>
      </c>
      <c r="C14" s="11" t="s">
        <v>3</v>
      </c>
      <c r="D14" s="11">
        <v>0.124305555555556</v>
      </c>
      <c r="E14" s="4">
        <v>8000</v>
      </c>
      <c r="F14" s="4">
        <v>9000</v>
      </c>
      <c r="G14" s="3" t="s">
        <v>34</v>
      </c>
      <c r="H14" s="3" t="s">
        <v>152</v>
      </c>
      <c r="I14" s="3" t="s">
        <v>152</v>
      </c>
      <c r="J14" s="3" t="s">
        <v>152</v>
      </c>
      <c r="K14" s="13" t="s">
        <v>11</v>
      </c>
      <c r="L14" s="2">
        <f t="shared" si="5"/>
        <v>8000</v>
      </c>
      <c r="O14" s="1">
        <f t="shared" si="0"/>
        <v>0</v>
      </c>
      <c r="P14" s="1">
        <f t="shared" si="1"/>
        <v>0</v>
      </c>
      <c r="Q14" s="1">
        <f t="shared" si="2"/>
        <v>0</v>
      </c>
      <c r="R14" s="1">
        <f t="shared" si="3"/>
        <v>0</v>
      </c>
      <c r="S14" s="1">
        <f t="shared" si="6"/>
        <v>0</v>
      </c>
      <c r="T14" s="1">
        <f>SUM(S$12:S14)</f>
        <v>0</v>
      </c>
      <c r="U14" s="1">
        <f>SUM(T$12:T14)</f>
        <v>0</v>
      </c>
      <c r="V14" s="1">
        <f t="shared" si="4"/>
        <v>0</v>
      </c>
    </row>
    <row r="15" spans="1:23" hidden="1" x14ac:dyDescent="0.15">
      <c r="A15" s="5">
        <v>4</v>
      </c>
      <c r="B15" s="11">
        <v>0.125</v>
      </c>
      <c r="C15" s="11" t="s">
        <v>3</v>
      </c>
      <c r="D15" s="11">
        <v>0.16597222222222199</v>
      </c>
      <c r="E15" s="4">
        <v>8000</v>
      </c>
      <c r="F15" s="4">
        <v>9000</v>
      </c>
      <c r="G15" s="3" t="s">
        <v>35</v>
      </c>
      <c r="H15" s="3" t="s">
        <v>153</v>
      </c>
      <c r="I15" s="3" t="s">
        <v>153</v>
      </c>
      <c r="J15" s="3" t="s">
        <v>153</v>
      </c>
      <c r="K15" s="13" t="s">
        <v>12</v>
      </c>
      <c r="L15" s="2">
        <f t="shared" si="5"/>
        <v>8000</v>
      </c>
      <c r="O15" s="1">
        <f t="shared" si="0"/>
        <v>0</v>
      </c>
      <c r="P15" s="1">
        <f t="shared" si="1"/>
        <v>0</v>
      </c>
      <c r="Q15" s="1">
        <f t="shared" si="2"/>
        <v>0</v>
      </c>
      <c r="R15" s="1">
        <f t="shared" si="3"/>
        <v>0</v>
      </c>
      <c r="S15" s="1">
        <f t="shared" si="6"/>
        <v>0</v>
      </c>
      <c r="T15" s="1">
        <f>SUM(S$12:S15)</f>
        <v>0</v>
      </c>
      <c r="U15" s="1">
        <f>SUM(T$12:T15)</f>
        <v>0</v>
      </c>
      <c r="V15" s="1">
        <f t="shared" si="4"/>
        <v>0</v>
      </c>
    </row>
    <row r="16" spans="1:23" hidden="1" x14ac:dyDescent="0.15">
      <c r="A16" s="5">
        <v>5</v>
      </c>
      <c r="B16" s="11">
        <v>0.16666666666666699</v>
      </c>
      <c r="C16" s="11" t="s">
        <v>3</v>
      </c>
      <c r="D16" s="11">
        <v>0.20763888888888901</v>
      </c>
      <c r="E16" s="4">
        <v>8000</v>
      </c>
      <c r="F16" s="4">
        <v>9000</v>
      </c>
      <c r="G16" s="3" t="s">
        <v>36</v>
      </c>
      <c r="H16" s="3" t="s">
        <v>154</v>
      </c>
      <c r="I16" s="3" t="s">
        <v>154</v>
      </c>
      <c r="J16" s="3" t="s">
        <v>154</v>
      </c>
      <c r="K16" s="13" t="s">
        <v>13</v>
      </c>
      <c r="L16" s="2">
        <f t="shared" si="5"/>
        <v>8000</v>
      </c>
      <c r="O16" s="1">
        <f t="shared" si="0"/>
        <v>0</v>
      </c>
      <c r="P16" s="1">
        <f t="shared" si="1"/>
        <v>0</v>
      </c>
      <c r="Q16" s="1">
        <f t="shared" si="2"/>
        <v>5</v>
      </c>
      <c r="R16" s="1">
        <f t="shared" si="3"/>
        <v>0</v>
      </c>
      <c r="S16" s="1">
        <f t="shared" si="6"/>
        <v>0</v>
      </c>
      <c r="T16" s="1">
        <f>SUM(S$12:S16)</f>
        <v>0</v>
      </c>
      <c r="U16" s="1">
        <f>SUM(T$12:T16)</f>
        <v>0</v>
      </c>
      <c r="V16" s="1">
        <f t="shared" si="4"/>
        <v>0</v>
      </c>
    </row>
    <row r="17" spans="1:22" hidden="1" x14ac:dyDescent="0.15">
      <c r="A17" s="5">
        <v>6</v>
      </c>
      <c r="B17" s="11">
        <v>0.20833333333333301</v>
      </c>
      <c r="C17" s="11" t="s">
        <v>3</v>
      </c>
      <c r="D17" s="11">
        <v>0.249305555555556</v>
      </c>
      <c r="E17" s="4">
        <v>6000</v>
      </c>
      <c r="F17" s="4">
        <v>8000</v>
      </c>
      <c r="G17" s="3" t="s">
        <v>37</v>
      </c>
      <c r="H17" s="3" t="s">
        <v>155</v>
      </c>
      <c r="I17" s="3" t="s">
        <v>155</v>
      </c>
      <c r="J17" s="3" t="s">
        <v>155</v>
      </c>
      <c r="K17" s="13" t="s">
        <v>14</v>
      </c>
      <c r="L17" s="2">
        <f t="shared" si="5"/>
        <v>6000</v>
      </c>
      <c r="O17" s="1">
        <f t="shared" si="0"/>
        <v>0</v>
      </c>
      <c r="P17" s="1">
        <f t="shared" si="1"/>
        <v>0</v>
      </c>
      <c r="Q17" s="1">
        <f t="shared" si="2"/>
        <v>0</v>
      </c>
      <c r="R17" s="1">
        <f t="shared" si="3"/>
        <v>0</v>
      </c>
      <c r="S17" s="1">
        <f t="shared" si="6"/>
        <v>1</v>
      </c>
      <c r="T17" s="1">
        <f>SUM(S$12:S17)</f>
        <v>1</v>
      </c>
      <c r="U17" s="1">
        <f>SUM(T$12:T17)</f>
        <v>1</v>
      </c>
      <c r="V17" s="1">
        <f t="shared" si="4"/>
        <v>6000</v>
      </c>
    </row>
    <row r="18" spans="1:22" hidden="1" x14ac:dyDescent="0.15">
      <c r="A18" s="5">
        <v>7</v>
      </c>
      <c r="B18" s="11">
        <v>0.25</v>
      </c>
      <c r="C18" s="11" t="s">
        <v>3</v>
      </c>
      <c r="D18" s="11">
        <v>0.29097222222222202</v>
      </c>
      <c r="E18" s="4">
        <v>6000</v>
      </c>
      <c r="F18" s="4">
        <v>8000</v>
      </c>
      <c r="G18" s="3" t="s">
        <v>38</v>
      </c>
      <c r="H18" s="3" t="s">
        <v>156</v>
      </c>
      <c r="I18" s="3" t="s">
        <v>156</v>
      </c>
      <c r="J18" s="3" t="s">
        <v>156</v>
      </c>
      <c r="K18" s="13" t="s">
        <v>15</v>
      </c>
      <c r="L18" s="2">
        <f t="shared" si="5"/>
        <v>6000</v>
      </c>
      <c r="O18" s="1">
        <f t="shared" si="0"/>
        <v>0</v>
      </c>
      <c r="P18" s="1">
        <f t="shared" si="1"/>
        <v>0</v>
      </c>
      <c r="Q18" s="1">
        <f t="shared" si="2"/>
        <v>0</v>
      </c>
      <c r="R18" s="1">
        <f t="shared" si="3"/>
        <v>0</v>
      </c>
      <c r="S18" s="1">
        <f t="shared" si="6"/>
        <v>0</v>
      </c>
      <c r="T18" s="1">
        <f>SUM(S$12:S18)</f>
        <v>1</v>
      </c>
      <c r="U18" s="1">
        <f>SUM(T$12:T18)</f>
        <v>2</v>
      </c>
      <c r="V18" s="1">
        <f>IF(U18=0,0,IF(U18&lt;=S$127,L18,0))</f>
        <v>6000</v>
      </c>
    </row>
    <row r="19" spans="1:22" hidden="1" x14ac:dyDescent="0.15">
      <c r="A19" s="5">
        <v>8</v>
      </c>
      <c r="B19" s="11">
        <v>0.29166666666666702</v>
      </c>
      <c r="C19" s="11" t="s">
        <v>3</v>
      </c>
      <c r="D19" s="11">
        <v>0.33263888888888898</v>
      </c>
      <c r="E19" s="4">
        <v>6000</v>
      </c>
      <c r="F19" s="4">
        <v>8000</v>
      </c>
      <c r="G19" s="3" t="s">
        <v>39</v>
      </c>
      <c r="H19" s="3" t="s">
        <v>157</v>
      </c>
      <c r="I19" s="3" t="s">
        <v>157</v>
      </c>
      <c r="J19" s="3" t="s">
        <v>157</v>
      </c>
      <c r="K19" s="13" t="s">
        <v>16</v>
      </c>
      <c r="L19" s="2">
        <f t="shared" si="5"/>
        <v>6000</v>
      </c>
      <c r="O19" s="1">
        <f t="shared" si="0"/>
        <v>0</v>
      </c>
      <c r="P19" s="1">
        <f t="shared" si="1"/>
        <v>0</v>
      </c>
      <c r="Q19" s="1">
        <f t="shared" si="2"/>
        <v>0</v>
      </c>
      <c r="R19" s="1">
        <f t="shared" si="3"/>
        <v>8</v>
      </c>
      <c r="S19" s="1">
        <f t="shared" si="6"/>
        <v>0</v>
      </c>
      <c r="T19" s="1">
        <f>SUM(S$12:S19)</f>
        <v>1</v>
      </c>
      <c r="U19" s="1">
        <f>SUM(T$12:T19)</f>
        <v>3</v>
      </c>
      <c r="V19" s="1">
        <f t="shared" si="4"/>
        <v>6000</v>
      </c>
    </row>
    <row r="20" spans="1:22" hidden="1" x14ac:dyDescent="0.15">
      <c r="A20" s="5">
        <v>9</v>
      </c>
      <c r="B20" s="11">
        <v>0.33333333333333298</v>
      </c>
      <c r="C20" s="11" t="s">
        <v>3</v>
      </c>
      <c r="D20" s="11">
        <v>0.374305555555556</v>
      </c>
      <c r="E20" s="4">
        <v>5000</v>
      </c>
      <c r="F20" s="4">
        <v>6000</v>
      </c>
      <c r="G20" s="3" t="s">
        <v>40</v>
      </c>
      <c r="H20" s="3" t="s">
        <v>158</v>
      </c>
      <c r="I20" s="3" t="s">
        <v>158</v>
      </c>
      <c r="J20" s="3" t="s">
        <v>158</v>
      </c>
      <c r="K20" s="13" t="s">
        <v>17</v>
      </c>
      <c r="L20" s="2">
        <f t="shared" si="5"/>
        <v>5000</v>
      </c>
      <c r="O20" s="1">
        <f t="shared" si="0"/>
        <v>0</v>
      </c>
      <c r="P20" s="1">
        <f t="shared" si="1"/>
        <v>0</v>
      </c>
      <c r="Q20" s="1">
        <f t="shared" si="2"/>
        <v>0</v>
      </c>
      <c r="R20" s="1">
        <f t="shared" si="3"/>
        <v>0</v>
      </c>
      <c r="S20" s="1">
        <f t="shared" si="6"/>
        <v>0</v>
      </c>
      <c r="T20" s="1">
        <f>SUM(S$12:S20)</f>
        <v>1</v>
      </c>
      <c r="U20" s="1">
        <f>SUM(T$12:T20)</f>
        <v>4</v>
      </c>
      <c r="V20" s="1">
        <f t="shared" si="4"/>
        <v>5000</v>
      </c>
    </row>
    <row r="21" spans="1:22" hidden="1" x14ac:dyDescent="0.15">
      <c r="A21" s="5">
        <v>10</v>
      </c>
      <c r="B21" s="11">
        <v>0.375</v>
      </c>
      <c r="C21" s="11" t="s">
        <v>3</v>
      </c>
      <c r="D21" s="11">
        <v>0.41597222222222202</v>
      </c>
      <c r="E21" s="4">
        <v>5000</v>
      </c>
      <c r="F21" s="4">
        <v>6000</v>
      </c>
      <c r="G21" s="3" t="s">
        <v>41</v>
      </c>
      <c r="H21" s="3" t="s">
        <v>159</v>
      </c>
      <c r="I21" s="3" t="s">
        <v>159</v>
      </c>
      <c r="J21" s="3" t="s">
        <v>159</v>
      </c>
      <c r="K21" s="13" t="s">
        <v>18</v>
      </c>
      <c r="L21" s="2">
        <f t="shared" si="5"/>
        <v>5000</v>
      </c>
      <c r="O21" s="1">
        <f t="shared" si="0"/>
        <v>0</v>
      </c>
      <c r="P21" s="1">
        <f t="shared" si="1"/>
        <v>0</v>
      </c>
      <c r="Q21" s="1">
        <f t="shared" si="2"/>
        <v>0</v>
      </c>
      <c r="R21" s="1">
        <f t="shared" si="3"/>
        <v>0</v>
      </c>
      <c r="S21" s="1">
        <f t="shared" si="6"/>
        <v>0</v>
      </c>
      <c r="T21" s="1">
        <f>SUM(S$12:S21)</f>
        <v>1</v>
      </c>
      <c r="U21" s="1">
        <f>SUM(T$12:T21)</f>
        <v>5</v>
      </c>
      <c r="V21" s="1">
        <f t="shared" si="4"/>
        <v>5000</v>
      </c>
    </row>
    <row r="22" spans="1:22" hidden="1" x14ac:dyDescent="0.15">
      <c r="A22" s="5">
        <v>11</v>
      </c>
      <c r="B22" s="11">
        <v>0.41666666666666702</v>
      </c>
      <c r="C22" s="11" t="s">
        <v>3</v>
      </c>
      <c r="D22" s="11">
        <v>0.45763888888888898</v>
      </c>
      <c r="E22" s="4">
        <v>5000</v>
      </c>
      <c r="F22" s="4">
        <v>6000</v>
      </c>
      <c r="G22" s="3" t="s">
        <v>42</v>
      </c>
      <c r="H22" s="3" t="s">
        <v>160</v>
      </c>
      <c r="I22" s="3" t="s">
        <v>160</v>
      </c>
      <c r="J22" s="3" t="s">
        <v>160</v>
      </c>
      <c r="K22" s="13" t="s">
        <v>19</v>
      </c>
      <c r="L22" s="2">
        <f t="shared" si="5"/>
        <v>5000</v>
      </c>
      <c r="O22" s="1">
        <f t="shared" si="0"/>
        <v>0</v>
      </c>
      <c r="P22" s="1">
        <f t="shared" si="1"/>
        <v>0</v>
      </c>
      <c r="Q22" s="1">
        <f t="shared" si="2"/>
        <v>0</v>
      </c>
      <c r="R22" s="1">
        <f t="shared" si="3"/>
        <v>0</v>
      </c>
      <c r="S22" s="1">
        <f t="shared" si="6"/>
        <v>0</v>
      </c>
      <c r="T22" s="1">
        <f>SUM(S$12:S22)</f>
        <v>1</v>
      </c>
      <c r="U22" s="1">
        <f>SUM(T$12:T22)</f>
        <v>6</v>
      </c>
      <c r="V22" s="1">
        <f t="shared" si="4"/>
        <v>5000</v>
      </c>
    </row>
    <row r="23" spans="1:22" hidden="1" x14ac:dyDescent="0.15">
      <c r="A23" s="5">
        <v>12</v>
      </c>
      <c r="B23" s="11">
        <v>0.45833333333333298</v>
      </c>
      <c r="C23" s="11" t="s">
        <v>3</v>
      </c>
      <c r="D23" s="11">
        <v>0.499305555555556</v>
      </c>
      <c r="E23" s="4">
        <v>5000</v>
      </c>
      <c r="F23" s="4">
        <v>6000</v>
      </c>
      <c r="G23" s="3" t="s">
        <v>43</v>
      </c>
      <c r="H23" s="3" t="s">
        <v>161</v>
      </c>
      <c r="I23" s="3" t="s">
        <v>161</v>
      </c>
      <c r="J23" s="3" t="s">
        <v>161</v>
      </c>
      <c r="K23" s="13" t="s">
        <v>20</v>
      </c>
      <c r="L23" s="2">
        <f t="shared" si="5"/>
        <v>5000</v>
      </c>
      <c r="O23" s="1">
        <f t="shared" si="0"/>
        <v>0</v>
      </c>
      <c r="P23" s="1">
        <f t="shared" si="1"/>
        <v>0</v>
      </c>
      <c r="Q23" s="1">
        <f t="shared" si="2"/>
        <v>0</v>
      </c>
      <c r="R23" s="1">
        <f t="shared" si="3"/>
        <v>0</v>
      </c>
      <c r="S23" s="1">
        <f t="shared" si="6"/>
        <v>0</v>
      </c>
      <c r="T23" s="1">
        <f>SUM(S$12:S23)</f>
        <v>1</v>
      </c>
      <c r="U23" s="1">
        <f>SUM(T$12:T23)</f>
        <v>7</v>
      </c>
      <c r="V23" s="1">
        <f t="shared" si="4"/>
        <v>5000</v>
      </c>
    </row>
    <row r="24" spans="1:22" hidden="1" x14ac:dyDescent="0.15">
      <c r="A24" s="5">
        <v>13</v>
      </c>
      <c r="B24" s="11">
        <v>0.54166666666666696</v>
      </c>
      <c r="C24" s="11" t="s">
        <v>3</v>
      </c>
      <c r="D24" s="11">
        <v>0.58263888888888904</v>
      </c>
      <c r="E24" s="4">
        <v>5000</v>
      </c>
      <c r="F24" s="4">
        <v>6000</v>
      </c>
      <c r="G24" s="3" t="s">
        <v>44</v>
      </c>
      <c r="H24" s="3" t="s">
        <v>162</v>
      </c>
      <c r="I24" s="3" t="s">
        <v>162</v>
      </c>
      <c r="J24" s="3" t="s">
        <v>162</v>
      </c>
      <c r="K24" s="13" t="s">
        <v>21</v>
      </c>
      <c r="L24" s="2">
        <f t="shared" si="5"/>
        <v>5000</v>
      </c>
      <c r="O24" s="1">
        <f t="shared" si="0"/>
        <v>0</v>
      </c>
      <c r="P24" s="1">
        <f t="shared" si="1"/>
        <v>0</v>
      </c>
      <c r="Q24" s="1">
        <f t="shared" si="2"/>
        <v>0</v>
      </c>
      <c r="R24" s="1">
        <f t="shared" si="3"/>
        <v>0</v>
      </c>
      <c r="S24" s="1">
        <f t="shared" si="6"/>
        <v>0</v>
      </c>
      <c r="T24" s="1">
        <f>SUM(S$12:S24)</f>
        <v>1</v>
      </c>
      <c r="U24" s="1">
        <f>SUM(T$12:T24)</f>
        <v>8</v>
      </c>
      <c r="V24" s="1">
        <f t="shared" si="4"/>
        <v>5000</v>
      </c>
    </row>
    <row r="25" spans="1:22" hidden="1" x14ac:dyDescent="0.15">
      <c r="A25" s="5">
        <v>14</v>
      </c>
      <c r="B25" s="11">
        <v>0.58333333333333304</v>
      </c>
      <c r="C25" s="11" t="s">
        <v>3</v>
      </c>
      <c r="D25" s="11">
        <v>0.624305555555556</v>
      </c>
      <c r="E25" s="4">
        <v>5000</v>
      </c>
      <c r="F25" s="4">
        <v>6000</v>
      </c>
      <c r="G25" s="3" t="s">
        <v>45</v>
      </c>
      <c r="H25" s="3" t="s">
        <v>163</v>
      </c>
      <c r="I25" s="3" t="s">
        <v>163</v>
      </c>
      <c r="J25" s="3" t="s">
        <v>163</v>
      </c>
      <c r="K25" s="13" t="s">
        <v>22</v>
      </c>
      <c r="L25" s="2">
        <f t="shared" si="5"/>
        <v>5000</v>
      </c>
      <c r="O25" s="1">
        <f t="shared" si="0"/>
        <v>0</v>
      </c>
      <c r="P25" s="1">
        <f t="shared" si="1"/>
        <v>0</v>
      </c>
      <c r="Q25" s="1">
        <f t="shared" si="2"/>
        <v>0</v>
      </c>
      <c r="R25" s="1">
        <f t="shared" si="3"/>
        <v>0</v>
      </c>
      <c r="S25" s="1">
        <f t="shared" si="6"/>
        <v>0</v>
      </c>
      <c r="T25" s="1">
        <f>SUM(S$12:S25)</f>
        <v>1</v>
      </c>
      <c r="U25" s="1">
        <f>SUM(T$12:T25)</f>
        <v>9</v>
      </c>
      <c r="V25" s="1">
        <f t="shared" si="4"/>
        <v>5000</v>
      </c>
    </row>
    <row r="26" spans="1:22" hidden="1" x14ac:dyDescent="0.15">
      <c r="A26" s="5">
        <v>15</v>
      </c>
      <c r="B26" s="11">
        <v>0.625</v>
      </c>
      <c r="C26" s="11" t="s">
        <v>3</v>
      </c>
      <c r="D26" s="11">
        <v>0.66597222222222197</v>
      </c>
      <c r="E26" s="4">
        <v>5000</v>
      </c>
      <c r="F26" s="4">
        <v>6000</v>
      </c>
      <c r="G26" s="3" t="s">
        <v>46</v>
      </c>
      <c r="H26" s="3" t="s">
        <v>164</v>
      </c>
      <c r="I26" s="3" t="s">
        <v>164</v>
      </c>
      <c r="J26" s="3" t="s">
        <v>164</v>
      </c>
      <c r="K26" s="13" t="s">
        <v>23</v>
      </c>
      <c r="L26" s="2">
        <f t="shared" si="5"/>
        <v>5000</v>
      </c>
      <c r="O26" s="1">
        <f t="shared" si="0"/>
        <v>0</v>
      </c>
      <c r="P26" s="1">
        <f t="shared" si="1"/>
        <v>0</v>
      </c>
      <c r="Q26" s="1">
        <f t="shared" si="2"/>
        <v>0</v>
      </c>
      <c r="R26" s="1">
        <f t="shared" si="3"/>
        <v>0</v>
      </c>
      <c r="S26" s="1">
        <f t="shared" si="6"/>
        <v>0</v>
      </c>
      <c r="T26" s="1">
        <f>SUM(S$12:S26)</f>
        <v>1</v>
      </c>
      <c r="U26" s="1">
        <f>SUM(T$12:T26)</f>
        <v>10</v>
      </c>
      <c r="V26" s="1">
        <f t="shared" si="4"/>
        <v>5000</v>
      </c>
    </row>
    <row r="27" spans="1:22" hidden="1" x14ac:dyDescent="0.15">
      <c r="A27" s="5">
        <v>16</v>
      </c>
      <c r="B27" s="11">
        <v>0.66666666666666696</v>
      </c>
      <c r="C27" s="11" t="s">
        <v>3</v>
      </c>
      <c r="D27" s="11">
        <v>0.70763888888888904</v>
      </c>
      <c r="E27" s="4">
        <v>5000</v>
      </c>
      <c r="F27" s="4">
        <v>6000</v>
      </c>
      <c r="G27" s="3" t="s">
        <v>47</v>
      </c>
      <c r="H27" s="3" t="s">
        <v>165</v>
      </c>
      <c r="I27" s="3" t="s">
        <v>165</v>
      </c>
      <c r="J27" s="3" t="s">
        <v>165</v>
      </c>
      <c r="K27" s="13" t="s">
        <v>24</v>
      </c>
      <c r="L27" s="2">
        <f t="shared" si="5"/>
        <v>5000</v>
      </c>
      <c r="O27" s="1">
        <f t="shared" si="0"/>
        <v>0</v>
      </c>
      <c r="P27" s="1">
        <f t="shared" si="1"/>
        <v>0</v>
      </c>
      <c r="Q27" s="1">
        <f t="shared" si="2"/>
        <v>0</v>
      </c>
      <c r="R27" s="1">
        <f t="shared" si="3"/>
        <v>0</v>
      </c>
      <c r="S27" s="1">
        <f t="shared" si="6"/>
        <v>0</v>
      </c>
      <c r="T27" s="1">
        <f>SUM(S$12:S27)</f>
        <v>1</v>
      </c>
      <c r="U27" s="1">
        <f>SUM(T$12:T27)</f>
        <v>11</v>
      </c>
      <c r="V27" s="1">
        <f t="shared" si="4"/>
        <v>5000</v>
      </c>
    </row>
    <row r="28" spans="1:22" hidden="1" x14ac:dyDescent="0.15">
      <c r="A28" s="5">
        <v>17</v>
      </c>
      <c r="B28" s="11">
        <v>0.70833333333333304</v>
      </c>
      <c r="C28" s="11" t="s">
        <v>3</v>
      </c>
      <c r="D28" s="11">
        <v>0.749305555555556</v>
      </c>
      <c r="E28" s="4">
        <v>6000</v>
      </c>
      <c r="F28" s="4">
        <v>8000</v>
      </c>
      <c r="G28" s="3" t="s">
        <v>48</v>
      </c>
      <c r="H28" s="3" t="s">
        <v>166</v>
      </c>
      <c r="I28" s="3" t="s">
        <v>166</v>
      </c>
      <c r="J28" s="3" t="s">
        <v>166</v>
      </c>
      <c r="K28" s="13" t="s">
        <v>25</v>
      </c>
      <c r="L28" s="2">
        <f t="shared" si="5"/>
        <v>6000</v>
      </c>
      <c r="O28" s="1">
        <f t="shared" si="0"/>
        <v>0</v>
      </c>
      <c r="P28" s="1">
        <f t="shared" si="1"/>
        <v>0</v>
      </c>
      <c r="Q28" s="1">
        <f t="shared" si="2"/>
        <v>0</v>
      </c>
      <c r="R28" s="1">
        <f t="shared" si="3"/>
        <v>0</v>
      </c>
      <c r="S28" s="1">
        <f t="shared" si="6"/>
        <v>0</v>
      </c>
      <c r="T28" s="1">
        <f>SUM(S$12:S28)</f>
        <v>1</v>
      </c>
      <c r="U28" s="1">
        <f>SUM(T$12:T28)</f>
        <v>12</v>
      </c>
      <c r="V28" s="1">
        <f t="shared" si="4"/>
        <v>6000</v>
      </c>
    </row>
    <row r="29" spans="1:22" hidden="1" x14ac:dyDescent="0.15">
      <c r="A29" s="5">
        <v>18</v>
      </c>
      <c r="B29" s="11">
        <v>0.75</v>
      </c>
      <c r="C29" s="11" t="s">
        <v>3</v>
      </c>
      <c r="D29" s="11">
        <v>0.79097222222222197</v>
      </c>
      <c r="E29" s="4">
        <v>6000</v>
      </c>
      <c r="F29" s="4">
        <v>8000</v>
      </c>
      <c r="G29" s="3" t="s">
        <v>49</v>
      </c>
      <c r="H29" s="3" t="s">
        <v>167</v>
      </c>
      <c r="I29" s="3" t="s">
        <v>167</v>
      </c>
      <c r="J29" s="3" t="s">
        <v>167</v>
      </c>
      <c r="K29" s="13" t="s">
        <v>26</v>
      </c>
      <c r="L29" s="2">
        <f t="shared" si="5"/>
        <v>6000</v>
      </c>
      <c r="O29" s="1">
        <f t="shared" si="0"/>
        <v>0</v>
      </c>
      <c r="P29" s="1">
        <f t="shared" si="1"/>
        <v>0</v>
      </c>
      <c r="Q29" s="1">
        <f t="shared" si="2"/>
        <v>0</v>
      </c>
      <c r="R29" s="1">
        <f t="shared" si="3"/>
        <v>0</v>
      </c>
      <c r="S29" s="1">
        <f t="shared" si="6"/>
        <v>0</v>
      </c>
      <c r="T29" s="1">
        <f>SUM(S$12:S29)</f>
        <v>1</v>
      </c>
      <c r="U29" s="1">
        <f>SUM(T$12:T29)</f>
        <v>13</v>
      </c>
      <c r="V29" s="1">
        <f t="shared" si="4"/>
        <v>6000</v>
      </c>
    </row>
    <row r="30" spans="1:22" hidden="1" x14ac:dyDescent="0.15">
      <c r="A30" s="5">
        <v>19</v>
      </c>
      <c r="B30" s="11">
        <v>0.79166666666666696</v>
      </c>
      <c r="C30" s="11" t="s">
        <v>3</v>
      </c>
      <c r="D30" s="11">
        <v>0.83263888888888904</v>
      </c>
      <c r="E30" s="4">
        <v>6000</v>
      </c>
      <c r="F30" s="4">
        <v>8000</v>
      </c>
      <c r="G30" s="3" t="s">
        <v>50</v>
      </c>
      <c r="H30" s="3" t="s">
        <v>168</v>
      </c>
      <c r="I30" s="3" t="s">
        <v>168</v>
      </c>
      <c r="J30" s="3" t="s">
        <v>168</v>
      </c>
      <c r="K30" s="13" t="s">
        <v>27</v>
      </c>
      <c r="L30" s="2">
        <f t="shared" si="5"/>
        <v>6000</v>
      </c>
      <c r="O30" s="1">
        <f t="shared" si="0"/>
        <v>0</v>
      </c>
      <c r="P30" s="1">
        <f t="shared" si="1"/>
        <v>0</v>
      </c>
      <c r="Q30" s="1">
        <f t="shared" si="2"/>
        <v>0</v>
      </c>
      <c r="R30" s="1">
        <f t="shared" si="3"/>
        <v>0</v>
      </c>
      <c r="S30" s="1">
        <f t="shared" si="6"/>
        <v>0</v>
      </c>
      <c r="T30" s="1">
        <f>SUM(S$12:S30)</f>
        <v>1</v>
      </c>
      <c r="U30" s="1">
        <f>SUM(T$12:T30)</f>
        <v>14</v>
      </c>
      <c r="V30" s="1">
        <f>IF(U30=0,0,IF(U30&lt;=S$127,L30,0))</f>
        <v>6000</v>
      </c>
    </row>
    <row r="31" spans="1:22" hidden="1" x14ac:dyDescent="0.15">
      <c r="A31" s="5">
        <v>20</v>
      </c>
      <c r="B31" s="11">
        <v>0.83333333333333304</v>
      </c>
      <c r="C31" s="11" t="s">
        <v>3</v>
      </c>
      <c r="D31" s="11">
        <v>0.874305555555556</v>
      </c>
      <c r="E31" s="4">
        <v>6000</v>
      </c>
      <c r="F31" s="4">
        <v>8000</v>
      </c>
      <c r="G31" s="3" t="s">
        <v>51</v>
      </c>
      <c r="H31" s="3" t="s">
        <v>169</v>
      </c>
      <c r="I31" s="3" t="s">
        <v>169</v>
      </c>
      <c r="J31" s="3" t="s">
        <v>169</v>
      </c>
      <c r="K31" s="13" t="s">
        <v>28</v>
      </c>
      <c r="L31" s="2">
        <f t="shared" si="5"/>
        <v>6000</v>
      </c>
      <c r="O31" s="1">
        <f t="shared" si="0"/>
        <v>0</v>
      </c>
      <c r="P31" s="1">
        <f t="shared" si="1"/>
        <v>0</v>
      </c>
      <c r="Q31" s="1">
        <f t="shared" si="2"/>
        <v>0</v>
      </c>
      <c r="R31" s="1">
        <f t="shared" si="3"/>
        <v>0</v>
      </c>
      <c r="S31" s="1">
        <f t="shared" si="6"/>
        <v>0</v>
      </c>
      <c r="T31" s="1">
        <f>SUM(S$12:S31)</f>
        <v>1</v>
      </c>
      <c r="U31" s="1">
        <f>SUM(T$12:T31)</f>
        <v>15</v>
      </c>
      <c r="V31" s="1">
        <f t="shared" si="4"/>
        <v>6000</v>
      </c>
    </row>
    <row r="32" spans="1:22" hidden="1" x14ac:dyDescent="0.15">
      <c r="A32" s="5">
        <v>21</v>
      </c>
      <c r="B32" s="11">
        <v>0.875</v>
      </c>
      <c r="C32" s="11" t="s">
        <v>3</v>
      </c>
      <c r="D32" s="11">
        <v>0.91597222222222197</v>
      </c>
      <c r="E32" s="4">
        <v>6000</v>
      </c>
      <c r="F32" s="4">
        <v>8000</v>
      </c>
      <c r="G32" s="3" t="s">
        <v>52</v>
      </c>
      <c r="H32" s="3" t="s">
        <v>170</v>
      </c>
      <c r="I32" s="3" t="s">
        <v>170</v>
      </c>
      <c r="J32" s="3" t="s">
        <v>170</v>
      </c>
      <c r="K32" s="13" t="s">
        <v>29</v>
      </c>
      <c r="L32" s="2">
        <f t="shared" si="5"/>
        <v>6000</v>
      </c>
      <c r="O32" s="1">
        <f t="shared" si="0"/>
        <v>0</v>
      </c>
      <c r="P32" s="1">
        <f t="shared" si="1"/>
        <v>0</v>
      </c>
      <c r="Q32" s="1">
        <f t="shared" si="2"/>
        <v>0</v>
      </c>
      <c r="R32" s="1">
        <f t="shared" si="3"/>
        <v>0</v>
      </c>
      <c r="S32" s="1">
        <f t="shared" si="6"/>
        <v>0</v>
      </c>
      <c r="T32" s="1">
        <f>SUM(S$12:S32)</f>
        <v>1</v>
      </c>
      <c r="U32" s="1">
        <f>SUM(T$12:T32)</f>
        <v>16</v>
      </c>
      <c r="V32" s="1">
        <f t="shared" si="4"/>
        <v>0</v>
      </c>
    </row>
    <row r="33" spans="1:22" hidden="1" x14ac:dyDescent="0.15">
      <c r="A33" s="5">
        <v>22</v>
      </c>
      <c r="B33" s="11">
        <v>0.91666666666666696</v>
      </c>
      <c r="C33" s="11" t="s">
        <v>3</v>
      </c>
      <c r="D33" s="11">
        <v>0.95763888888888904</v>
      </c>
      <c r="E33" s="4">
        <v>8000</v>
      </c>
      <c r="F33" s="4">
        <v>9000</v>
      </c>
      <c r="G33" s="3" t="s">
        <v>53</v>
      </c>
      <c r="H33" s="3" t="s">
        <v>171</v>
      </c>
      <c r="I33" s="3" t="s">
        <v>171</v>
      </c>
      <c r="J33" s="3" t="s">
        <v>171</v>
      </c>
      <c r="K33" s="13" t="s">
        <v>30</v>
      </c>
      <c r="L33" s="2">
        <f t="shared" si="5"/>
        <v>8000</v>
      </c>
      <c r="O33" s="1">
        <f t="shared" si="0"/>
        <v>0</v>
      </c>
      <c r="P33" s="1">
        <f t="shared" si="1"/>
        <v>0</v>
      </c>
      <c r="Q33" s="1">
        <f t="shared" si="2"/>
        <v>0</v>
      </c>
      <c r="R33" s="1">
        <f t="shared" si="3"/>
        <v>0</v>
      </c>
      <c r="S33" s="1">
        <f t="shared" si="6"/>
        <v>0</v>
      </c>
      <c r="T33" s="1">
        <f>SUM(S$12:S33)</f>
        <v>1</v>
      </c>
      <c r="U33" s="1">
        <f>SUM(T$12:T33)</f>
        <v>17</v>
      </c>
      <c r="V33" s="1">
        <f t="shared" si="4"/>
        <v>0</v>
      </c>
    </row>
    <row r="34" spans="1:22" hidden="1" x14ac:dyDescent="0.15">
      <c r="A34" s="5">
        <v>23</v>
      </c>
      <c r="B34" s="11">
        <v>0.95833333333333304</v>
      </c>
      <c r="C34" s="11" t="s">
        <v>3</v>
      </c>
      <c r="D34" s="11">
        <v>0.999305555555556</v>
      </c>
      <c r="E34" s="4">
        <v>8000</v>
      </c>
      <c r="F34" s="4">
        <v>9000</v>
      </c>
      <c r="G34" s="3" t="s">
        <v>54</v>
      </c>
      <c r="H34" s="3" t="s">
        <v>172</v>
      </c>
      <c r="I34" s="3" t="s">
        <v>172</v>
      </c>
      <c r="J34" s="3" t="s">
        <v>172</v>
      </c>
      <c r="K34" s="13" t="s">
        <v>31</v>
      </c>
      <c r="L34" s="2">
        <f t="shared" si="5"/>
        <v>8000</v>
      </c>
      <c r="O34" s="1">
        <f t="shared" si="0"/>
        <v>0</v>
      </c>
      <c r="P34" s="1">
        <f t="shared" si="1"/>
        <v>0</v>
      </c>
      <c r="Q34" s="1">
        <f t="shared" si="2"/>
        <v>0</v>
      </c>
      <c r="R34" s="1">
        <f t="shared" si="3"/>
        <v>0</v>
      </c>
      <c r="S34" s="1">
        <f t="shared" si="6"/>
        <v>0</v>
      </c>
      <c r="T34" s="1">
        <f>SUM(S$12:S34)</f>
        <v>1</v>
      </c>
      <c r="U34" s="1">
        <f>SUM(T$12:T34)</f>
        <v>18</v>
      </c>
      <c r="V34" s="1">
        <f t="shared" si="4"/>
        <v>0</v>
      </c>
    </row>
    <row r="35" spans="1:22" hidden="1" x14ac:dyDescent="0.15">
      <c r="A35" s="5">
        <v>24</v>
      </c>
      <c r="B35" s="11">
        <v>0</v>
      </c>
      <c r="C35" s="11" t="s">
        <v>3</v>
      </c>
      <c r="D35" s="11">
        <v>4.0972222222222222E-2</v>
      </c>
      <c r="E35" s="4">
        <v>8000</v>
      </c>
      <c r="F35" s="4">
        <v>9000</v>
      </c>
      <c r="G35" s="3" t="s">
        <v>55</v>
      </c>
      <c r="H35" s="3" t="s">
        <v>173</v>
      </c>
      <c r="I35" s="3" t="s">
        <v>173</v>
      </c>
      <c r="J35" s="3" t="s">
        <v>173</v>
      </c>
      <c r="K35" s="13"/>
      <c r="L35" s="2">
        <f t="shared" si="5"/>
        <v>8000</v>
      </c>
      <c r="O35" s="1">
        <f t="shared" si="0"/>
        <v>0</v>
      </c>
      <c r="P35" s="1">
        <f t="shared" si="1"/>
        <v>0</v>
      </c>
      <c r="Q35" s="1">
        <f t="shared" si="2"/>
        <v>0</v>
      </c>
      <c r="R35" s="1">
        <f t="shared" si="3"/>
        <v>0</v>
      </c>
      <c r="T35" s="1">
        <f>SUM(S$12:S35)</f>
        <v>1</v>
      </c>
      <c r="U35" s="1">
        <f>SUM(T$12:T35)</f>
        <v>19</v>
      </c>
      <c r="V35" s="1">
        <f t="shared" si="4"/>
        <v>0</v>
      </c>
    </row>
    <row r="36" spans="1:22" hidden="1" x14ac:dyDescent="0.15">
      <c r="A36" s="5">
        <v>25</v>
      </c>
      <c r="B36" s="11">
        <v>4.1666666666666699E-2</v>
      </c>
      <c r="C36" s="11" t="s">
        <v>3</v>
      </c>
      <c r="D36" s="11">
        <v>8.2638888888888901E-2</v>
      </c>
      <c r="E36" s="4">
        <v>8000</v>
      </c>
      <c r="F36" s="4">
        <v>9000</v>
      </c>
      <c r="G36" s="3" t="s">
        <v>56</v>
      </c>
      <c r="H36" s="3" t="s">
        <v>174</v>
      </c>
      <c r="I36" s="3" t="s">
        <v>174</v>
      </c>
      <c r="J36" s="3" t="s">
        <v>174</v>
      </c>
      <c r="K36" s="13"/>
      <c r="L36" s="2">
        <f t="shared" si="5"/>
        <v>8000</v>
      </c>
      <c r="O36" s="1">
        <f t="shared" si="0"/>
        <v>0</v>
      </c>
      <c r="P36" s="1">
        <f t="shared" si="1"/>
        <v>0</v>
      </c>
      <c r="Q36" s="1">
        <f t="shared" si="2"/>
        <v>0</v>
      </c>
      <c r="R36" s="1">
        <f t="shared" si="3"/>
        <v>0</v>
      </c>
      <c r="T36" s="1">
        <f>SUM(S$12:S36)</f>
        <v>1</v>
      </c>
      <c r="U36" s="1">
        <f>SUM(T$12:T36)</f>
        <v>20</v>
      </c>
      <c r="V36" s="1">
        <f t="shared" si="4"/>
        <v>0</v>
      </c>
    </row>
    <row r="37" spans="1:22" hidden="1" x14ac:dyDescent="0.15">
      <c r="A37" s="5">
        <v>26</v>
      </c>
      <c r="B37" s="11">
        <v>8.3333333333333301E-2</v>
      </c>
      <c r="C37" s="11" t="s">
        <v>3</v>
      </c>
      <c r="D37" s="11">
        <v>0.124305555555556</v>
      </c>
      <c r="E37" s="4">
        <v>8000</v>
      </c>
      <c r="F37" s="4">
        <v>9000</v>
      </c>
      <c r="G37" s="3" t="s">
        <v>57</v>
      </c>
      <c r="H37" s="3" t="s">
        <v>175</v>
      </c>
      <c r="I37" s="3" t="s">
        <v>175</v>
      </c>
      <c r="J37" s="3" t="s">
        <v>175</v>
      </c>
      <c r="K37" s="13"/>
      <c r="L37" s="2">
        <f t="shared" si="5"/>
        <v>8000</v>
      </c>
      <c r="O37" s="1">
        <f t="shared" si="0"/>
        <v>0</v>
      </c>
      <c r="P37" s="1">
        <f t="shared" si="1"/>
        <v>0</v>
      </c>
      <c r="Q37" s="1">
        <f t="shared" si="2"/>
        <v>0</v>
      </c>
      <c r="R37" s="1">
        <f t="shared" si="3"/>
        <v>0</v>
      </c>
      <c r="T37" s="1">
        <f>SUM(S$12:S37)</f>
        <v>1</v>
      </c>
      <c r="U37" s="1">
        <f>SUM(T$12:T37)</f>
        <v>21</v>
      </c>
      <c r="V37" s="1">
        <f t="shared" si="4"/>
        <v>0</v>
      </c>
    </row>
    <row r="38" spans="1:22" hidden="1" x14ac:dyDescent="0.15">
      <c r="A38" s="5">
        <v>27</v>
      </c>
      <c r="B38" s="11">
        <v>0.125</v>
      </c>
      <c r="C38" s="11" t="s">
        <v>3</v>
      </c>
      <c r="D38" s="11">
        <v>0.16597222222222199</v>
      </c>
      <c r="E38" s="4">
        <v>8000</v>
      </c>
      <c r="F38" s="4">
        <v>9000</v>
      </c>
      <c r="G38" s="3" t="s">
        <v>58</v>
      </c>
      <c r="H38" s="3" t="s">
        <v>176</v>
      </c>
      <c r="I38" s="3" t="s">
        <v>176</v>
      </c>
      <c r="J38" s="3" t="s">
        <v>176</v>
      </c>
      <c r="K38" s="13"/>
      <c r="L38" s="2">
        <f t="shared" si="5"/>
        <v>8000</v>
      </c>
      <c r="O38" s="1">
        <f t="shared" si="0"/>
        <v>0</v>
      </c>
      <c r="P38" s="1">
        <f t="shared" si="1"/>
        <v>0</v>
      </c>
      <c r="Q38" s="1">
        <f t="shared" si="2"/>
        <v>0</v>
      </c>
      <c r="R38" s="1">
        <f t="shared" si="3"/>
        <v>0</v>
      </c>
      <c r="T38" s="1">
        <f>SUM(S$12:S38)</f>
        <v>1</v>
      </c>
      <c r="U38" s="1">
        <f>SUM(T$12:T38)</f>
        <v>22</v>
      </c>
      <c r="V38" s="1">
        <f t="shared" si="4"/>
        <v>0</v>
      </c>
    </row>
    <row r="39" spans="1:22" hidden="1" x14ac:dyDescent="0.15">
      <c r="A39" s="5">
        <v>28</v>
      </c>
      <c r="B39" s="11">
        <v>0.16666666666666699</v>
      </c>
      <c r="C39" s="11" t="s">
        <v>3</v>
      </c>
      <c r="D39" s="11">
        <v>0.20763888888888901</v>
      </c>
      <c r="E39" s="4">
        <v>8000</v>
      </c>
      <c r="F39" s="4">
        <v>9000</v>
      </c>
      <c r="G39" s="3" t="s">
        <v>59</v>
      </c>
      <c r="H39" s="3" t="s">
        <v>177</v>
      </c>
      <c r="I39" s="3" t="s">
        <v>177</v>
      </c>
      <c r="J39" s="3" t="s">
        <v>177</v>
      </c>
      <c r="K39" s="13"/>
      <c r="L39" s="2">
        <f t="shared" si="5"/>
        <v>8000</v>
      </c>
      <c r="O39" s="1">
        <f t="shared" si="0"/>
        <v>0</v>
      </c>
      <c r="P39" s="1">
        <f t="shared" si="1"/>
        <v>0</v>
      </c>
      <c r="Q39" s="1">
        <f t="shared" si="2"/>
        <v>0</v>
      </c>
      <c r="R39" s="1">
        <f t="shared" si="3"/>
        <v>0</v>
      </c>
      <c r="T39" s="1">
        <f>SUM(S$12:S39)</f>
        <v>1</v>
      </c>
      <c r="U39" s="1">
        <f>SUM(T$12:T39)</f>
        <v>23</v>
      </c>
      <c r="V39" s="1">
        <f t="shared" si="4"/>
        <v>0</v>
      </c>
    </row>
    <row r="40" spans="1:22" hidden="1" x14ac:dyDescent="0.15">
      <c r="A40" s="5">
        <v>29</v>
      </c>
      <c r="B40" s="11">
        <v>0.20833333333333301</v>
      </c>
      <c r="C40" s="11" t="s">
        <v>3</v>
      </c>
      <c r="D40" s="11">
        <v>0.249305555555556</v>
      </c>
      <c r="E40" s="4">
        <v>6000</v>
      </c>
      <c r="F40" s="4">
        <v>8000</v>
      </c>
      <c r="G40" s="3" t="s">
        <v>60</v>
      </c>
      <c r="H40" s="3" t="s">
        <v>178</v>
      </c>
      <c r="I40" s="3" t="s">
        <v>178</v>
      </c>
      <c r="J40" s="3" t="s">
        <v>178</v>
      </c>
      <c r="K40" s="13"/>
      <c r="L40" s="2">
        <f t="shared" si="5"/>
        <v>6000</v>
      </c>
      <c r="O40" s="1">
        <f t="shared" si="0"/>
        <v>0</v>
      </c>
      <c r="P40" s="1">
        <f t="shared" si="1"/>
        <v>0</v>
      </c>
      <c r="Q40" s="1">
        <f t="shared" si="2"/>
        <v>0</v>
      </c>
      <c r="R40" s="1">
        <f t="shared" si="3"/>
        <v>0</v>
      </c>
      <c r="T40" s="1">
        <f>SUM(S$12:S40)</f>
        <v>1</v>
      </c>
      <c r="U40" s="1">
        <f>SUM(T$12:T40)</f>
        <v>24</v>
      </c>
      <c r="V40" s="1">
        <f t="shared" si="4"/>
        <v>0</v>
      </c>
    </row>
    <row r="41" spans="1:22" hidden="1" x14ac:dyDescent="0.15">
      <c r="A41" s="5">
        <v>30</v>
      </c>
      <c r="B41" s="11">
        <v>0.25</v>
      </c>
      <c r="C41" s="11" t="s">
        <v>3</v>
      </c>
      <c r="D41" s="11">
        <v>0.29097222222222202</v>
      </c>
      <c r="E41" s="4">
        <v>6000</v>
      </c>
      <c r="F41" s="4">
        <v>8000</v>
      </c>
      <c r="G41" s="3" t="s">
        <v>61</v>
      </c>
      <c r="H41" s="3" t="s">
        <v>179</v>
      </c>
      <c r="I41" s="3" t="s">
        <v>179</v>
      </c>
      <c r="J41" s="3" t="s">
        <v>179</v>
      </c>
      <c r="K41" s="13"/>
      <c r="L41" s="2">
        <f t="shared" si="5"/>
        <v>6000</v>
      </c>
      <c r="O41" s="1">
        <f t="shared" si="0"/>
        <v>0</v>
      </c>
      <c r="P41" s="1">
        <f t="shared" si="1"/>
        <v>0</v>
      </c>
      <c r="Q41" s="1">
        <f t="shared" si="2"/>
        <v>0</v>
      </c>
      <c r="R41" s="1">
        <f t="shared" si="3"/>
        <v>0</v>
      </c>
      <c r="T41" s="1">
        <f>SUM(S$12:S41)</f>
        <v>1</v>
      </c>
      <c r="U41" s="1">
        <f>SUM(T$12:T41)</f>
        <v>25</v>
      </c>
      <c r="V41" s="1">
        <f t="shared" si="4"/>
        <v>0</v>
      </c>
    </row>
    <row r="42" spans="1:22" hidden="1" x14ac:dyDescent="0.15">
      <c r="A42" s="5">
        <v>31</v>
      </c>
      <c r="B42" s="11">
        <v>0.29166666666666702</v>
      </c>
      <c r="C42" s="11" t="s">
        <v>3</v>
      </c>
      <c r="D42" s="11">
        <v>0.33263888888888898</v>
      </c>
      <c r="E42" s="4">
        <v>6000</v>
      </c>
      <c r="F42" s="4">
        <v>8000</v>
      </c>
      <c r="G42" s="3" t="s">
        <v>62</v>
      </c>
      <c r="H42" s="3" t="s">
        <v>180</v>
      </c>
      <c r="I42" s="3" t="s">
        <v>180</v>
      </c>
      <c r="J42" s="3" t="s">
        <v>180</v>
      </c>
      <c r="K42" s="13"/>
      <c r="L42" s="2">
        <f t="shared" si="5"/>
        <v>6000</v>
      </c>
      <c r="O42" s="1">
        <f t="shared" si="0"/>
        <v>0</v>
      </c>
      <c r="P42" s="1">
        <f t="shared" si="1"/>
        <v>0</v>
      </c>
      <c r="Q42" s="1">
        <f t="shared" si="2"/>
        <v>0</v>
      </c>
      <c r="R42" s="1">
        <f t="shared" si="3"/>
        <v>0</v>
      </c>
      <c r="T42" s="1">
        <f>SUM(S$12:S42)</f>
        <v>1</v>
      </c>
      <c r="U42" s="1">
        <f>SUM(T$12:T42)</f>
        <v>26</v>
      </c>
      <c r="V42" s="1">
        <f t="shared" si="4"/>
        <v>0</v>
      </c>
    </row>
    <row r="43" spans="1:22" hidden="1" x14ac:dyDescent="0.15">
      <c r="A43" s="5">
        <v>32</v>
      </c>
      <c r="B43" s="11">
        <v>0.33333333333333298</v>
      </c>
      <c r="C43" s="11" t="s">
        <v>3</v>
      </c>
      <c r="D43" s="11">
        <v>0.374305555555556</v>
      </c>
      <c r="E43" s="4">
        <v>5000</v>
      </c>
      <c r="F43" s="4">
        <v>6000</v>
      </c>
      <c r="G43" s="3" t="s">
        <v>63</v>
      </c>
      <c r="H43" s="3" t="s">
        <v>181</v>
      </c>
      <c r="I43" s="3" t="s">
        <v>181</v>
      </c>
      <c r="J43" s="3" t="s">
        <v>181</v>
      </c>
      <c r="K43" s="13"/>
      <c r="L43" s="2">
        <f t="shared" si="5"/>
        <v>5000</v>
      </c>
      <c r="O43" s="1">
        <f t="shared" si="0"/>
        <v>0</v>
      </c>
      <c r="P43" s="1">
        <f t="shared" si="1"/>
        <v>0</v>
      </c>
      <c r="Q43" s="1">
        <f t="shared" si="2"/>
        <v>0</v>
      </c>
      <c r="R43" s="1">
        <f t="shared" si="3"/>
        <v>0</v>
      </c>
      <c r="T43" s="1">
        <f>SUM(S$12:S43)</f>
        <v>1</v>
      </c>
      <c r="U43" s="1">
        <f>SUM(T$12:T43)</f>
        <v>27</v>
      </c>
      <c r="V43" s="1">
        <f t="shared" si="4"/>
        <v>0</v>
      </c>
    </row>
    <row r="44" spans="1:22" hidden="1" x14ac:dyDescent="0.15">
      <c r="A44" s="5">
        <v>33</v>
      </c>
      <c r="B44" s="11">
        <v>0.375</v>
      </c>
      <c r="C44" s="11" t="s">
        <v>3</v>
      </c>
      <c r="D44" s="11">
        <v>0.41597222222222202</v>
      </c>
      <c r="E44" s="4">
        <v>5000</v>
      </c>
      <c r="F44" s="4">
        <v>6000</v>
      </c>
      <c r="G44" s="3" t="s">
        <v>64</v>
      </c>
      <c r="H44" s="3" t="s">
        <v>182</v>
      </c>
      <c r="I44" s="3" t="s">
        <v>182</v>
      </c>
      <c r="J44" s="3" t="s">
        <v>182</v>
      </c>
      <c r="K44" s="13"/>
      <c r="L44" s="2">
        <f t="shared" si="5"/>
        <v>5000</v>
      </c>
      <c r="O44" s="1">
        <f t="shared" ref="O44:O75" si="7">IF(O$11=G44,$A44,0)</f>
        <v>0</v>
      </c>
      <c r="P44" s="1">
        <f t="shared" ref="P44:P75" si="8">IF(P$11=H44,$A44,0)</f>
        <v>0</v>
      </c>
      <c r="Q44" s="1">
        <f t="shared" ref="Q44:Q75" si="9">IF(Q$11=I44,$A44,0)</f>
        <v>0</v>
      </c>
      <c r="R44" s="1">
        <f t="shared" ref="R44:R75" si="10">IF(R$11=J44,$A44,0)</f>
        <v>0</v>
      </c>
      <c r="T44" s="1">
        <f>SUM(S$12:S44)</f>
        <v>1</v>
      </c>
      <c r="U44" s="1">
        <f>SUM(T$12:T44)</f>
        <v>28</v>
      </c>
      <c r="V44" s="1">
        <f t="shared" ref="V44:V75" si="11">IF(U44=0,0,IF(U44&lt;=S$127,L44,0))</f>
        <v>0</v>
      </c>
    </row>
    <row r="45" spans="1:22" hidden="1" x14ac:dyDescent="0.15">
      <c r="A45" s="5">
        <v>34</v>
      </c>
      <c r="B45" s="11">
        <v>0.41666666666666702</v>
      </c>
      <c r="C45" s="11" t="s">
        <v>3</v>
      </c>
      <c r="D45" s="11">
        <v>0.45763888888888898</v>
      </c>
      <c r="E45" s="4">
        <v>5000</v>
      </c>
      <c r="F45" s="4">
        <v>6000</v>
      </c>
      <c r="G45" s="3" t="s">
        <v>65</v>
      </c>
      <c r="H45" s="3" t="s">
        <v>183</v>
      </c>
      <c r="I45" s="3" t="s">
        <v>183</v>
      </c>
      <c r="J45" s="3" t="s">
        <v>183</v>
      </c>
      <c r="K45" s="13"/>
      <c r="L45" s="2">
        <f t="shared" si="5"/>
        <v>5000</v>
      </c>
      <c r="O45" s="1">
        <f t="shared" si="7"/>
        <v>0</v>
      </c>
      <c r="P45" s="1">
        <f t="shared" si="8"/>
        <v>0</v>
      </c>
      <c r="Q45" s="1">
        <f t="shared" si="9"/>
        <v>0</v>
      </c>
      <c r="R45" s="1">
        <f t="shared" si="10"/>
        <v>0</v>
      </c>
      <c r="T45" s="1">
        <f>SUM(S$12:S45)</f>
        <v>1</v>
      </c>
      <c r="U45" s="1">
        <f>SUM(T$12:T45)</f>
        <v>29</v>
      </c>
      <c r="V45" s="1">
        <f t="shared" si="11"/>
        <v>0</v>
      </c>
    </row>
    <row r="46" spans="1:22" hidden="1" x14ac:dyDescent="0.15">
      <c r="A46" s="5">
        <v>35</v>
      </c>
      <c r="B46" s="11">
        <v>0.45833333333333298</v>
      </c>
      <c r="C46" s="11" t="s">
        <v>3</v>
      </c>
      <c r="D46" s="11">
        <v>0.499305555555556</v>
      </c>
      <c r="E46" s="4">
        <v>5000</v>
      </c>
      <c r="F46" s="4">
        <v>6000</v>
      </c>
      <c r="G46" s="3" t="s">
        <v>66</v>
      </c>
      <c r="H46" s="3" t="s">
        <v>184</v>
      </c>
      <c r="I46" s="3" t="s">
        <v>184</v>
      </c>
      <c r="J46" s="3" t="s">
        <v>184</v>
      </c>
      <c r="K46" s="13"/>
      <c r="L46" s="2">
        <f t="shared" si="5"/>
        <v>5000</v>
      </c>
      <c r="O46" s="1">
        <f t="shared" si="7"/>
        <v>0</v>
      </c>
      <c r="P46" s="1">
        <f t="shared" si="8"/>
        <v>0</v>
      </c>
      <c r="Q46" s="1">
        <f t="shared" si="9"/>
        <v>0</v>
      </c>
      <c r="R46" s="1">
        <f t="shared" si="10"/>
        <v>0</v>
      </c>
      <c r="T46" s="1">
        <f>SUM(S$12:S46)</f>
        <v>1</v>
      </c>
      <c r="U46" s="1">
        <f>SUM(T$12:T46)</f>
        <v>30</v>
      </c>
      <c r="V46" s="1">
        <f t="shared" si="11"/>
        <v>0</v>
      </c>
    </row>
    <row r="47" spans="1:22" hidden="1" x14ac:dyDescent="0.15">
      <c r="A47" s="5">
        <v>36</v>
      </c>
      <c r="B47" s="11">
        <v>0.54166666666666696</v>
      </c>
      <c r="C47" s="11" t="s">
        <v>3</v>
      </c>
      <c r="D47" s="11">
        <v>0.58263888888888904</v>
      </c>
      <c r="E47" s="4">
        <v>5000</v>
      </c>
      <c r="F47" s="4">
        <v>6000</v>
      </c>
      <c r="G47" s="3" t="s">
        <v>67</v>
      </c>
      <c r="H47" s="3" t="s">
        <v>185</v>
      </c>
      <c r="I47" s="3" t="s">
        <v>185</v>
      </c>
      <c r="J47" s="3" t="s">
        <v>185</v>
      </c>
      <c r="K47" s="13"/>
      <c r="L47" s="2">
        <f t="shared" si="5"/>
        <v>5000</v>
      </c>
      <c r="O47" s="1">
        <f t="shared" si="7"/>
        <v>0</v>
      </c>
      <c r="P47" s="1">
        <f t="shared" si="8"/>
        <v>0</v>
      </c>
      <c r="Q47" s="1">
        <f t="shared" si="9"/>
        <v>0</v>
      </c>
      <c r="R47" s="1">
        <f t="shared" si="10"/>
        <v>0</v>
      </c>
      <c r="T47" s="1">
        <f>SUM(S$12:S47)</f>
        <v>1</v>
      </c>
      <c r="U47" s="1">
        <f>SUM(T$12:T47)</f>
        <v>31</v>
      </c>
      <c r="V47" s="1">
        <f t="shared" si="11"/>
        <v>0</v>
      </c>
    </row>
    <row r="48" spans="1:22" hidden="1" x14ac:dyDescent="0.15">
      <c r="A48" s="5">
        <v>37</v>
      </c>
      <c r="B48" s="11">
        <v>0.58333333333333304</v>
      </c>
      <c r="C48" s="11" t="s">
        <v>3</v>
      </c>
      <c r="D48" s="11">
        <v>0.624305555555556</v>
      </c>
      <c r="E48" s="4">
        <v>5000</v>
      </c>
      <c r="F48" s="4">
        <v>6000</v>
      </c>
      <c r="G48" s="3" t="s">
        <v>68</v>
      </c>
      <c r="H48" s="3" t="s">
        <v>186</v>
      </c>
      <c r="I48" s="3" t="s">
        <v>186</v>
      </c>
      <c r="J48" s="3" t="s">
        <v>186</v>
      </c>
      <c r="K48" s="13"/>
      <c r="L48" s="2">
        <f t="shared" si="5"/>
        <v>5000</v>
      </c>
      <c r="O48" s="1">
        <f t="shared" si="7"/>
        <v>0</v>
      </c>
      <c r="P48" s="1">
        <f t="shared" si="8"/>
        <v>0</v>
      </c>
      <c r="Q48" s="1">
        <f t="shared" si="9"/>
        <v>0</v>
      </c>
      <c r="R48" s="1">
        <f t="shared" si="10"/>
        <v>0</v>
      </c>
      <c r="T48" s="1">
        <f>SUM(S$12:S48)</f>
        <v>1</v>
      </c>
      <c r="U48" s="1">
        <f>SUM(T$12:T48)</f>
        <v>32</v>
      </c>
      <c r="V48" s="1">
        <f t="shared" si="11"/>
        <v>0</v>
      </c>
    </row>
    <row r="49" spans="1:22" hidden="1" x14ac:dyDescent="0.15">
      <c r="A49" s="5">
        <v>38</v>
      </c>
      <c r="B49" s="11">
        <v>0.625</v>
      </c>
      <c r="C49" s="11" t="s">
        <v>3</v>
      </c>
      <c r="D49" s="11">
        <v>0.66597222222222197</v>
      </c>
      <c r="E49" s="4">
        <v>5000</v>
      </c>
      <c r="F49" s="4">
        <v>6000</v>
      </c>
      <c r="G49" s="3" t="s">
        <v>69</v>
      </c>
      <c r="H49" s="3" t="s">
        <v>187</v>
      </c>
      <c r="I49" s="3" t="s">
        <v>187</v>
      </c>
      <c r="J49" s="3" t="s">
        <v>187</v>
      </c>
      <c r="K49" s="13"/>
      <c r="L49" s="2">
        <f t="shared" si="5"/>
        <v>5000</v>
      </c>
      <c r="O49" s="1">
        <f t="shared" si="7"/>
        <v>0</v>
      </c>
      <c r="P49" s="1">
        <f t="shared" si="8"/>
        <v>0</v>
      </c>
      <c r="Q49" s="1">
        <f t="shared" si="9"/>
        <v>0</v>
      </c>
      <c r="R49" s="1">
        <f t="shared" si="10"/>
        <v>0</v>
      </c>
      <c r="T49" s="1">
        <f>SUM(S$12:S49)</f>
        <v>1</v>
      </c>
      <c r="U49" s="1">
        <f>SUM(T$12:T49)</f>
        <v>33</v>
      </c>
      <c r="V49" s="1">
        <f t="shared" si="11"/>
        <v>0</v>
      </c>
    </row>
    <row r="50" spans="1:22" hidden="1" x14ac:dyDescent="0.15">
      <c r="A50" s="5">
        <v>39</v>
      </c>
      <c r="B50" s="11">
        <v>0.66666666666666696</v>
      </c>
      <c r="C50" s="11" t="s">
        <v>3</v>
      </c>
      <c r="D50" s="11">
        <v>0.70763888888888904</v>
      </c>
      <c r="E50" s="4">
        <v>5000</v>
      </c>
      <c r="F50" s="4">
        <v>6000</v>
      </c>
      <c r="G50" s="3" t="s">
        <v>70</v>
      </c>
      <c r="H50" s="3" t="s">
        <v>188</v>
      </c>
      <c r="I50" s="3" t="s">
        <v>188</v>
      </c>
      <c r="J50" s="3" t="s">
        <v>188</v>
      </c>
      <c r="K50" s="13"/>
      <c r="L50" s="2">
        <f t="shared" si="5"/>
        <v>5000</v>
      </c>
      <c r="O50" s="1">
        <f t="shared" si="7"/>
        <v>0</v>
      </c>
      <c r="P50" s="1">
        <f t="shared" si="8"/>
        <v>0</v>
      </c>
      <c r="Q50" s="1">
        <f t="shared" si="9"/>
        <v>0</v>
      </c>
      <c r="R50" s="1">
        <f t="shared" si="10"/>
        <v>0</v>
      </c>
      <c r="T50" s="1">
        <f>SUM(S$12:S50)</f>
        <v>1</v>
      </c>
      <c r="U50" s="1">
        <f>SUM(T$12:T50)</f>
        <v>34</v>
      </c>
      <c r="V50" s="1">
        <f t="shared" si="11"/>
        <v>0</v>
      </c>
    </row>
    <row r="51" spans="1:22" hidden="1" x14ac:dyDescent="0.15">
      <c r="A51" s="5">
        <v>40</v>
      </c>
      <c r="B51" s="11">
        <v>0.70833333333333304</v>
      </c>
      <c r="C51" s="11" t="s">
        <v>3</v>
      </c>
      <c r="D51" s="11">
        <v>0.749305555555556</v>
      </c>
      <c r="E51" s="4">
        <v>6000</v>
      </c>
      <c r="F51" s="4">
        <v>8000</v>
      </c>
      <c r="G51" s="3" t="s">
        <v>71</v>
      </c>
      <c r="H51" s="3" t="s">
        <v>189</v>
      </c>
      <c r="I51" s="3" t="s">
        <v>189</v>
      </c>
      <c r="J51" s="3" t="s">
        <v>189</v>
      </c>
      <c r="K51" s="13"/>
      <c r="L51" s="2">
        <f t="shared" si="5"/>
        <v>6000</v>
      </c>
      <c r="O51" s="1">
        <f t="shared" si="7"/>
        <v>0</v>
      </c>
      <c r="P51" s="1">
        <f t="shared" si="8"/>
        <v>0</v>
      </c>
      <c r="Q51" s="1">
        <f t="shared" si="9"/>
        <v>0</v>
      </c>
      <c r="R51" s="1">
        <f t="shared" si="10"/>
        <v>0</v>
      </c>
      <c r="T51" s="1">
        <f>SUM(S$12:S51)</f>
        <v>1</v>
      </c>
      <c r="U51" s="1">
        <f>SUM(T$12:T51)</f>
        <v>35</v>
      </c>
      <c r="V51" s="1">
        <f t="shared" si="11"/>
        <v>0</v>
      </c>
    </row>
    <row r="52" spans="1:22" hidden="1" x14ac:dyDescent="0.15">
      <c r="A52" s="5">
        <v>41</v>
      </c>
      <c r="B52" s="11">
        <v>0.75</v>
      </c>
      <c r="C52" s="11" t="s">
        <v>3</v>
      </c>
      <c r="D52" s="11">
        <v>0.79097222222222197</v>
      </c>
      <c r="E52" s="4">
        <v>6000</v>
      </c>
      <c r="F52" s="4">
        <v>8000</v>
      </c>
      <c r="G52" s="3" t="s">
        <v>72</v>
      </c>
      <c r="H52" s="3" t="s">
        <v>190</v>
      </c>
      <c r="I52" s="3" t="s">
        <v>190</v>
      </c>
      <c r="J52" s="3" t="s">
        <v>190</v>
      </c>
      <c r="K52" s="13"/>
      <c r="L52" s="2">
        <f t="shared" si="5"/>
        <v>6000</v>
      </c>
      <c r="O52" s="1">
        <f t="shared" si="7"/>
        <v>0</v>
      </c>
      <c r="P52" s="1">
        <f t="shared" si="8"/>
        <v>0</v>
      </c>
      <c r="Q52" s="1">
        <f t="shared" si="9"/>
        <v>0</v>
      </c>
      <c r="R52" s="1">
        <f t="shared" si="10"/>
        <v>0</v>
      </c>
      <c r="T52" s="1">
        <f>SUM(S$12:S52)</f>
        <v>1</v>
      </c>
      <c r="U52" s="1">
        <f>SUM(T$12:T52)</f>
        <v>36</v>
      </c>
      <c r="V52" s="1">
        <f t="shared" si="11"/>
        <v>0</v>
      </c>
    </row>
    <row r="53" spans="1:22" hidden="1" x14ac:dyDescent="0.15">
      <c r="A53" s="5">
        <v>42</v>
      </c>
      <c r="B53" s="11">
        <v>0.79166666666666696</v>
      </c>
      <c r="C53" s="11" t="s">
        <v>3</v>
      </c>
      <c r="D53" s="11">
        <v>0.83263888888888904</v>
      </c>
      <c r="E53" s="4">
        <v>6000</v>
      </c>
      <c r="F53" s="4">
        <v>8000</v>
      </c>
      <c r="G53" s="3" t="s">
        <v>73</v>
      </c>
      <c r="H53" s="3" t="s">
        <v>191</v>
      </c>
      <c r="I53" s="3" t="s">
        <v>191</v>
      </c>
      <c r="J53" s="3" t="s">
        <v>191</v>
      </c>
      <c r="K53" s="13"/>
      <c r="L53" s="2">
        <f t="shared" si="5"/>
        <v>6000</v>
      </c>
      <c r="O53" s="1">
        <f t="shared" si="7"/>
        <v>0</v>
      </c>
      <c r="P53" s="1">
        <f t="shared" si="8"/>
        <v>0</v>
      </c>
      <c r="Q53" s="1">
        <f t="shared" si="9"/>
        <v>0</v>
      </c>
      <c r="R53" s="1">
        <f t="shared" si="10"/>
        <v>0</v>
      </c>
      <c r="T53" s="1">
        <f>SUM(S$12:S53)</f>
        <v>1</v>
      </c>
      <c r="U53" s="1">
        <f>SUM(T$12:T53)</f>
        <v>37</v>
      </c>
      <c r="V53" s="1">
        <f t="shared" si="11"/>
        <v>0</v>
      </c>
    </row>
    <row r="54" spans="1:22" hidden="1" x14ac:dyDescent="0.15">
      <c r="A54" s="5">
        <v>43</v>
      </c>
      <c r="B54" s="11">
        <v>0.83333333333333304</v>
      </c>
      <c r="C54" s="11" t="s">
        <v>3</v>
      </c>
      <c r="D54" s="11">
        <v>0.874305555555556</v>
      </c>
      <c r="E54" s="4">
        <v>6000</v>
      </c>
      <c r="F54" s="4">
        <v>8000</v>
      </c>
      <c r="G54" s="3" t="s">
        <v>74</v>
      </c>
      <c r="H54" s="3" t="s">
        <v>192</v>
      </c>
      <c r="I54" s="3" t="s">
        <v>192</v>
      </c>
      <c r="J54" s="3" t="s">
        <v>192</v>
      </c>
      <c r="K54" s="13"/>
      <c r="L54" s="2">
        <f t="shared" si="5"/>
        <v>6000</v>
      </c>
      <c r="O54" s="1">
        <f t="shared" si="7"/>
        <v>0</v>
      </c>
      <c r="P54" s="1">
        <f t="shared" si="8"/>
        <v>0</v>
      </c>
      <c r="Q54" s="1">
        <f t="shared" si="9"/>
        <v>0</v>
      </c>
      <c r="R54" s="1">
        <f t="shared" si="10"/>
        <v>0</v>
      </c>
      <c r="T54" s="1">
        <f>SUM(S$12:S54)</f>
        <v>1</v>
      </c>
      <c r="U54" s="1">
        <f>SUM(T$12:T54)</f>
        <v>38</v>
      </c>
      <c r="V54" s="1">
        <f t="shared" si="11"/>
        <v>0</v>
      </c>
    </row>
    <row r="55" spans="1:22" hidden="1" x14ac:dyDescent="0.15">
      <c r="A55" s="5">
        <v>44</v>
      </c>
      <c r="B55" s="11">
        <v>0.875</v>
      </c>
      <c r="C55" s="11" t="s">
        <v>3</v>
      </c>
      <c r="D55" s="11">
        <v>0.91597222222222197</v>
      </c>
      <c r="E55" s="4">
        <v>6000</v>
      </c>
      <c r="F55" s="4">
        <v>8000</v>
      </c>
      <c r="G55" s="3" t="s">
        <v>75</v>
      </c>
      <c r="H55" s="3" t="s">
        <v>193</v>
      </c>
      <c r="I55" s="3" t="s">
        <v>193</v>
      </c>
      <c r="J55" s="3" t="s">
        <v>193</v>
      </c>
      <c r="K55" s="13"/>
      <c r="L55" s="2">
        <f t="shared" si="5"/>
        <v>6000</v>
      </c>
      <c r="O55" s="1">
        <f t="shared" si="7"/>
        <v>0</v>
      </c>
      <c r="P55" s="1">
        <f t="shared" si="8"/>
        <v>0</v>
      </c>
      <c r="Q55" s="1">
        <f t="shared" si="9"/>
        <v>0</v>
      </c>
      <c r="R55" s="1">
        <f t="shared" si="10"/>
        <v>0</v>
      </c>
      <c r="T55" s="1">
        <f>SUM(S$12:S55)</f>
        <v>1</v>
      </c>
      <c r="U55" s="1">
        <f>SUM(T$12:T55)</f>
        <v>39</v>
      </c>
      <c r="V55" s="1">
        <f t="shared" si="11"/>
        <v>0</v>
      </c>
    </row>
    <row r="56" spans="1:22" hidden="1" x14ac:dyDescent="0.15">
      <c r="A56" s="5">
        <v>45</v>
      </c>
      <c r="B56" s="11">
        <v>0.91666666666666696</v>
      </c>
      <c r="C56" s="11" t="s">
        <v>3</v>
      </c>
      <c r="D56" s="11">
        <v>0.95763888888888904</v>
      </c>
      <c r="E56" s="4">
        <v>8000</v>
      </c>
      <c r="F56" s="4">
        <v>9000</v>
      </c>
      <c r="G56" s="3" t="s">
        <v>76</v>
      </c>
      <c r="H56" s="3" t="s">
        <v>194</v>
      </c>
      <c r="I56" s="3" t="s">
        <v>194</v>
      </c>
      <c r="J56" s="3" t="s">
        <v>194</v>
      </c>
      <c r="K56" s="13"/>
      <c r="L56" s="2">
        <f t="shared" si="5"/>
        <v>8000</v>
      </c>
      <c r="O56" s="1">
        <f t="shared" si="7"/>
        <v>0</v>
      </c>
      <c r="P56" s="1">
        <f t="shared" si="8"/>
        <v>0</v>
      </c>
      <c r="Q56" s="1">
        <f t="shared" si="9"/>
        <v>0</v>
      </c>
      <c r="R56" s="1">
        <f t="shared" si="10"/>
        <v>0</v>
      </c>
      <c r="T56" s="1">
        <f>SUM(S$12:S56)</f>
        <v>1</v>
      </c>
      <c r="U56" s="1">
        <f>SUM(T$12:T56)</f>
        <v>40</v>
      </c>
      <c r="V56" s="1">
        <f t="shared" si="11"/>
        <v>0</v>
      </c>
    </row>
    <row r="57" spans="1:22" hidden="1" x14ac:dyDescent="0.15">
      <c r="A57" s="5">
        <v>46</v>
      </c>
      <c r="B57" s="11">
        <v>0.95833333333333304</v>
      </c>
      <c r="C57" s="11" t="s">
        <v>3</v>
      </c>
      <c r="D57" s="11">
        <v>0.999305555555556</v>
      </c>
      <c r="E57" s="4">
        <v>8000</v>
      </c>
      <c r="F57" s="4">
        <v>9000</v>
      </c>
      <c r="G57" s="3" t="s">
        <v>77</v>
      </c>
      <c r="H57" s="3" t="s">
        <v>195</v>
      </c>
      <c r="I57" s="3" t="s">
        <v>195</v>
      </c>
      <c r="J57" s="3" t="s">
        <v>195</v>
      </c>
      <c r="K57" s="13"/>
      <c r="L57" s="2">
        <f t="shared" si="5"/>
        <v>8000</v>
      </c>
      <c r="O57" s="1">
        <f t="shared" si="7"/>
        <v>0</v>
      </c>
      <c r="P57" s="1">
        <f t="shared" si="8"/>
        <v>0</v>
      </c>
      <c r="Q57" s="1">
        <f t="shared" si="9"/>
        <v>0</v>
      </c>
      <c r="R57" s="1">
        <f t="shared" si="10"/>
        <v>0</v>
      </c>
      <c r="T57" s="1">
        <f>SUM(S$12:S57)</f>
        <v>1</v>
      </c>
      <c r="U57" s="1">
        <f>SUM(T$12:T57)</f>
        <v>41</v>
      </c>
      <c r="V57" s="1">
        <f t="shared" si="11"/>
        <v>0</v>
      </c>
    </row>
    <row r="58" spans="1:22" hidden="1" x14ac:dyDescent="0.15">
      <c r="A58" s="5">
        <v>47</v>
      </c>
      <c r="B58" s="11">
        <v>0</v>
      </c>
      <c r="C58" s="11" t="s">
        <v>3</v>
      </c>
      <c r="D58" s="11">
        <v>4.0972222222222222E-2</v>
      </c>
      <c r="E58" s="4">
        <v>8000</v>
      </c>
      <c r="F58" s="4">
        <v>9000</v>
      </c>
      <c r="G58" s="3" t="s">
        <v>78</v>
      </c>
      <c r="H58" s="3" t="s">
        <v>196</v>
      </c>
      <c r="I58" s="3" t="s">
        <v>196</v>
      </c>
      <c r="J58" s="3" t="s">
        <v>196</v>
      </c>
      <c r="K58" s="13"/>
      <c r="L58" s="2">
        <f t="shared" si="5"/>
        <v>8000</v>
      </c>
      <c r="O58" s="1">
        <f t="shared" si="7"/>
        <v>0</v>
      </c>
      <c r="P58" s="1">
        <f t="shared" si="8"/>
        <v>0</v>
      </c>
      <c r="Q58" s="1">
        <f t="shared" si="9"/>
        <v>0</v>
      </c>
      <c r="R58" s="1">
        <f t="shared" si="10"/>
        <v>0</v>
      </c>
      <c r="T58" s="1">
        <f>SUM(S$12:S58)</f>
        <v>1</v>
      </c>
      <c r="U58" s="1">
        <f>SUM(T$12:T58)</f>
        <v>42</v>
      </c>
      <c r="V58" s="1">
        <f t="shared" si="11"/>
        <v>0</v>
      </c>
    </row>
    <row r="59" spans="1:22" hidden="1" x14ac:dyDescent="0.15">
      <c r="A59" s="5">
        <v>48</v>
      </c>
      <c r="B59" s="11">
        <v>4.1666666666666699E-2</v>
      </c>
      <c r="C59" s="11" t="s">
        <v>3</v>
      </c>
      <c r="D59" s="11">
        <v>8.2638888888888901E-2</v>
      </c>
      <c r="E59" s="4">
        <v>8000</v>
      </c>
      <c r="F59" s="4">
        <v>9000</v>
      </c>
      <c r="G59" s="3" t="s">
        <v>79</v>
      </c>
      <c r="H59" s="3" t="s">
        <v>197</v>
      </c>
      <c r="I59" s="3" t="s">
        <v>197</v>
      </c>
      <c r="J59" s="3" t="s">
        <v>197</v>
      </c>
      <c r="K59" s="13"/>
      <c r="L59" s="2">
        <f t="shared" si="5"/>
        <v>8000</v>
      </c>
      <c r="O59" s="1">
        <f t="shared" si="7"/>
        <v>0</v>
      </c>
      <c r="P59" s="1">
        <f t="shared" si="8"/>
        <v>0</v>
      </c>
      <c r="Q59" s="1">
        <f t="shared" si="9"/>
        <v>0</v>
      </c>
      <c r="R59" s="1">
        <f t="shared" si="10"/>
        <v>0</v>
      </c>
      <c r="T59" s="1">
        <f>SUM(S$12:S59)</f>
        <v>1</v>
      </c>
      <c r="U59" s="1">
        <f>SUM(T$12:T59)</f>
        <v>43</v>
      </c>
      <c r="V59" s="1">
        <f t="shared" si="11"/>
        <v>0</v>
      </c>
    </row>
    <row r="60" spans="1:22" hidden="1" x14ac:dyDescent="0.15">
      <c r="A60" s="5">
        <v>49</v>
      </c>
      <c r="B60" s="11">
        <v>8.3333333333333301E-2</v>
      </c>
      <c r="C60" s="11" t="s">
        <v>3</v>
      </c>
      <c r="D60" s="11">
        <v>0.124305555555556</v>
      </c>
      <c r="E60" s="4">
        <v>8000</v>
      </c>
      <c r="F60" s="4">
        <v>9000</v>
      </c>
      <c r="G60" s="3" t="s">
        <v>80</v>
      </c>
      <c r="H60" s="3" t="s">
        <v>198</v>
      </c>
      <c r="I60" s="3" t="s">
        <v>198</v>
      </c>
      <c r="J60" s="3" t="s">
        <v>198</v>
      </c>
      <c r="K60" s="13"/>
      <c r="L60" s="2">
        <f t="shared" si="5"/>
        <v>8000</v>
      </c>
      <c r="O60" s="1">
        <f t="shared" si="7"/>
        <v>0</v>
      </c>
      <c r="P60" s="1">
        <f t="shared" si="8"/>
        <v>0</v>
      </c>
      <c r="Q60" s="1">
        <f t="shared" si="9"/>
        <v>0</v>
      </c>
      <c r="R60" s="1">
        <f t="shared" si="10"/>
        <v>0</v>
      </c>
      <c r="T60" s="1">
        <f>SUM(S$12:S60)</f>
        <v>1</v>
      </c>
      <c r="U60" s="1">
        <f>SUM(T$12:T60)</f>
        <v>44</v>
      </c>
      <c r="V60" s="1">
        <f t="shared" si="11"/>
        <v>0</v>
      </c>
    </row>
    <row r="61" spans="1:22" hidden="1" x14ac:dyDescent="0.15">
      <c r="A61" s="5">
        <v>50</v>
      </c>
      <c r="B61" s="11">
        <v>0.125</v>
      </c>
      <c r="C61" s="11" t="s">
        <v>3</v>
      </c>
      <c r="D61" s="11">
        <v>0.16597222222222199</v>
      </c>
      <c r="E61" s="4">
        <v>8000</v>
      </c>
      <c r="F61" s="4">
        <v>9000</v>
      </c>
      <c r="G61" s="3" t="s">
        <v>81</v>
      </c>
      <c r="H61" s="3" t="s">
        <v>199</v>
      </c>
      <c r="I61" s="3" t="s">
        <v>199</v>
      </c>
      <c r="J61" s="3" t="s">
        <v>199</v>
      </c>
      <c r="K61" s="13"/>
      <c r="L61" s="2">
        <f t="shared" si="5"/>
        <v>8000</v>
      </c>
      <c r="O61" s="1">
        <f t="shared" si="7"/>
        <v>0</v>
      </c>
      <c r="P61" s="1">
        <f t="shared" si="8"/>
        <v>0</v>
      </c>
      <c r="Q61" s="1">
        <f t="shared" si="9"/>
        <v>0</v>
      </c>
      <c r="R61" s="1">
        <f t="shared" si="10"/>
        <v>0</v>
      </c>
      <c r="T61" s="1">
        <f>SUM(S$12:S61)</f>
        <v>1</v>
      </c>
      <c r="U61" s="1">
        <f>SUM(T$12:T61)</f>
        <v>45</v>
      </c>
      <c r="V61" s="1">
        <f t="shared" si="11"/>
        <v>0</v>
      </c>
    </row>
    <row r="62" spans="1:22" hidden="1" x14ac:dyDescent="0.15">
      <c r="A62" s="5">
        <v>51</v>
      </c>
      <c r="B62" s="11">
        <v>0.16666666666666699</v>
      </c>
      <c r="C62" s="11" t="s">
        <v>3</v>
      </c>
      <c r="D62" s="11">
        <v>0.20763888888888901</v>
      </c>
      <c r="E62" s="4">
        <v>8000</v>
      </c>
      <c r="F62" s="4">
        <v>9000</v>
      </c>
      <c r="G62" s="3" t="s">
        <v>82</v>
      </c>
      <c r="H62" s="3" t="s">
        <v>200</v>
      </c>
      <c r="I62" s="3" t="s">
        <v>200</v>
      </c>
      <c r="J62" s="3" t="s">
        <v>200</v>
      </c>
      <c r="K62" s="13"/>
      <c r="L62" s="2">
        <f t="shared" si="5"/>
        <v>8000</v>
      </c>
      <c r="O62" s="1">
        <f t="shared" si="7"/>
        <v>0</v>
      </c>
      <c r="P62" s="1">
        <f t="shared" si="8"/>
        <v>0</v>
      </c>
      <c r="Q62" s="1">
        <f t="shared" si="9"/>
        <v>0</v>
      </c>
      <c r="R62" s="1">
        <f t="shared" si="10"/>
        <v>0</v>
      </c>
      <c r="T62" s="1">
        <f>SUM(S$12:S62)</f>
        <v>1</v>
      </c>
      <c r="U62" s="1">
        <f>SUM(T$12:T62)</f>
        <v>46</v>
      </c>
      <c r="V62" s="1">
        <f t="shared" si="11"/>
        <v>0</v>
      </c>
    </row>
    <row r="63" spans="1:22" hidden="1" x14ac:dyDescent="0.15">
      <c r="A63" s="5">
        <v>52</v>
      </c>
      <c r="B63" s="11">
        <v>0.20833333333333301</v>
      </c>
      <c r="C63" s="11" t="s">
        <v>3</v>
      </c>
      <c r="D63" s="11">
        <v>0.249305555555556</v>
      </c>
      <c r="E63" s="4">
        <v>6000</v>
      </c>
      <c r="F63" s="4">
        <v>8000</v>
      </c>
      <c r="G63" s="3" t="s">
        <v>83</v>
      </c>
      <c r="H63" s="3" t="s">
        <v>201</v>
      </c>
      <c r="I63" s="3" t="s">
        <v>201</v>
      </c>
      <c r="J63" s="3" t="s">
        <v>201</v>
      </c>
      <c r="K63" s="13"/>
      <c r="L63" s="2">
        <f t="shared" si="5"/>
        <v>6000</v>
      </c>
      <c r="O63" s="1">
        <f t="shared" si="7"/>
        <v>0</v>
      </c>
      <c r="P63" s="1">
        <f t="shared" si="8"/>
        <v>0</v>
      </c>
      <c r="Q63" s="1">
        <f t="shared" si="9"/>
        <v>0</v>
      </c>
      <c r="R63" s="1">
        <f t="shared" si="10"/>
        <v>0</v>
      </c>
      <c r="T63" s="1">
        <f>SUM(S$12:S63)</f>
        <v>1</v>
      </c>
      <c r="U63" s="1">
        <f>SUM(T$12:T63)</f>
        <v>47</v>
      </c>
      <c r="V63" s="1">
        <f t="shared" si="11"/>
        <v>0</v>
      </c>
    </row>
    <row r="64" spans="1:22" hidden="1" x14ac:dyDescent="0.15">
      <c r="A64" s="5">
        <v>53</v>
      </c>
      <c r="B64" s="11">
        <v>0.25</v>
      </c>
      <c r="C64" s="11" t="s">
        <v>3</v>
      </c>
      <c r="D64" s="11">
        <v>0.29097222222222202</v>
      </c>
      <c r="E64" s="4">
        <v>6000</v>
      </c>
      <c r="F64" s="4">
        <v>8000</v>
      </c>
      <c r="G64" s="3" t="s">
        <v>84</v>
      </c>
      <c r="H64" s="3" t="s">
        <v>202</v>
      </c>
      <c r="I64" s="3" t="s">
        <v>202</v>
      </c>
      <c r="J64" s="3" t="s">
        <v>202</v>
      </c>
      <c r="K64" s="13"/>
      <c r="L64" s="2">
        <f t="shared" si="5"/>
        <v>6000</v>
      </c>
      <c r="O64" s="1">
        <f t="shared" si="7"/>
        <v>0</v>
      </c>
      <c r="P64" s="1">
        <f t="shared" si="8"/>
        <v>0</v>
      </c>
      <c r="Q64" s="1">
        <f t="shared" si="9"/>
        <v>0</v>
      </c>
      <c r="R64" s="1">
        <f t="shared" si="10"/>
        <v>0</v>
      </c>
      <c r="T64" s="1">
        <f>SUM(S$12:S64)</f>
        <v>1</v>
      </c>
      <c r="U64" s="1">
        <f>SUM(T$12:T64)</f>
        <v>48</v>
      </c>
      <c r="V64" s="1">
        <f t="shared" si="11"/>
        <v>0</v>
      </c>
    </row>
    <row r="65" spans="1:22" hidden="1" x14ac:dyDescent="0.15">
      <c r="A65" s="5">
        <v>54</v>
      </c>
      <c r="B65" s="11">
        <v>0.29166666666666702</v>
      </c>
      <c r="C65" s="11" t="s">
        <v>3</v>
      </c>
      <c r="D65" s="11">
        <v>0.33263888888888898</v>
      </c>
      <c r="E65" s="4">
        <v>6000</v>
      </c>
      <c r="F65" s="4">
        <v>8000</v>
      </c>
      <c r="G65" s="3" t="s">
        <v>85</v>
      </c>
      <c r="H65" s="3" t="s">
        <v>203</v>
      </c>
      <c r="I65" s="3" t="s">
        <v>203</v>
      </c>
      <c r="J65" s="3" t="s">
        <v>203</v>
      </c>
      <c r="K65" s="13"/>
      <c r="L65" s="2">
        <f t="shared" si="5"/>
        <v>6000</v>
      </c>
      <c r="O65" s="1">
        <f t="shared" si="7"/>
        <v>0</v>
      </c>
      <c r="P65" s="1">
        <f t="shared" si="8"/>
        <v>0</v>
      </c>
      <c r="Q65" s="1">
        <f t="shared" si="9"/>
        <v>0</v>
      </c>
      <c r="R65" s="1">
        <f t="shared" si="10"/>
        <v>0</v>
      </c>
      <c r="T65" s="1">
        <f>SUM(S$12:S65)</f>
        <v>1</v>
      </c>
      <c r="U65" s="1">
        <f>SUM(T$12:T65)</f>
        <v>49</v>
      </c>
      <c r="V65" s="1">
        <f t="shared" si="11"/>
        <v>0</v>
      </c>
    </row>
    <row r="66" spans="1:22" hidden="1" x14ac:dyDescent="0.15">
      <c r="A66" s="5">
        <v>55</v>
      </c>
      <c r="B66" s="11">
        <v>0.33333333333333298</v>
      </c>
      <c r="C66" s="11" t="s">
        <v>3</v>
      </c>
      <c r="D66" s="11">
        <v>0.374305555555556</v>
      </c>
      <c r="E66" s="4">
        <v>5000</v>
      </c>
      <c r="F66" s="4">
        <v>6000</v>
      </c>
      <c r="G66" s="3" t="s">
        <v>86</v>
      </c>
      <c r="H66" s="3" t="s">
        <v>204</v>
      </c>
      <c r="I66" s="3" t="s">
        <v>204</v>
      </c>
      <c r="J66" s="3" t="s">
        <v>204</v>
      </c>
      <c r="K66" s="13"/>
      <c r="L66" s="2">
        <f t="shared" si="5"/>
        <v>5000</v>
      </c>
      <c r="O66" s="1">
        <f t="shared" si="7"/>
        <v>0</v>
      </c>
      <c r="P66" s="1">
        <f t="shared" si="8"/>
        <v>0</v>
      </c>
      <c r="Q66" s="1">
        <f t="shared" si="9"/>
        <v>0</v>
      </c>
      <c r="R66" s="1">
        <f t="shared" si="10"/>
        <v>0</v>
      </c>
      <c r="T66" s="1">
        <f>SUM(S$12:S66)</f>
        <v>1</v>
      </c>
      <c r="U66" s="1">
        <f>SUM(T$12:T66)</f>
        <v>50</v>
      </c>
      <c r="V66" s="1">
        <f t="shared" si="11"/>
        <v>0</v>
      </c>
    </row>
    <row r="67" spans="1:22" hidden="1" x14ac:dyDescent="0.15">
      <c r="A67" s="5">
        <v>56</v>
      </c>
      <c r="B67" s="11">
        <v>0.375</v>
      </c>
      <c r="C67" s="11" t="s">
        <v>3</v>
      </c>
      <c r="D67" s="11">
        <v>0.41597222222222202</v>
      </c>
      <c r="E67" s="4">
        <v>5000</v>
      </c>
      <c r="F67" s="4">
        <v>6000</v>
      </c>
      <c r="G67" s="3" t="s">
        <v>87</v>
      </c>
      <c r="H67" s="3" t="s">
        <v>205</v>
      </c>
      <c r="I67" s="3" t="s">
        <v>205</v>
      </c>
      <c r="J67" s="3" t="s">
        <v>205</v>
      </c>
      <c r="K67" s="13"/>
      <c r="L67" s="2">
        <f t="shared" si="5"/>
        <v>5000</v>
      </c>
      <c r="O67" s="1">
        <f t="shared" si="7"/>
        <v>0</v>
      </c>
      <c r="P67" s="1">
        <f t="shared" si="8"/>
        <v>0</v>
      </c>
      <c r="Q67" s="1">
        <f t="shared" si="9"/>
        <v>0</v>
      </c>
      <c r="R67" s="1">
        <f t="shared" si="10"/>
        <v>0</v>
      </c>
      <c r="T67" s="1">
        <f>SUM(S$12:S67)</f>
        <v>1</v>
      </c>
      <c r="U67" s="1">
        <f>SUM(T$12:T67)</f>
        <v>51</v>
      </c>
      <c r="V67" s="1">
        <f t="shared" si="11"/>
        <v>0</v>
      </c>
    </row>
    <row r="68" spans="1:22" hidden="1" x14ac:dyDescent="0.15">
      <c r="A68" s="5">
        <v>57</v>
      </c>
      <c r="B68" s="11">
        <v>0.41666666666666702</v>
      </c>
      <c r="C68" s="11" t="s">
        <v>3</v>
      </c>
      <c r="D68" s="11">
        <v>0.45763888888888898</v>
      </c>
      <c r="E68" s="4">
        <v>5000</v>
      </c>
      <c r="F68" s="4">
        <v>6000</v>
      </c>
      <c r="G68" s="3" t="s">
        <v>88</v>
      </c>
      <c r="H68" s="3" t="s">
        <v>206</v>
      </c>
      <c r="I68" s="3" t="s">
        <v>206</v>
      </c>
      <c r="J68" s="3" t="s">
        <v>206</v>
      </c>
      <c r="K68" s="13"/>
      <c r="L68" s="2">
        <f t="shared" si="5"/>
        <v>5000</v>
      </c>
      <c r="O68" s="1">
        <f t="shared" si="7"/>
        <v>0</v>
      </c>
      <c r="P68" s="1">
        <f t="shared" si="8"/>
        <v>0</v>
      </c>
      <c r="Q68" s="1">
        <f t="shared" si="9"/>
        <v>0</v>
      </c>
      <c r="R68" s="1">
        <f t="shared" si="10"/>
        <v>0</v>
      </c>
      <c r="T68" s="1">
        <f>SUM(S$12:S68)</f>
        <v>1</v>
      </c>
      <c r="U68" s="1">
        <f>SUM(T$12:T68)</f>
        <v>52</v>
      </c>
      <c r="V68" s="1">
        <f t="shared" si="11"/>
        <v>0</v>
      </c>
    </row>
    <row r="69" spans="1:22" hidden="1" x14ac:dyDescent="0.15">
      <c r="A69" s="5">
        <v>58</v>
      </c>
      <c r="B69" s="11">
        <v>0.45833333333333298</v>
      </c>
      <c r="C69" s="11" t="s">
        <v>3</v>
      </c>
      <c r="D69" s="11">
        <v>0.499305555555556</v>
      </c>
      <c r="E69" s="4">
        <v>5000</v>
      </c>
      <c r="F69" s="4">
        <v>6000</v>
      </c>
      <c r="G69" s="3" t="s">
        <v>89</v>
      </c>
      <c r="H69" s="3" t="s">
        <v>207</v>
      </c>
      <c r="I69" s="3" t="s">
        <v>207</v>
      </c>
      <c r="J69" s="3" t="s">
        <v>207</v>
      </c>
      <c r="K69" s="13"/>
      <c r="L69" s="2">
        <f t="shared" si="5"/>
        <v>5000</v>
      </c>
      <c r="O69" s="1">
        <f t="shared" si="7"/>
        <v>0</v>
      </c>
      <c r="P69" s="1">
        <f t="shared" si="8"/>
        <v>0</v>
      </c>
      <c r="Q69" s="1">
        <f t="shared" si="9"/>
        <v>0</v>
      </c>
      <c r="R69" s="1">
        <f t="shared" si="10"/>
        <v>0</v>
      </c>
      <c r="T69" s="1">
        <f>SUM(S$12:S69)</f>
        <v>1</v>
      </c>
      <c r="U69" s="1">
        <f>SUM(T$12:T69)</f>
        <v>53</v>
      </c>
      <c r="V69" s="1">
        <f t="shared" si="11"/>
        <v>0</v>
      </c>
    </row>
    <row r="70" spans="1:22" hidden="1" x14ac:dyDescent="0.15">
      <c r="A70" s="5">
        <v>59</v>
      </c>
      <c r="B70" s="11">
        <v>0.54166666666666696</v>
      </c>
      <c r="C70" s="11" t="s">
        <v>3</v>
      </c>
      <c r="D70" s="11">
        <v>0.58263888888888904</v>
      </c>
      <c r="E70" s="4">
        <v>5000</v>
      </c>
      <c r="F70" s="4">
        <v>6000</v>
      </c>
      <c r="G70" s="3" t="s">
        <v>90</v>
      </c>
      <c r="H70" s="3" t="s">
        <v>208</v>
      </c>
      <c r="I70" s="3" t="s">
        <v>208</v>
      </c>
      <c r="J70" s="3" t="s">
        <v>208</v>
      </c>
      <c r="K70" s="13"/>
      <c r="L70" s="2">
        <f t="shared" si="5"/>
        <v>5000</v>
      </c>
      <c r="O70" s="1">
        <f t="shared" si="7"/>
        <v>0</v>
      </c>
      <c r="P70" s="1">
        <f t="shared" si="8"/>
        <v>0</v>
      </c>
      <c r="Q70" s="1">
        <f t="shared" si="9"/>
        <v>0</v>
      </c>
      <c r="R70" s="1">
        <f t="shared" si="10"/>
        <v>0</v>
      </c>
      <c r="T70" s="1">
        <f>SUM(S$12:S70)</f>
        <v>1</v>
      </c>
      <c r="U70" s="1">
        <f>SUM(T$12:T70)</f>
        <v>54</v>
      </c>
      <c r="V70" s="1">
        <f t="shared" si="11"/>
        <v>0</v>
      </c>
    </row>
    <row r="71" spans="1:22" hidden="1" x14ac:dyDescent="0.15">
      <c r="A71" s="5">
        <v>60</v>
      </c>
      <c r="B71" s="11">
        <v>0.58333333333333304</v>
      </c>
      <c r="C71" s="11" t="s">
        <v>3</v>
      </c>
      <c r="D71" s="11">
        <v>0.624305555555556</v>
      </c>
      <c r="E71" s="4">
        <v>5000</v>
      </c>
      <c r="F71" s="4">
        <v>6000</v>
      </c>
      <c r="G71" s="3" t="s">
        <v>91</v>
      </c>
      <c r="H71" s="3" t="s">
        <v>209</v>
      </c>
      <c r="I71" s="3" t="s">
        <v>209</v>
      </c>
      <c r="J71" s="3" t="s">
        <v>209</v>
      </c>
      <c r="K71" s="13"/>
      <c r="L71" s="2">
        <f t="shared" si="5"/>
        <v>5000</v>
      </c>
      <c r="O71" s="1">
        <f t="shared" si="7"/>
        <v>0</v>
      </c>
      <c r="P71" s="1">
        <f t="shared" si="8"/>
        <v>0</v>
      </c>
      <c r="Q71" s="1">
        <f t="shared" si="9"/>
        <v>0</v>
      </c>
      <c r="R71" s="1">
        <f t="shared" si="10"/>
        <v>0</v>
      </c>
      <c r="T71" s="1">
        <f>SUM(S$12:S71)</f>
        <v>1</v>
      </c>
      <c r="U71" s="1">
        <f>SUM(T$12:T71)</f>
        <v>55</v>
      </c>
      <c r="V71" s="1">
        <f t="shared" si="11"/>
        <v>0</v>
      </c>
    </row>
    <row r="72" spans="1:22" hidden="1" x14ac:dyDescent="0.15">
      <c r="A72" s="5">
        <v>61</v>
      </c>
      <c r="B72" s="11">
        <v>0.625</v>
      </c>
      <c r="C72" s="11" t="s">
        <v>3</v>
      </c>
      <c r="D72" s="11">
        <v>0.66597222222222197</v>
      </c>
      <c r="E72" s="4">
        <v>5000</v>
      </c>
      <c r="F72" s="4">
        <v>6000</v>
      </c>
      <c r="G72" s="3" t="s">
        <v>92</v>
      </c>
      <c r="H72" s="3" t="s">
        <v>210</v>
      </c>
      <c r="I72" s="3" t="s">
        <v>210</v>
      </c>
      <c r="J72" s="3" t="s">
        <v>210</v>
      </c>
      <c r="K72" s="13"/>
      <c r="L72" s="2">
        <f t="shared" si="5"/>
        <v>5000</v>
      </c>
      <c r="O72" s="1">
        <f t="shared" si="7"/>
        <v>0</v>
      </c>
      <c r="P72" s="1">
        <f t="shared" si="8"/>
        <v>0</v>
      </c>
      <c r="Q72" s="1">
        <f t="shared" si="9"/>
        <v>0</v>
      </c>
      <c r="R72" s="1">
        <f t="shared" si="10"/>
        <v>0</v>
      </c>
      <c r="T72" s="1">
        <f>SUM(S$12:S72)</f>
        <v>1</v>
      </c>
      <c r="U72" s="1">
        <f>SUM(T$12:T72)</f>
        <v>56</v>
      </c>
      <c r="V72" s="1">
        <f t="shared" si="11"/>
        <v>0</v>
      </c>
    </row>
    <row r="73" spans="1:22" hidden="1" x14ac:dyDescent="0.15">
      <c r="A73" s="5">
        <v>62</v>
      </c>
      <c r="B73" s="11">
        <v>0.66666666666666696</v>
      </c>
      <c r="C73" s="11" t="s">
        <v>3</v>
      </c>
      <c r="D73" s="11">
        <v>0.70763888888888904</v>
      </c>
      <c r="E73" s="4">
        <v>5000</v>
      </c>
      <c r="F73" s="4">
        <v>6000</v>
      </c>
      <c r="G73" s="3" t="s">
        <v>93</v>
      </c>
      <c r="H73" s="3" t="s">
        <v>211</v>
      </c>
      <c r="I73" s="3" t="s">
        <v>211</v>
      </c>
      <c r="J73" s="3" t="s">
        <v>211</v>
      </c>
      <c r="K73" s="13"/>
      <c r="L73" s="2">
        <f t="shared" si="5"/>
        <v>5000</v>
      </c>
      <c r="O73" s="1">
        <f t="shared" si="7"/>
        <v>0</v>
      </c>
      <c r="P73" s="1">
        <f t="shared" si="8"/>
        <v>0</v>
      </c>
      <c r="Q73" s="1">
        <f t="shared" si="9"/>
        <v>0</v>
      </c>
      <c r="R73" s="1">
        <f t="shared" si="10"/>
        <v>0</v>
      </c>
      <c r="T73" s="1">
        <f>SUM(S$12:S73)</f>
        <v>1</v>
      </c>
      <c r="U73" s="1">
        <f>SUM(T$12:T73)</f>
        <v>57</v>
      </c>
      <c r="V73" s="1">
        <f t="shared" si="11"/>
        <v>0</v>
      </c>
    </row>
    <row r="74" spans="1:22" hidden="1" x14ac:dyDescent="0.15">
      <c r="A74" s="5">
        <v>63</v>
      </c>
      <c r="B74" s="11">
        <v>0.70833333333333304</v>
      </c>
      <c r="C74" s="11" t="s">
        <v>3</v>
      </c>
      <c r="D74" s="11">
        <v>0.749305555555556</v>
      </c>
      <c r="E74" s="4">
        <v>6000</v>
      </c>
      <c r="F74" s="4">
        <v>8000</v>
      </c>
      <c r="G74" s="3" t="s">
        <v>94</v>
      </c>
      <c r="H74" s="3" t="s">
        <v>212</v>
      </c>
      <c r="I74" s="3" t="s">
        <v>212</v>
      </c>
      <c r="J74" s="3" t="s">
        <v>212</v>
      </c>
      <c r="K74" s="13"/>
      <c r="L74" s="2">
        <f t="shared" ref="L74:L126" si="12">IF($L$11,E74,F74)</f>
        <v>6000</v>
      </c>
      <c r="O74" s="1">
        <f t="shared" si="7"/>
        <v>0</v>
      </c>
      <c r="P74" s="1">
        <f t="shared" si="8"/>
        <v>0</v>
      </c>
      <c r="Q74" s="1">
        <f t="shared" si="9"/>
        <v>0</v>
      </c>
      <c r="R74" s="1">
        <f t="shared" si="10"/>
        <v>0</v>
      </c>
      <c r="T74" s="1">
        <f>SUM(S$12:S74)</f>
        <v>1</v>
      </c>
      <c r="U74" s="1">
        <f>SUM(T$12:T74)</f>
        <v>58</v>
      </c>
      <c r="V74" s="1">
        <f t="shared" si="11"/>
        <v>0</v>
      </c>
    </row>
    <row r="75" spans="1:22" hidden="1" x14ac:dyDescent="0.15">
      <c r="A75" s="5">
        <v>64</v>
      </c>
      <c r="B75" s="11">
        <v>0.75</v>
      </c>
      <c r="C75" s="11" t="s">
        <v>3</v>
      </c>
      <c r="D75" s="11">
        <v>0.79097222222222197</v>
      </c>
      <c r="E75" s="4">
        <v>6000</v>
      </c>
      <c r="F75" s="4">
        <v>8000</v>
      </c>
      <c r="G75" s="3" t="s">
        <v>95</v>
      </c>
      <c r="H75" s="3" t="s">
        <v>213</v>
      </c>
      <c r="I75" s="3" t="s">
        <v>213</v>
      </c>
      <c r="J75" s="3" t="s">
        <v>213</v>
      </c>
      <c r="K75" s="13"/>
      <c r="L75" s="2">
        <f t="shared" si="12"/>
        <v>6000</v>
      </c>
      <c r="O75" s="1">
        <f t="shared" si="7"/>
        <v>0</v>
      </c>
      <c r="P75" s="1">
        <f t="shared" si="8"/>
        <v>0</v>
      </c>
      <c r="Q75" s="1">
        <f t="shared" si="9"/>
        <v>0</v>
      </c>
      <c r="R75" s="1">
        <f t="shared" si="10"/>
        <v>0</v>
      </c>
      <c r="T75" s="1">
        <f>SUM(S$12:S75)</f>
        <v>1</v>
      </c>
      <c r="U75" s="1">
        <f>SUM(T$12:T75)</f>
        <v>59</v>
      </c>
      <c r="V75" s="1">
        <f t="shared" si="11"/>
        <v>0</v>
      </c>
    </row>
    <row r="76" spans="1:22" hidden="1" x14ac:dyDescent="0.15">
      <c r="A76" s="5">
        <v>65</v>
      </c>
      <c r="B76" s="11">
        <v>0.79166666666666696</v>
      </c>
      <c r="C76" s="11" t="s">
        <v>3</v>
      </c>
      <c r="D76" s="11">
        <v>0.83263888888888904</v>
      </c>
      <c r="E76" s="4">
        <v>6000</v>
      </c>
      <c r="F76" s="4">
        <v>8000</v>
      </c>
      <c r="G76" s="3" t="s">
        <v>96</v>
      </c>
      <c r="H76" s="3" t="s">
        <v>214</v>
      </c>
      <c r="I76" s="3" t="s">
        <v>214</v>
      </c>
      <c r="J76" s="3" t="s">
        <v>214</v>
      </c>
      <c r="K76" s="13"/>
      <c r="L76" s="2">
        <f t="shared" si="12"/>
        <v>6000</v>
      </c>
      <c r="O76" s="1">
        <f t="shared" ref="O76:O107" si="13">IF(O$11=G76,$A76,0)</f>
        <v>0</v>
      </c>
      <c r="P76" s="1">
        <f t="shared" ref="P76:P107" si="14">IF(P$11=H76,$A76,0)</f>
        <v>0</v>
      </c>
      <c r="Q76" s="1">
        <f t="shared" ref="Q76:Q107" si="15">IF(Q$11=I76,$A76,0)</f>
        <v>0</v>
      </c>
      <c r="R76" s="1">
        <f t="shared" ref="R76:R107" si="16">IF(R$11=J76,$A76,0)</f>
        <v>0</v>
      </c>
      <c r="T76" s="1">
        <f>SUM(S$12:S76)</f>
        <v>1</v>
      </c>
      <c r="U76" s="1">
        <f>SUM(T$12:T76)</f>
        <v>60</v>
      </c>
      <c r="V76" s="1">
        <f t="shared" ref="V76:V107" si="17">IF(U76=0,0,IF(U76&lt;=S$127,L76,0))</f>
        <v>0</v>
      </c>
    </row>
    <row r="77" spans="1:22" hidden="1" x14ac:dyDescent="0.15">
      <c r="A77" s="5">
        <v>66</v>
      </c>
      <c r="B77" s="11">
        <v>0.83333333333333304</v>
      </c>
      <c r="C77" s="11" t="s">
        <v>3</v>
      </c>
      <c r="D77" s="11">
        <v>0.874305555555556</v>
      </c>
      <c r="E77" s="4">
        <v>6000</v>
      </c>
      <c r="F77" s="4">
        <v>8000</v>
      </c>
      <c r="G77" s="3" t="s">
        <v>97</v>
      </c>
      <c r="H77" s="3" t="s">
        <v>215</v>
      </c>
      <c r="I77" s="3" t="s">
        <v>215</v>
      </c>
      <c r="J77" s="3" t="s">
        <v>215</v>
      </c>
      <c r="K77" s="13"/>
      <c r="L77" s="2">
        <f t="shared" si="12"/>
        <v>6000</v>
      </c>
      <c r="O77" s="1">
        <f t="shared" si="13"/>
        <v>0</v>
      </c>
      <c r="P77" s="1">
        <f t="shared" si="14"/>
        <v>0</v>
      </c>
      <c r="Q77" s="1">
        <f t="shared" si="15"/>
        <v>0</v>
      </c>
      <c r="R77" s="1">
        <f t="shared" si="16"/>
        <v>0</v>
      </c>
      <c r="T77" s="1">
        <f>SUM(S$12:S77)</f>
        <v>1</v>
      </c>
      <c r="U77" s="1">
        <f>SUM(T$12:T77)</f>
        <v>61</v>
      </c>
      <c r="V77" s="1">
        <f t="shared" si="17"/>
        <v>0</v>
      </c>
    </row>
    <row r="78" spans="1:22" hidden="1" x14ac:dyDescent="0.15">
      <c r="A78" s="5">
        <v>67</v>
      </c>
      <c r="B78" s="11">
        <v>0.875</v>
      </c>
      <c r="C78" s="11" t="s">
        <v>3</v>
      </c>
      <c r="D78" s="11">
        <v>0.91597222222222197</v>
      </c>
      <c r="E78" s="4">
        <v>6000</v>
      </c>
      <c r="F78" s="4">
        <v>8000</v>
      </c>
      <c r="G78" s="3" t="s">
        <v>98</v>
      </c>
      <c r="H78" s="3" t="s">
        <v>216</v>
      </c>
      <c r="I78" s="3" t="s">
        <v>216</v>
      </c>
      <c r="J78" s="3" t="s">
        <v>216</v>
      </c>
      <c r="K78" s="13"/>
      <c r="L78" s="2">
        <f t="shared" si="12"/>
        <v>6000</v>
      </c>
      <c r="O78" s="1">
        <f t="shared" si="13"/>
        <v>0</v>
      </c>
      <c r="P78" s="1">
        <f t="shared" si="14"/>
        <v>0</v>
      </c>
      <c r="Q78" s="1">
        <f t="shared" si="15"/>
        <v>0</v>
      </c>
      <c r="R78" s="1">
        <f t="shared" si="16"/>
        <v>0</v>
      </c>
      <c r="T78" s="1">
        <f>SUM(S$12:S78)</f>
        <v>1</v>
      </c>
      <c r="U78" s="1">
        <f>SUM(T$12:T78)</f>
        <v>62</v>
      </c>
      <c r="V78" s="1">
        <f t="shared" si="17"/>
        <v>0</v>
      </c>
    </row>
    <row r="79" spans="1:22" hidden="1" x14ac:dyDescent="0.15">
      <c r="A79" s="5">
        <v>68</v>
      </c>
      <c r="B79" s="11">
        <v>0.91666666666666696</v>
      </c>
      <c r="C79" s="11" t="s">
        <v>3</v>
      </c>
      <c r="D79" s="11">
        <v>0.95763888888888904</v>
      </c>
      <c r="E79" s="4">
        <v>8000</v>
      </c>
      <c r="F79" s="4">
        <v>9000</v>
      </c>
      <c r="G79" s="3" t="s">
        <v>99</v>
      </c>
      <c r="H79" s="3" t="s">
        <v>217</v>
      </c>
      <c r="I79" s="3" t="s">
        <v>217</v>
      </c>
      <c r="J79" s="3" t="s">
        <v>217</v>
      </c>
      <c r="K79" s="13"/>
      <c r="L79" s="2">
        <f t="shared" si="12"/>
        <v>8000</v>
      </c>
      <c r="O79" s="1">
        <f t="shared" si="13"/>
        <v>0</v>
      </c>
      <c r="P79" s="1">
        <f t="shared" si="14"/>
        <v>0</v>
      </c>
      <c r="Q79" s="1">
        <f t="shared" si="15"/>
        <v>0</v>
      </c>
      <c r="R79" s="1">
        <f t="shared" si="16"/>
        <v>0</v>
      </c>
      <c r="T79" s="1">
        <f>SUM(S$12:S79)</f>
        <v>1</v>
      </c>
      <c r="U79" s="1">
        <f>SUM(T$12:T79)</f>
        <v>63</v>
      </c>
      <c r="V79" s="1">
        <f t="shared" si="17"/>
        <v>0</v>
      </c>
    </row>
    <row r="80" spans="1:22" hidden="1" x14ac:dyDescent="0.15">
      <c r="A80" s="5">
        <v>69</v>
      </c>
      <c r="B80" s="11">
        <v>0.95833333333333304</v>
      </c>
      <c r="C80" s="11" t="s">
        <v>3</v>
      </c>
      <c r="D80" s="11">
        <v>0.999305555555556</v>
      </c>
      <c r="E80" s="4">
        <v>8000</v>
      </c>
      <c r="F80" s="4">
        <v>9000</v>
      </c>
      <c r="G80" s="3" t="s">
        <v>100</v>
      </c>
      <c r="H80" s="3" t="s">
        <v>218</v>
      </c>
      <c r="I80" s="3" t="s">
        <v>218</v>
      </c>
      <c r="J80" s="3" t="s">
        <v>218</v>
      </c>
      <c r="K80" s="13"/>
      <c r="L80" s="2">
        <f t="shared" si="12"/>
        <v>8000</v>
      </c>
      <c r="O80" s="1">
        <f t="shared" si="13"/>
        <v>0</v>
      </c>
      <c r="P80" s="1">
        <f t="shared" si="14"/>
        <v>0</v>
      </c>
      <c r="Q80" s="1">
        <f t="shared" si="15"/>
        <v>0</v>
      </c>
      <c r="R80" s="1">
        <f t="shared" si="16"/>
        <v>0</v>
      </c>
      <c r="T80" s="1">
        <f>SUM(S$12:S80)</f>
        <v>1</v>
      </c>
      <c r="U80" s="1">
        <f>SUM(T$12:T80)</f>
        <v>64</v>
      </c>
      <c r="V80" s="1">
        <f t="shared" si="17"/>
        <v>0</v>
      </c>
    </row>
    <row r="81" spans="1:22" hidden="1" x14ac:dyDescent="0.15">
      <c r="A81" s="5">
        <v>70</v>
      </c>
      <c r="B81" s="11">
        <v>0</v>
      </c>
      <c r="C81" s="11" t="s">
        <v>3</v>
      </c>
      <c r="D81" s="11">
        <v>4.0972222222222222E-2</v>
      </c>
      <c r="E81" s="4">
        <v>8000</v>
      </c>
      <c r="F81" s="4">
        <v>9000</v>
      </c>
      <c r="G81" s="3" t="s">
        <v>101</v>
      </c>
      <c r="H81" s="3" t="s">
        <v>219</v>
      </c>
      <c r="I81" s="3" t="s">
        <v>219</v>
      </c>
      <c r="J81" s="3" t="s">
        <v>219</v>
      </c>
      <c r="K81" s="13"/>
      <c r="L81" s="2">
        <f t="shared" si="12"/>
        <v>8000</v>
      </c>
      <c r="O81" s="1">
        <f t="shared" si="13"/>
        <v>0</v>
      </c>
      <c r="P81" s="1">
        <f t="shared" si="14"/>
        <v>0</v>
      </c>
      <c r="Q81" s="1">
        <f t="shared" si="15"/>
        <v>0</v>
      </c>
      <c r="R81" s="1">
        <f t="shared" si="16"/>
        <v>0</v>
      </c>
      <c r="T81" s="1">
        <f>SUM(S$12:S81)</f>
        <v>1</v>
      </c>
      <c r="U81" s="1">
        <f>SUM(T$12:T81)</f>
        <v>65</v>
      </c>
      <c r="V81" s="1">
        <f t="shared" si="17"/>
        <v>0</v>
      </c>
    </row>
    <row r="82" spans="1:22" hidden="1" x14ac:dyDescent="0.15">
      <c r="A82" s="5">
        <v>71</v>
      </c>
      <c r="B82" s="11">
        <v>4.1666666666666699E-2</v>
      </c>
      <c r="C82" s="11" t="s">
        <v>3</v>
      </c>
      <c r="D82" s="11">
        <v>8.2638888888888901E-2</v>
      </c>
      <c r="E82" s="4">
        <v>8000</v>
      </c>
      <c r="F82" s="4">
        <v>9000</v>
      </c>
      <c r="G82" s="3" t="s">
        <v>102</v>
      </c>
      <c r="H82" s="3" t="s">
        <v>220</v>
      </c>
      <c r="I82" s="3" t="s">
        <v>220</v>
      </c>
      <c r="J82" s="3" t="s">
        <v>220</v>
      </c>
      <c r="K82" s="13"/>
      <c r="L82" s="2">
        <f t="shared" si="12"/>
        <v>8000</v>
      </c>
      <c r="O82" s="1">
        <f t="shared" si="13"/>
        <v>0</v>
      </c>
      <c r="P82" s="1">
        <f t="shared" si="14"/>
        <v>0</v>
      </c>
      <c r="Q82" s="1">
        <f t="shared" si="15"/>
        <v>0</v>
      </c>
      <c r="R82" s="1">
        <f t="shared" si="16"/>
        <v>0</v>
      </c>
      <c r="T82" s="1">
        <f>SUM(S$12:S82)</f>
        <v>1</v>
      </c>
      <c r="U82" s="1">
        <f>SUM(T$12:T82)</f>
        <v>66</v>
      </c>
      <c r="V82" s="1">
        <f t="shared" si="17"/>
        <v>0</v>
      </c>
    </row>
    <row r="83" spans="1:22" hidden="1" x14ac:dyDescent="0.15">
      <c r="A83" s="5">
        <v>72</v>
      </c>
      <c r="B83" s="11">
        <v>8.3333333333333301E-2</v>
      </c>
      <c r="C83" s="11" t="s">
        <v>3</v>
      </c>
      <c r="D83" s="11">
        <v>0.124305555555556</v>
      </c>
      <c r="E83" s="4">
        <v>8000</v>
      </c>
      <c r="F83" s="4">
        <v>9000</v>
      </c>
      <c r="G83" s="3" t="s">
        <v>103</v>
      </c>
      <c r="H83" s="3" t="s">
        <v>221</v>
      </c>
      <c r="I83" s="3" t="s">
        <v>221</v>
      </c>
      <c r="J83" s="3" t="s">
        <v>221</v>
      </c>
      <c r="K83" s="13"/>
      <c r="L83" s="2">
        <f t="shared" si="12"/>
        <v>8000</v>
      </c>
      <c r="O83" s="1">
        <f t="shared" si="13"/>
        <v>0</v>
      </c>
      <c r="P83" s="1">
        <f t="shared" si="14"/>
        <v>0</v>
      </c>
      <c r="Q83" s="1">
        <f t="shared" si="15"/>
        <v>0</v>
      </c>
      <c r="R83" s="1">
        <f t="shared" si="16"/>
        <v>0</v>
      </c>
      <c r="T83" s="1">
        <f>SUM(S$12:S83)</f>
        <v>1</v>
      </c>
      <c r="U83" s="1">
        <f>SUM(T$12:T83)</f>
        <v>67</v>
      </c>
      <c r="V83" s="1">
        <f t="shared" si="17"/>
        <v>0</v>
      </c>
    </row>
    <row r="84" spans="1:22" hidden="1" x14ac:dyDescent="0.15">
      <c r="A84" s="5">
        <v>73</v>
      </c>
      <c r="B84" s="11">
        <v>0.125</v>
      </c>
      <c r="C84" s="11" t="s">
        <v>3</v>
      </c>
      <c r="D84" s="11">
        <v>0.16597222222222199</v>
      </c>
      <c r="E84" s="4">
        <v>8000</v>
      </c>
      <c r="F84" s="4">
        <v>9000</v>
      </c>
      <c r="G84" s="3" t="s">
        <v>104</v>
      </c>
      <c r="H84" s="3" t="s">
        <v>222</v>
      </c>
      <c r="I84" s="3" t="s">
        <v>222</v>
      </c>
      <c r="J84" s="3" t="s">
        <v>222</v>
      </c>
      <c r="K84" s="13"/>
      <c r="L84" s="2">
        <f t="shared" si="12"/>
        <v>8000</v>
      </c>
      <c r="O84" s="1">
        <f t="shared" si="13"/>
        <v>0</v>
      </c>
      <c r="P84" s="1">
        <f t="shared" si="14"/>
        <v>0</v>
      </c>
      <c r="Q84" s="1">
        <f t="shared" si="15"/>
        <v>0</v>
      </c>
      <c r="R84" s="1">
        <f t="shared" si="16"/>
        <v>0</v>
      </c>
      <c r="T84" s="1">
        <f>SUM(S$12:S84)</f>
        <v>1</v>
      </c>
      <c r="U84" s="1">
        <f>SUM(T$12:T84)</f>
        <v>68</v>
      </c>
      <c r="V84" s="1">
        <f t="shared" si="17"/>
        <v>0</v>
      </c>
    </row>
    <row r="85" spans="1:22" hidden="1" x14ac:dyDescent="0.15">
      <c r="A85" s="5">
        <v>74</v>
      </c>
      <c r="B85" s="11">
        <v>0.16666666666666699</v>
      </c>
      <c r="C85" s="11" t="s">
        <v>3</v>
      </c>
      <c r="D85" s="11">
        <v>0.20763888888888901</v>
      </c>
      <c r="E85" s="4">
        <v>8000</v>
      </c>
      <c r="F85" s="4">
        <v>9000</v>
      </c>
      <c r="G85" s="3" t="s">
        <v>105</v>
      </c>
      <c r="H85" s="3" t="s">
        <v>223</v>
      </c>
      <c r="I85" s="3" t="s">
        <v>223</v>
      </c>
      <c r="J85" s="3" t="s">
        <v>223</v>
      </c>
      <c r="K85" s="13"/>
      <c r="L85" s="2">
        <f t="shared" si="12"/>
        <v>8000</v>
      </c>
      <c r="O85" s="1">
        <f t="shared" si="13"/>
        <v>0</v>
      </c>
      <c r="P85" s="1">
        <f t="shared" si="14"/>
        <v>0</v>
      </c>
      <c r="Q85" s="1">
        <f t="shared" si="15"/>
        <v>0</v>
      </c>
      <c r="R85" s="1">
        <f t="shared" si="16"/>
        <v>0</v>
      </c>
      <c r="T85" s="1">
        <f>SUM(S$12:S85)</f>
        <v>1</v>
      </c>
      <c r="U85" s="1">
        <f>SUM(T$12:T85)</f>
        <v>69</v>
      </c>
      <c r="V85" s="1">
        <f t="shared" si="17"/>
        <v>0</v>
      </c>
    </row>
    <row r="86" spans="1:22" hidden="1" x14ac:dyDescent="0.15">
      <c r="A86" s="5">
        <v>75</v>
      </c>
      <c r="B86" s="11">
        <v>0.20833333333333301</v>
      </c>
      <c r="C86" s="11" t="s">
        <v>3</v>
      </c>
      <c r="D86" s="11">
        <v>0.249305555555556</v>
      </c>
      <c r="E86" s="4">
        <v>6000</v>
      </c>
      <c r="F86" s="4">
        <v>8000</v>
      </c>
      <c r="G86" s="3" t="s">
        <v>106</v>
      </c>
      <c r="H86" s="3" t="s">
        <v>224</v>
      </c>
      <c r="I86" s="3" t="s">
        <v>224</v>
      </c>
      <c r="J86" s="3" t="s">
        <v>224</v>
      </c>
      <c r="K86" s="13"/>
      <c r="L86" s="2">
        <f t="shared" si="12"/>
        <v>6000</v>
      </c>
      <c r="O86" s="1">
        <f t="shared" si="13"/>
        <v>0</v>
      </c>
      <c r="P86" s="1">
        <f t="shared" si="14"/>
        <v>0</v>
      </c>
      <c r="Q86" s="1">
        <f t="shared" si="15"/>
        <v>0</v>
      </c>
      <c r="R86" s="1">
        <f t="shared" si="16"/>
        <v>0</v>
      </c>
      <c r="T86" s="1">
        <f>SUM(S$12:S86)</f>
        <v>1</v>
      </c>
      <c r="U86" s="1">
        <f>SUM(T$12:T86)</f>
        <v>70</v>
      </c>
      <c r="V86" s="1">
        <f t="shared" si="17"/>
        <v>0</v>
      </c>
    </row>
    <row r="87" spans="1:22" hidden="1" x14ac:dyDescent="0.15">
      <c r="A87" s="5">
        <v>76</v>
      </c>
      <c r="B87" s="11">
        <v>0.25</v>
      </c>
      <c r="C87" s="11" t="s">
        <v>3</v>
      </c>
      <c r="D87" s="11">
        <v>0.29097222222222202</v>
      </c>
      <c r="E87" s="4">
        <v>6000</v>
      </c>
      <c r="F87" s="4">
        <v>8000</v>
      </c>
      <c r="G87" s="3" t="s">
        <v>107</v>
      </c>
      <c r="H87" s="3" t="s">
        <v>225</v>
      </c>
      <c r="I87" s="3" t="s">
        <v>225</v>
      </c>
      <c r="J87" s="3" t="s">
        <v>225</v>
      </c>
      <c r="K87" s="13"/>
      <c r="L87" s="2">
        <f t="shared" si="12"/>
        <v>6000</v>
      </c>
      <c r="O87" s="1">
        <f t="shared" si="13"/>
        <v>0</v>
      </c>
      <c r="P87" s="1">
        <f t="shared" si="14"/>
        <v>0</v>
      </c>
      <c r="Q87" s="1">
        <f t="shared" si="15"/>
        <v>0</v>
      </c>
      <c r="R87" s="1">
        <f t="shared" si="16"/>
        <v>0</v>
      </c>
      <c r="T87" s="1">
        <f>SUM(S$12:S87)</f>
        <v>1</v>
      </c>
      <c r="U87" s="1">
        <f>SUM(T$12:T87)</f>
        <v>71</v>
      </c>
      <c r="V87" s="1">
        <f t="shared" si="17"/>
        <v>0</v>
      </c>
    </row>
    <row r="88" spans="1:22" hidden="1" x14ac:dyDescent="0.15">
      <c r="A88" s="5">
        <v>77</v>
      </c>
      <c r="B88" s="11">
        <v>0.29166666666666702</v>
      </c>
      <c r="C88" s="11" t="s">
        <v>3</v>
      </c>
      <c r="D88" s="11">
        <v>0.33263888888888898</v>
      </c>
      <c r="E88" s="4">
        <v>6000</v>
      </c>
      <c r="F88" s="4">
        <v>8000</v>
      </c>
      <c r="G88" s="3" t="s">
        <v>108</v>
      </c>
      <c r="H88" s="3" t="s">
        <v>226</v>
      </c>
      <c r="I88" s="3" t="s">
        <v>226</v>
      </c>
      <c r="J88" s="3" t="s">
        <v>226</v>
      </c>
      <c r="K88" s="13"/>
      <c r="L88" s="2">
        <f t="shared" si="12"/>
        <v>6000</v>
      </c>
      <c r="O88" s="1">
        <f t="shared" si="13"/>
        <v>0</v>
      </c>
      <c r="P88" s="1">
        <f t="shared" si="14"/>
        <v>0</v>
      </c>
      <c r="Q88" s="1">
        <f t="shared" si="15"/>
        <v>0</v>
      </c>
      <c r="R88" s="1">
        <f t="shared" si="16"/>
        <v>0</v>
      </c>
      <c r="T88" s="1">
        <f>SUM(S$12:S88)</f>
        <v>1</v>
      </c>
      <c r="U88" s="1">
        <f>SUM(T$12:T88)</f>
        <v>72</v>
      </c>
      <c r="V88" s="1">
        <f t="shared" si="17"/>
        <v>0</v>
      </c>
    </row>
    <row r="89" spans="1:22" hidden="1" x14ac:dyDescent="0.15">
      <c r="A89" s="5">
        <v>78</v>
      </c>
      <c r="B89" s="11">
        <v>0.33333333333333298</v>
      </c>
      <c r="C89" s="11" t="s">
        <v>3</v>
      </c>
      <c r="D89" s="11">
        <v>0.374305555555556</v>
      </c>
      <c r="E89" s="4">
        <v>5000</v>
      </c>
      <c r="F89" s="4">
        <v>6000</v>
      </c>
      <c r="G89" s="3" t="s">
        <v>109</v>
      </c>
      <c r="H89" s="3" t="s">
        <v>227</v>
      </c>
      <c r="I89" s="3" t="s">
        <v>227</v>
      </c>
      <c r="J89" s="3" t="s">
        <v>227</v>
      </c>
      <c r="K89" s="13"/>
      <c r="L89" s="2">
        <f t="shared" si="12"/>
        <v>5000</v>
      </c>
      <c r="O89" s="1">
        <f t="shared" si="13"/>
        <v>0</v>
      </c>
      <c r="P89" s="1">
        <f t="shared" si="14"/>
        <v>0</v>
      </c>
      <c r="Q89" s="1">
        <f t="shared" si="15"/>
        <v>0</v>
      </c>
      <c r="R89" s="1">
        <f t="shared" si="16"/>
        <v>0</v>
      </c>
      <c r="T89" s="1">
        <f>SUM(S$12:S89)</f>
        <v>1</v>
      </c>
      <c r="U89" s="1">
        <f>SUM(T$12:T89)</f>
        <v>73</v>
      </c>
      <c r="V89" s="1">
        <f t="shared" si="17"/>
        <v>0</v>
      </c>
    </row>
    <row r="90" spans="1:22" hidden="1" x14ac:dyDescent="0.15">
      <c r="A90" s="5">
        <v>79</v>
      </c>
      <c r="B90" s="11">
        <v>0.375</v>
      </c>
      <c r="C90" s="11" t="s">
        <v>3</v>
      </c>
      <c r="D90" s="11">
        <v>0.41597222222222202</v>
      </c>
      <c r="E90" s="4">
        <v>5000</v>
      </c>
      <c r="F90" s="4">
        <v>6000</v>
      </c>
      <c r="G90" s="3" t="s">
        <v>110</v>
      </c>
      <c r="H90" s="3" t="s">
        <v>228</v>
      </c>
      <c r="I90" s="3" t="s">
        <v>228</v>
      </c>
      <c r="J90" s="3" t="s">
        <v>228</v>
      </c>
      <c r="K90" s="13"/>
      <c r="L90" s="2">
        <f t="shared" si="12"/>
        <v>5000</v>
      </c>
      <c r="O90" s="1">
        <f t="shared" si="13"/>
        <v>0</v>
      </c>
      <c r="P90" s="1">
        <f t="shared" si="14"/>
        <v>0</v>
      </c>
      <c r="Q90" s="1">
        <f t="shared" si="15"/>
        <v>0</v>
      </c>
      <c r="R90" s="1">
        <f t="shared" si="16"/>
        <v>0</v>
      </c>
      <c r="T90" s="1">
        <f>SUM(S$12:S90)</f>
        <v>1</v>
      </c>
      <c r="U90" s="1">
        <f>SUM(T$12:T90)</f>
        <v>74</v>
      </c>
      <c r="V90" s="1">
        <f t="shared" si="17"/>
        <v>0</v>
      </c>
    </row>
    <row r="91" spans="1:22" hidden="1" x14ac:dyDescent="0.15">
      <c r="A91" s="5">
        <v>80</v>
      </c>
      <c r="B91" s="11">
        <v>0.41666666666666702</v>
      </c>
      <c r="C91" s="11" t="s">
        <v>3</v>
      </c>
      <c r="D91" s="11">
        <v>0.45763888888888898</v>
      </c>
      <c r="E91" s="4">
        <v>5000</v>
      </c>
      <c r="F91" s="4">
        <v>6000</v>
      </c>
      <c r="G91" s="3" t="s">
        <v>111</v>
      </c>
      <c r="H91" s="3" t="s">
        <v>229</v>
      </c>
      <c r="I91" s="3" t="s">
        <v>229</v>
      </c>
      <c r="J91" s="3" t="s">
        <v>229</v>
      </c>
      <c r="K91" s="13"/>
      <c r="L91" s="2">
        <f t="shared" si="12"/>
        <v>5000</v>
      </c>
      <c r="O91" s="1">
        <f t="shared" si="13"/>
        <v>0</v>
      </c>
      <c r="P91" s="1">
        <f t="shared" si="14"/>
        <v>0</v>
      </c>
      <c r="Q91" s="1">
        <f t="shared" si="15"/>
        <v>0</v>
      </c>
      <c r="R91" s="1">
        <f t="shared" si="16"/>
        <v>0</v>
      </c>
      <c r="T91" s="1">
        <f>SUM(S$12:S91)</f>
        <v>1</v>
      </c>
      <c r="U91" s="1">
        <f>SUM(T$12:T91)</f>
        <v>75</v>
      </c>
      <c r="V91" s="1">
        <f t="shared" si="17"/>
        <v>0</v>
      </c>
    </row>
    <row r="92" spans="1:22" hidden="1" x14ac:dyDescent="0.15">
      <c r="A92" s="5">
        <v>81</v>
      </c>
      <c r="B92" s="11">
        <v>0.45833333333333298</v>
      </c>
      <c r="C92" s="11" t="s">
        <v>3</v>
      </c>
      <c r="D92" s="11">
        <v>0.499305555555556</v>
      </c>
      <c r="E92" s="4">
        <v>5000</v>
      </c>
      <c r="F92" s="4">
        <v>6000</v>
      </c>
      <c r="G92" s="3" t="s">
        <v>112</v>
      </c>
      <c r="H92" s="3" t="s">
        <v>230</v>
      </c>
      <c r="I92" s="3" t="s">
        <v>230</v>
      </c>
      <c r="J92" s="3" t="s">
        <v>230</v>
      </c>
      <c r="K92" s="13"/>
      <c r="L92" s="2">
        <f t="shared" si="12"/>
        <v>5000</v>
      </c>
      <c r="O92" s="1">
        <f t="shared" si="13"/>
        <v>0</v>
      </c>
      <c r="P92" s="1">
        <f t="shared" si="14"/>
        <v>0</v>
      </c>
      <c r="Q92" s="1">
        <f t="shared" si="15"/>
        <v>0</v>
      </c>
      <c r="R92" s="1">
        <f t="shared" si="16"/>
        <v>0</v>
      </c>
      <c r="T92" s="1">
        <f>SUM(S$12:S92)</f>
        <v>1</v>
      </c>
      <c r="U92" s="1">
        <f>SUM(T$12:T92)</f>
        <v>76</v>
      </c>
      <c r="V92" s="1">
        <f t="shared" si="17"/>
        <v>0</v>
      </c>
    </row>
    <row r="93" spans="1:22" hidden="1" x14ac:dyDescent="0.15">
      <c r="A93" s="5">
        <v>82</v>
      </c>
      <c r="B93" s="11">
        <v>0.54166666666666696</v>
      </c>
      <c r="C93" s="11" t="s">
        <v>3</v>
      </c>
      <c r="D93" s="11">
        <v>0.58263888888888904</v>
      </c>
      <c r="E93" s="4">
        <v>5000</v>
      </c>
      <c r="F93" s="4">
        <v>6000</v>
      </c>
      <c r="G93" s="3" t="s">
        <v>113</v>
      </c>
      <c r="H93" s="3" t="s">
        <v>231</v>
      </c>
      <c r="I93" s="3" t="s">
        <v>231</v>
      </c>
      <c r="J93" s="3" t="s">
        <v>231</v>
      </c>
      <c r="K93" s="13"/>
      <c r="L93" s="2">
        <f t="shared" si="12"/>
        <v>5000</v>
      </c>
      <c r="O93" s="1">
        <f t="shared" si="13"/>
        <v>0</v>
      </c>
      <c r="P93" s="1">
        <f t="shared" si="14"/>
        <v>0</v>
      </c>
      <c r="Q93" s="1">
        <f t="shared" si="15"/>
        <v>0</v>
      </c>
      <c r="R93" s="1">
        <f t="shared" si="16"/>
        <v>0</v>
      </c>
      <c r="T93" s="1">
        <f>SUM(S$12:S93)</f>
        <v>1</v>
      </c>
      <c r="U93" s="1">
        <f>SUM(T$12:T93)</f>
        <v>77</v>
      </c>
      <c r="V93" s="1">
        <f t="shared" si="17"/>
        <v>0</v>
      </c>
    </row>
    <row r="94" spans="1:22" hidden="1" x14ac:dyDescent="0.15">
      <c r="A94" s="5">
        <v>83</v>
      </c>
      <c r="B94" s="11">
        <v>0.58333333333333304</v>
      </c>
      <c r="C94" s="11" t="s">
        <v>3</v>
      </c>
      <c r="D94" s="11">
        <v>0.624305555555556</v>
      </c>
      <c r="E94" s="4">
        <v>5000</v>
      </c>
      <c r="F94" s="4">
        <v>6000</v>
      </c>
      <c r="G94" s="3" t="s">
        <v>114</v>
      </c>
      <c r="H94" s="3" t="s">
        <v>232</v>
      </c>
      <c r="I94" s="3" t="s">
        <v>232</v>
      </c>
      <c r="J94" s="3" t="s">
        <v>232</v>
      </c>
      <c r="K94" s="13"/>
      <c r="L94" s="2">
        <f t="shared" si="12"/>
        <v>5000</v>
      </c>
      <c r="O94" s="1">
        <f t="shared" si="13"/>
        <v>0</v>
      </c>
      <c r="P94" s="1">
        <f t="shared" si="14"/>
        <v>0</v>
      </c>
      <c r="Q94" s="1">
        <f t="shared" si="15"/>
        <v>0</v>
      </c>
      <c r="R94" s="1">
        <f t="shared" si="16"/>
        <v>0</v>
      </c>
      <c r="T94" s="1">
        <f>SUM(S$12:S94)</f>
        <v>1</v>
      </c>
      <c r="U94" s="1">
        <f>SUM(T$12:T94)</f>
        <v>78</v>
      </c>
      <c r="V94" s="1">
        <f t="shared" si="17"/>
        <v>0</v>
      </c>
    </row>
    <row r="95" spans="1:22" hidden="1" x14ac:dyDescent="0.15">
      <c r="A95" s="5">
        <v>84</v>
      </c>
      <c r="B95" s="11">
        <v>0.625</v>
      </c>
      <c r="C95" s="11" t="s">
        <v>3</v>
      </c>
      <c r="D95" s="11">
        <v>0.66597222222222197</v>
      </c>
      <c r="E95" s="4">
        <v>5000</v>
      </c>
      <c r="F95" s="4">
        <v>6000</v>
      </c>
      <c r="G95" s="3" t="s">
        <v>115</v>
      </c>
      <c r="H95" s="3" t="s">
        <v>233</v>
      </c>
      <c r="I95" s="3" t="s">
        <v>233</v>
      </c>
      <c r="J95" s="3" t="s">
        <v>233</v>
      </c>
      <c r="K95" s="13"/>
      <c r="L95" s="2">
        <f t="shared" si="12"/>
        <v>5000</v>
      </c>
      <c r="O95" s="1">
        <f t="shared" si="13"/>
        <v>0</v>
      </c>
      <c r="P95" s="1">
        <f t="shared" si="14"/>
        <v>0</v>
      </c>
      <c r="Q95" s="1">
        <f t="shared" si="15"/>
        <v>0</v>
      </c>
      <c r="R95" s="1">
        <f t="shared" si="16"/>
        <v>0</v>
      </c>
      <c r="T95" s="1">
        <f>SUM(S$12:S95)</f>
        <v>1</v>
      </c>
      <c r="U95" s="1">
        <f>SUM(T$12:T95)</f>
        <v>79</v>
      </c>
      <c r="V95" s="1">
        <f t="shared" si="17"/>
        <v>0</v>
      </c>
    </row>
    <row r="96" spans="1:22" hidden="1" x14ac:dyDescent="0.15">
      <c r="A96" s="5">
        <v>85</v>
      </c>
      <c r="B96" s="11">
        <v>0.66666666666666696</v>
      </c>
      <c r="C96" s="11" t="s">
        <v>3</v>
      </c>
      <c r="D96" s="11">
        <v>0.70763888888888904</v>
      </c>
      <c r="E96" s="4">
        <v>5000</v>
      </c>
      <c r="F96" s="4">
        <v>6000</v>
      </c>
      <c r="G96" s="3" t="s">
        <v>116</v>
      </c>
      <c r="H96" s="3" t="s">
        <v>234</v>
      </c>
      <c r="I96" s="3" t="s">
        <v>234</v>
      </c>
      <c r="J96" s="3" t="s">
        <v>234</v>
      </c>
      <c r="K96" s="13"/>
      <c r="L96" s="2">
        <f t="shared" si="12"/>
        <v>5000</v>
      </c>
      <c r="O96" s="1">
        <f t="shared" si="13"/>
        <v>0</v>
      </c>
      <c r="P96" s="1">
        <f t="shared" si="14"/>
        <v>0</v>
      </c>
      <c r="Q96" s="1">
        <f t="shared" si="15"/>
        <v>0</v>
      </c>
      <c r="R96" s="1">
        <f t="shared" si="16"/>
        <v>0</v>
      </c>
      <c r="T96" s="1">
        <f>SUM(S$12:S96)</f>
        <v>1</v>
      </c>
      <c r="U96" s="1">
        <f>SUM(T$12:T96)</f>
        <v>80</v>
      </c>
      <c r="V96" s="1">
        <f t="shared" si="17"/>
        <v>0</v>
      </c>
    </row>
    <row r="97" spans="1:22" hidden="1" x14ac:dyDescent="0.15">
      <c r="A97" s="5">
        <v>86</v>
      </c>
      <c r="B97" s="11">
        <v>0.70833333333333304</v>
      </c>
      <c r="C97" s="11" t="s">
        <v>3</v>
      </c>
      <c r="D97" s="11">
        <v>0.749305555555556</v>
      </c>
      <c r="E97" s="4">
        <v>6000</v>
      </c>
      <c r="F97" s="4">
        <v>8000</v>
      </c>
      <c r="G97" s="3" t="s">
        <v>117</v>
      </c>
      <c r="H97" s="3" t="s">
        <v>235</v>
      </c>
      <c r="I97" s="3" t="s">
        <v>235</v>
      </c>
      <c r="J97" s="3" t="s">
        <v>235</v>
      </c>
      <c r="K97" s="13"/>
      <c r="L97" s="2">
        <f t="shared" si="12"/>
        <v>6000</v>
      </c>
      <c r="O97" s="1">
        <f t="shared" si="13"/>
        <v>0</v>
      </c>
      <c r="P97" s="1">
        <f t="shared" si="14"/>
        <v>0</v>
      </c>
      <c r="Q97" s="1">
        <f t="shared" si="15"/>
        <v>0</v>
      </c>
      <c r="R97" s="1">
        <f t="shared" si="16"/>
        <v>0</v>
      </c>
      <c r="T97" s="1">
        <f>SUM(S$12:S97)</f>
        <v>1</v>
      </c>
      <c r="U97" s="1">
        <f>SUM(T$12:T97)</f>
        <v>81</v>
      </c>
      <c r="V97" s="1">
        <f t="shared" si="17"/>
        <v>0</v>
      </c>
    </row>
    <row r="98" spans="1:22" hidden="1" x14ac:dyDescent="0.15">
      <c r="A98" s="5">
        <v>87</v>
      </c>
      <c r="B98" s="11">
        <v>0.75</v>
      </c>
      <c r="C98" s="11" t="s">
        <v>3</v>
      </c>
      <c r="D98" s="11">
        <v>0.79097222222222197</v>
      </c>
      <c r="E98" s="4">
        <v>6000</v>
      </c>
      <c r="F98" s="4">
        <v>8000</v>
      </c>
      <c r="G98" s="3" t="s">
        <v>118</v>
      </c>
      <c r="H98" s="3" t="s">
        <v>236</v>
      </c>
      <c r="I98" s="3" t="s">
        <v>236</v>
      </c>
      <c r="J98" s="3" t="s">
        <v>236</v>
      </c>
      <c r="K98" s="13"/>
      <c r="L98" s="2">
        <f t="shared" si="12"/>
        <v>6000</v>
      </c>
      <c r="O98" s="1">
        <f t="shared" si="13"/>
        <v>0</v>
      </c>
      <c r="P98" s="1">
        <f t="shared" si="14"/>
        <v>0</v>
      </c>
      <c r="Q98" s="1">
        <f t="shared" si="15"/>
        <v>0</v>
      </c>
      <c r="R98" s="1">
        <f t="shared" si="16"/>
        <v>0</v>
      </c>
      <c r="T98" s="1">
        <f>SUM(S$12:S98)</f>
        <v>1</v>
      </c>
      <c r="U98" s="1">
        <f>SUM(T$12:T98)</f>
        <v>82</v>
      </c>
      <c r="V98" s="1">
        <f t="shared" si="17"/>
        <v>0</v>
      </c>
    </row>
    <row r="99" spans="1:22" hidden="1" x14ac:dyDescent="0.15">
      <c r="A99" s="5">
        <v>88</v>
      </c>
      <c r="B99" s="11">
        <v>0.79166666666666696</v>
      </c>
      <c r="C99" s="11" t="s">
        <v>3</v>
      </c>
      <c r="D99" s="11">
        <v>0.83263888888888904</v>
      </c>
      <c r="E99" s="4">
        <v>6000</v>
      </c>
      <c r="F99" s="4">
        <v>8000</v>
      </c>
      <c r="G99" s="3" t="s">
        <v>119</v>
      </c>
      <c r="H99" s="3" t="s">
        <v>237</v>
      </c>
      <c r="I99" s="3" t="s">
        <v>237</v>
      </c>
      <c r="J99" s="3" t="s">
        <v>237</v>
      </c>
      <c r="K99" s="13"/>
      <c r="L99" s="2">
        <f t="shared" si="12"/>
        <v>6000</v>
      </c>
      <c r="O99" s="1">
        <f t="shared" si="13"/>
        <v>0</v>
      </c>
      <c r="P99" s="1">
        <f t="shared" si="14"/>
        <v>0</v>
      </c>
      <c r="Q99" s="1">
        <f t="shared" si="15"/>
        <v>0</v>
      </c>
      <c r="R99" s="1">
        <f t="shared" si="16"/>
        <v>0</v>
      </c>
      <c r="T99" s="1">
        <f>SUM(S$12:S99)</f>
        <v>1</v>
      </c>
      <c r="U99" s="1">
        <f>SUM(T$12:T99)</f>
        <v>83</v>
      </c>
      <c r="V99" s="1">
        <f t="shared" si="17"/>
        <v>0</v>
      </c>
    </row>
    <row r="100" spans="1:22" hidden="1" x14ac:dyDescent="0.15">
      <c r="A100" s="5">
        <v>89</v>
      </c>
      <c r="B100" s="11">
        <v>0.83333333333333304</v>
      </c>
      <c r="C100" s="11" t="s">
        <v>3</v>
      </c>
      <c r="D100" s="11">
        <v>0.874305555555556</v>
      </c>
      <c r="E100" s="4">
        <v>6000</v>
      </c>
      <c r="F100" s="4">
        <v>8000</v>
      </c>
      <c r="G100" s="3" t="s">
        <v>120</v>
      </c>
      <c r="H100" s="3" t="s">
        <v>238</v>
      </c>
      <c r="I100" s="3" t="s">
        <v>238</v>
      </c>
      <c r="J100" s="3" t="s">
        <v>238</v>
      </c>
      <c r="K100" s="13"/>
      <c r="L100" s="2">
        <f t="shared" si="12"/>
        <v>6000</v>
      </c>
      <c r="O100" s="1">
        <f t="shared" si="13"/>
        <v>0</v>
      </c>
      <c r="P100" s="1">
        <f t="shared" si="14"/>
        <v>0</v>
      </c>
      <c r="Q100" s="1">
        <f t="shared" si="15"/>
        <v>0</v>
      </c>
      <c r="R100" s="1">
        <f t="shared" si="16"/>
        <v>0</v>
      </c>
      <c r="T100" s="1">
        <f>SUM(S$12:S100)</f>
        <v>1</v>
      </c>
      <c r="U100" s="1">
        <f>SUM(T$12:T100)</f>
        <v>84</v>
      </c>
      <c r="V100" s="1">
        <f t="shared" si="17"/>
        <v>0</v>
      </c>
    </row>
    <row r="101" spans="1:22" hidden="1" x14ac:dyDescent="0.15">
      <c r="A101" s="5">
        <v>90</v>
      </c>
      <c r="B101" s="11">
        <v>0.875</v>
      </c>
      <c r="C101" s="11" t="s">
        <v>3</v>
      </c>
      <c r="D101" s="11">
        <v>0.91597222222222197</v>
      </c>
      <c r="E101" s="4">
        <v>6000</v>
      </c>
      <c r="F101" s="4">
        <v>8000</v>
      </c>
      <c r="G101" s="3" t="s">
        <v>121</v>
      </c>
      <c r="H101" s="3" t="s">
        <v>239</v>
      </c>
      <c r="I101" s="3" t="s">
        <v>239</v>
      </c>
      <c r="J101" s="3" t="s">
        <v>239</v>
      </c>
      <c r="K101" s="13"/>
      <c r="L101" s="2">
        <f t="shared" si="12"/>
        <v>6000</v>
      </c>
      <c r="O101" s="1">
        <f t="shared" si="13"/>
        <v>0</v>
      </c>
      <c r="P101" s="1">
        <f t="shared" si="14"/>
        <v>0</v>
      </c>
      <c r="Q101" s="1">
        <f t="shared" si="15"/>
        <v>0</v>
      </c>
      <c r="R101" s="1">
        <f t="shared" si="16"/>
        <v>0</v>
      </c>
      <c r="T101" s="1">
        <f>SUM(S$12:S101)</f>
        <v>1</v>
      </c>
      <c r="U101" s="1">
        <f>SUM(T$12:T101)</f>
        <v>85</v>
      </c>
      <c r="V101" s="1">
        <f t="shared" si="17"/>
        <v>0</v>
      </c>
    </row>
    <row r="102" spans="1:22" hidden="1" x14ac:dyDescent="0.15">
      <c r="A102" s="5">
        <v>91</v>
      </c>
      <c r="B102" s="11">
        <v>0.91666666666666696</v>
      </c>
      <c r="C102" s="11" t="s">
        <v>3</v>
      </c>
      <c r="D102" s="11">
        <v>0.95763888888888904</v>
      </c>
      <c r="E102" s="4">
        <v>8000</v>
      </c>
      <c r="F102" s="4">
        <v>9000</v>
      </c>
      <c r="G102" s="3" t="s">
        <v>122</v>
      </c>
      <c r="H102" s="3" t="s">
        <v>240</v>
      </c>
      <c r="I102" s="3" t="s">
        <v>240</v>
      </c>
      <c r="J102" s="3" t="s">
        <v>240</v>
      </c>
      <c r="K102" s="13"/>
      <c r="L102" s="2">
        <f t="shared" si="12"/>
        <v>8000</v>
      </c>
      <c r="O102" s="1">
        <f t="shared" si="13"/>
        <v>0</v>
      </c>
      <c r="P102" s="1">
        <f t="shared" si="14"/>
        <v>0</v>
      </c>
      <c r="Q102" s="1">
        <f t="shared" si="15"/>
        <v>0</v>
      </c>
      <c r="R102" s="1">
        <f t="shared" si="16"/>
        <v>0</v>
      </c>
      <c r="T102" s="1">
        <f>SUM(S$12:S102)</f>
        <v>1</v>
      </c>
      <c r="U102" s="1">
        <f>SUM(T$12:T102)</f>
        <v>86</v>
      </c>
      <c r="V102" s="1">
        <f t="shared" si="17"/>
        <v>0</v>
      </c>
    </row>
    <row r="103" spans="1:22" hidden="1" x14ac:dyDescent="0.15">
      <c r="A103" s="5">
        <v>92</v>
      </c>
      <c r="B103" s="11">
        <v>0.95833333333333304</v>
      </c>
      <c r="C103" s="11" t="s">
        <v>3</v>
      </c>
      <c r="D103" s="11">
        <v>0.999305555555556</v>
      </c>
      <c r="E103" s="4">
        <v>8000</v>
      </c>
      <c r="F103" s="4">
        <v>9000</v>
      </c>
      <c r="G103" s="3" t="s">
        <v>123</v>
      </c>
      <c r="H103" s="3" t="s">
        <v>241</v>
      </c>
      <c r="I103" s="3" t="s">
        <v>241</v>
      </c>
      <c r="J103" s="3" t="s">
        <v>241</v>
      </c>
      <c r="K103" s="13"/>
      <c r="L103" s="2">
        <f t="shared" si="12"/>
        <v>8000</v>
      </c>
      <c r="O103" s="1">
        <f t="shared" si="13"/>
        <v>0</v>
      </c>
      <c r="P103" s="1">
        <f t="shared" si="14"/>
        <v>0</v>
      </c>
      <c r="Q103" s="1">
        <f t="shared" si="15"/>
        <v>0</v>
      </c>
      <c r="R103" s="1">
        <f t="shared" si="16"/>
        <v>0</v>
      </c>
      <c r="T103" s="1">
        <f>SUM(S$12:S103)</f>
        <v>1</v>
      </c>
      <c r="U103" s="1">
        <f>SUM(T$12:T103)</f>
        <v>87</v>
      </c>
      <c r="V103" s="1">
        <f t="shared" si="17"/>
        <v>0</v>
      </c>
    </row>
    <row r="104" spans="1:22" hidden="1" x14ac:dyDescent="0.15">
      <c r="A104" s="5">
        <v>93</v>
      </c>
      <c r="B104" s="11">
        <v>0</v>
      </c>
      <c r="C104" s="11" t="s">
        <v>3</v>
      </c>
      <c r="D104" s="11">
        <v>4.0972222222222222E-2</v>
      </c>
      <c r="E104" s="4">
        <v>8000</v>
      </c>
      <c r="F104" s="4">
        <v>9000</v>
      </c>
      <c r="G104" s="3" t="s">
        <v>124</v>
      </c>
      <c r="H104" s="3" t="s">
        <v>242</v>
      </c>
      <c r="I104" s="3" t="s">
        <v>242</v>
      </c>
      <c r="J104" s="3" t="s">
        <v>242</v>
      </c>
      <c r="K104" s="13"/>
      <c r="L104" s="2">
        <f t="shared" si="12"/>
        <v>8000</v>
      </c>
      <c r="O104" s="1">
        <f t="shared" si="13"/>
        <v>0</v>
      </c>
      <c r="P104" s="1">
        <f t="shared" si="14"/>
        <v>0</v>
      </c>
      <c r="Q104" s="1">
        <f t="shared" si="15"/>
        <v>0</v>
      </c>
      <c r="R104" s="1">
        <f t="shared" si="16"/>
        <v>0</v>
      </c>
      <c r="T104" s="1">
        <f>SUM(S$12:S104)</f>
        <v>1</v>
      </c>
      <c r="U104" s="1">
        <f>SUM(T$12:T104)</f>
        <v>88</v>
      </c>
      <c r="V104" s="1">
        <f t="shared" si="17"/>
        <v>0</v>
      </c>
    </row>
    <row r="105" spans="1:22" hidden="1" x14ac:dyDescent="0.15">
      <c r="A105" s="5">
        <v>94</v>
      </c>
      <c r="B105" s="11">
        <v>4.1666666666666699E-2</v>
      </c>
      <c r="C105" s="11" t="s">
        <v>3</v>
      </c>
      <c r="D105" s="11">
        <v>8.2638888888888901E-2</v>
      </c>
      <c r="E105" s="4">
        <v>8000</v>
      </c>
      <c r="F105" s="4">
        <v>9000</v>
      </c>
      <c r="G105" s="3" t="s">
        <v>125</v>
      </c>
      <c r="H105" s="3" t="s">
        <v>243</v>
      </c>
      <c r="I105" s="3" t="s">
        <v>243</v>
      </c>
      <c r="J105" s="3" t="s">
        <v>243</v>
      </c>
      <c r="K105" s="13"/>
      <c r="L105" s="2">
        <f t="shared" si="12"/>
        <v>8000</v>
      </c>
      <c r="O105" s="1">
        <f t="shared" si="13"/>
        <v>0</v>
      </c>
      <c r="P105" s="1">
        <f t="shared" si="14"/>
        <v>0</v>
      </c>
      <c r="Q105" s="1">
        <f t="shared" si="15"/>
        <v>0</v>
      </c>
      <c r="R105" s="1">
        <f t="shared" si="16"/>
        <v>0</v>
      </c>
      <c r="T105" s="1">
        <f>SUM(S$12:S105)</f>
        <v>1</v>
      </c>
      <c r="U105" s="1">
        <f>SUM(T$12:T105)</f>
        <v>89</v>
      </c>
      <c r="V105" s="1">
        <f t="shared" si="17"/>
        <v>0</v>
      </c>
    </row>
    <row r="106" spans="1:22" hidden="1" x14ac:dyDescent="0.15">
      <c r="A106" s="5">
        <v>95</v>
      </c>
      <c r="B106" s="11">
        <v>8.3333333333333301E-2</v>
      </c>
      <c r="C106" s="11" t="s">
        <v>3</v>
      </c>
      <c r="D106" s="11">
        <v>0.124305555555556</v>
      </c>
      <c r="E106" s="4">
        <v>8000</v>
      </c>
      <c r="F106" s="4">
        <v>9000</v>
      </c>
      <c r="G106" s="3" t="s">
        <v>126</v>
      </c>
      <c r="H106" s="3" t="s">
        <v>244</v>
      </c>
      <c r="I106" s="3" t="s">
        <v>244</v>
      </c>
      <c r="J106" s="3" t="s">
        <v>244</v>
      </c>
      <c r="K106" s="13"/>
      <c r="L106" s="2">
        <f t="shared" si="12"/>
        <v>8000</v>
      </c>
      <c r="O106" s="1">
        <f t="shared" si="13"/>
        <v>0</v>
      </c>
      <c r="P106" s="1">
        <f t="shared" si="14"/>
        <v>0</v>
      </c>
      <c r="Q106" s="1">
        <f t="shared" si="15"/>
        <v>0</v>
      </c>
      <c r="R106" s="1">
        <f t="shared" si="16"/>
        <v>0</v>
      </c>
      <c r="T106" s="1">
        <f>SUM(S$12:S106)</f>
        <v>1</v>
      </c>
      <c r="U106" s="1">
        <f>SUM(T$12:T106)</f>
        <v>90</v>
      </c>
      <c r="V106" s="1">
        <f t="shared" si="17"/>
        <v>0</v>
      </c>
    </row>
    <row r="107" spans="1:22" hidden="1" x14ac:dyDescent="0.15">
      <c r="A107" s="5">
        <v>96</v>
      </c>
      <c r="B107" s="11">
        <v>0.125</v>
      </c>
      <c r="C107" s="11" t="s">
        <v>3</v>
      </c>
      <c r="D107" s="11">
        <v>0.16597222222222199</v>
      </c>
      <c r="E107" s="4">
        <v>8000</v>
      </c>
      <c r="F107" s="4">
        <v>9000</v>
      </c>
      <c r="G107" s="3" t="s">
        <v>127</v>
      </c>
      <c r="H107" s="3" t="s">
        <v>245</v>
      </c>
      <c r="I107" s="3" t="s">
        <v>245</v>
      </c>
      <c r="J107" s="3" t="s">
        <v>245</v>
      </c>
      <c r="K107" s="13"/>
      <c r="L107" s="2">
        <f t="shared" si="12"/>
        <v>8000</v>
      </c>
      <c r="O107" s="1">
        <f t="shared" si="13"/>
        <v>0</v>
      </c>
      <c r="P107" s="1">
        <f t="shared" si="14"/>
        <v>0</v>
      </c>
      <c r="Q107" s="1">
        <f t="shared" si="15"/>
        <v>0</v>
      </c>
      <c r="R107" s="1">
        <f t="shared" si="16"/>
        <v>0</v>
      </c>
      <c r="T107" s="1">
        <f>SUM(S$12:S107)</f>
        <v>1</v>
      </c>
      <c r="U107" s="1">
        <f>SUM(T$12:T107)</f>
        <v>91</v>
      </c>
      <c r="V107" s="1">
        <f t="shared" si="17"/>
        <v>0</v>
      </c>
    </row>
    <row r="108" spans="1:22" hidden="1" x14ac:dyDescent="0.15">
      <c r="A108" s="5">
        <v>97</v>
      </c>
      <c r="B108" s="11">
        <v>0.16666666666666699</v>
      </c>
      <c r="C108" s="11" t="s">
        <v>3</v>
      </c>
      <c r="D108" s="11">
        <v>0.20763888888888901</v>
      </c>
      <c r="E108" s="4">
        <v>8000</v>
      </c>
      <c r="F108" s="4">
        <v>9000</v>
      </c>
      <c r="G108" s="3" t="s">
        <v>128</v>
      </c>
      <c r="H108" s="3" t="s">
        <v>246</v>
      </c>
      <c r="I108" s="3" t="s">
        <v>246</v>
      </c>
      <c r="J108" s="3" t="s">
        <v>246</v>
      </c>
      <c r="K108" s="13"/>
      <c r="L108" s="2">
        <f t="shared" si="12"/>
        <v>8000</v>
      </c>
      <c r="O108" s="1">
        <f t="shared" ref="O108:O126" si="18">IF(O$11=G108,$A108,0)</f>
        <v>0</v>
      </c>
      <c r="P108" s="1">
        <f t="shared" ref="P108:P126" si="19">IF(P$11=H108,$A108,0)</f>
        <v>0</v>
      </c>
      <c r="Q108" s="1">
        <f t="shared" ref="Q108:Q126" si="20">IF(Q$11=I108,$A108,0)</f>
        <v>0</v>
      </c>
      <c r="R108" s="1">
        <f t="shared" ref="R108:R126" si="21">IF(R$11=J108,$A108,0)</f>
        <v>0</v>
      </c>
      <c r="T108" s="1">
        <f>SUM(S$12:S108)</f>
        <v>1</v>
      </c>
      <c r="U108" s="1">
        <f>SUM(T$12:T108)</f>
        <v>92</v>
      </c>
      <c r="V108" s="1">
        <f t="shared" ref="V108:V126" si="22">IF(U108=0,0,IF(U108&lt;=S$127,L108,0))</f>
        <v>0</v>
      </c>
    </row>
    <row r="109" spans="1:22" hidden="1" x14ac:dyDescent="0.15">
      <c r="A109" s="5">
        <v>98</v>
      </c>
      <c r="B109" s="11">
        <v>0.20833333333333301</v>
      </c>
      <c r="C109" s="11" t="s">
        <v>3</v>
      </c>
      <c r="D109" s="11">
        <v>0.249305555555556</v>
      </c>
      <c r="E109" s="4">
        <v>6000</v>
      </c>
      <c r="F109" s="4">
        <v>8000</v>
      </c>
      <c r="G109" s="3" t="s">
        <v>129</v>
      </c>
      <c r="H109" s="3" t="s">
        <v>247</v>
      </c>
      <c r="I109" s="3" t="s">
        <v>247</v>
      </c>
      <c r="J109" s="3" t="s">
        <v>247</v>
      </c>
      <c r="K109" s="13"/>
      <c r="L109" s="2">
        <f t="shared" si="12"/>
        <v>6000</v>
      </c>
      <c r="O109" s="1">
        <f t="shared" si="18"/>
        <v>0</v>
      </c>
      <c r="P109" s="1">
        <f t="shared" si="19"/>
        <v>0</v>
      </c>
      <c r="Q109" s="1">
        <f t="shared" si="20"/>
        <v>0</v>
      </c>
      <c r="R109" s="1">
        <f t="shared" si="21"/>
        <v>0</v>
      </c>
      <c r="T109" s="1">
        <f>SUM(S$12:S109)</f>
        <v>1</v>
      </c>
      <c r="U109" s="1">
        <f>SUM(T$12:T109)</f>
        <v>93</v>
      </c>
      <c r="V109" s="1">
        <f t="shared" si="22"/>
        <v>0</v>
      </c>
    </row>
    <row r="110" spans="1:22" hidden="1" x14ac:dyDescent="0.15">
      <c r="A110" s="5">
        <v>99</v>
      </c>
      <c r="B110" s="11">
        <v>0.25</v>
      </c>
      <c r="C110" s="11" t="s">
        <v>3</v>
      </c>
      <c r="D110" s="11">
        <v>0.29097222222222202</v>
      </c>
      <c r="E110" s="4">
        <v>6000</v>
      </c>
      <c r="F110" s="4">
        <v>8000</v>
      </c>
      <c r="G110" s="3" t="s">
        <v>130</v>
      </c>
      <c r="H110" s="3" t="s">
        <v>248</v>
      </c>
      <c r="I110" s="3" t="s">
        <v>248</v>
      </c>
      <c r="J110" s="3" t="s">
        <v>248</v>
      </c>
      <c r="K110" s="13"/>
      <c r="L110" s="2">
        <f t="shared" si="12"/>
        <v>6000</v>
      </c>
      <c r="O110" s="1">
        <f t="shared" si="18"/>
        <v>0</v>
      </c>
      <c r="P110" s="1">
        <f t="shared" si="19"/>
        <v>0</v>
      </c>
      <c r="Q110" s="1">
        <f t="shared" si="20"/>
        <v>0</v>
      </c>
      <c r="R110" s="1">
        <f t="shared" si="21"/>
        <v>0</v>
      </c>
      <c r="T110" s="1">
        <f>SUM(S$12:S110)</f>
        <v>1</v>
      </c>
      <c r="U110" s="1">
        <f>SUM(T$12:T110)</f>
        <v>94</v>
      </c>
      <c r="V110" s="1">
        <f t="shared" si="22"/>
        <v>0</v>
      </c>
    </row>
    <row r="111" spans="1:22" hidden="1" x14ac:dyDescent="0.15">
      <c r="A111" s="5">
        <v>100</v>
      </c>
      <c r="B111" s="11">
        <v>0.29166666666666702</v>
      </c>
      <c r="C111" s="11" t="s">
        <v>3</v>
      </c>
      <c r="D111" s="11">
        <v>0.33263888888888898</v>
      </c>
      <c r="E111" s="4">
        <v>6000</v>
      </c>
      <c r="F111" s="4">
        <v>8000</v>
      </c>
      <c r="G111" s="3" t="s">
        <v>131</v>
      </c>
      <c r="H111" s="3" t="s">
        <v>249</v>
      </c>
      <c r="I111" s="3" t="s">
        <v>249</v>
      </c>
      <c r="J111" s="3" t="s">
        <v>249</v>
      </c>
      <c r="K111" s="13"/>
      <c r="L111" s="2">
        <f t="shared" si="12"/>
        <v>6000</v>
      </c>
      <c r="O111" s="1">
        <f t="shared" si="18"/>
        <v>0</v>
      </c>
      <c r="P111" s="1">
        <f t="shared" si="19"/>
        <v>0</v>
      </c>
      <c r="Q111" s="1">
        <f t="shared" si="20"/>
        <v>0</v>
      </c>
      <c r="R111" s="1">
        <f t="shared" si="21"/>
        <v>0</v>
      </c>
      <c r="T111" s="1">
        <f>SUM(S$12:S111)</f>
        <v>1</v>
      </c>
      <c r="U111" s="1">
        <f>SUM(T$12:T111)</f>
        <v>95</v>
      </c>
      <c r="V111" s="1">
        <f t="shared" si="22"/>
        <v>0</v>
      </c>
    </row>
    <row r="112" spans="1:22" hidden="1" x14ac:dyDescent="0.15">
      <c r="A112" s="5">
        <v>101</v>
      </c>
      <c r="B112" s="11">
        <v>0.33333333333333298</v>
      </c>
      <c r="C112" s="11" t="s">
        <v>3</v>
      </c>
      <c r="D112" s="11">
        <v>0.374305555555556</v>
      </c>
      <c r="E112" s="4">
        <v>5000</v>
      </c>
      <c r="F112" s="4">
        <v>6000</v>
      </c>
      <c r="G112" s="3" t="s">
        <v>132</v>
      </c>
      <c r="H112" s="3" t="s">
        <v>250</v>
      </c>
      <c r="I112" s="3" t="s">
        <v>250</v>
      </c>
      <c r="J112" s="3" t="s">
        <v>250</v>
      </c>
      <c r="K112" s="13"/>
      <c r="L112" s="2">
        <f t="shared" si="12"/>
        <v>5000</v>
      </c>
      <c r="O112" s="1">
        <f t="shared" si="18"/>
        <v>0</v>
      </c>
      <c r="P112" s="1">
        <f t="shared" si="19"/>
        <v>0</v>
      </c>
      <c r="Q112" s="1">
        <f t="shared" si="20"/>
        <v>0</v>
      </c>
      <c r="R112" s="1">
        <f t="shared" si="21"/>
        <v>0</v>
      </c>
      <c r="T112" s="1">
        <f>SUM(S$12:S112)</f>
        <v>1</v>
      </c>
      <c r="U112" s="1">
        <f>SUM(T$12:T112)</f>
        <v>96</v>
      </c>
      <c r="V112" s="1">
        <f t="shared" si="22"/>
        <v>0</v>
      </c>
    </row>
    <row r="113" spans="1:24" hidden="1" x14ac:dyDescent="0.15">
      <c r="A113" s="5">
        <v>102</v>
      </c>
      <c r="B113" s="11">
        <v>0.375</v>
      </c>
      <c r="C113" s="11" t="s">
        <v>3</v>
      </c>
      <c r="D113" s="11">
        <v>0.41597222222222202</v>
      </c>
      <c r="E113" s="4">
        <v>5000</v>
      </c>
      <c r="F113" s="4">
        <v>6000</v>
      </c>
      <c r="G113" s="3" t="s">
        <v>133</v>
      </c>
      <c r="H113" s="3" t="s">
        <v>251</v>
      </c>
      <c r="I113" s="3" t="s">
        <v>251</v>
      </c>
      <c r="J113" s="3" t="s">
        <v>251</v>
      </c>
      <c r="K113" s="13"/>
      <c r="L113" s="2">
        <f t="shared" si="12"/>
        <v>5000</v>
      </c>
      <c r="O113" s="1">
        <f t="shared" si="18"/>
        <v>0</v>
      </c>
      <c r="P113" s="1">
        <f t="shared" si="19"/>
        <v>0</v>
      </c>
      <c r="Q113" s="1">
        <f t="shared" si="20"/>
        <v>0</v>
      </c>
      <c r="R113" s="1">
        <f t="shared" si="21"/>
        <v>0</v>
      </c>
      <c r="T113" s="1">
        <f>SUM(S$12:S113)</f>
        <v>1</v>
      </c>
      <c r="U113" s="1">
        <f>SUM(T$12:T113)</f>
        <v>97</v>
      </c>
      <c r="V113" s="1">
        <f t="shared" si="22"/>
        <v>0</v>
      </c>
    </row>
    <row r="114" spans="1:24" hidden="1" x14ac:dyDescent="0.15">
      <c r="A114" s="5">
        <v>103</v>
      </c>
      <c r="B114" s="11">
        <v>0.41666666666666702</v>
      </c>
      <c r="C114" s="11" t="s">
        <v>3</v>
      </c>
      <c r="D114" s="11">
        <v>0.45763888888888898</v>
      </c>
      <c r="E114" s="4">
        <v>5000</v>
      </c>
      <c r="F114" s="4">
        <v>6000</v>
      </c>
      <c r="G114" s="3" t="s">
        <v>134</v>
      </c>
      <c r="H114" s="3" t="s">
        <v>252</v>
      </c>
      <c r="I114" s="3" t="s">
        <v>252</v>
      </c>
      <c r="J114" s="3" t="s">
        <v>252</v>
      </c>
      <c r="K114" s="13"/>
      <c r="L114" s="2">
        <f t="shared" si="12"/>
        <v>5000</v>
      </c>
      <c r="O114" s="1">
        <f t="shared" si="18"/>
        <v>0</v>
      </c>
      <c r="P114" s="1">
        <f t="shared" si="19"/>
        <v>0</v>
      </c>
      <c r="Q114" s="1">
        <f t="shared" si="20"/>
        <v>0</v>
      </c>
      <c r="R114" s="1">
        <f t="shared" si="21"/>
        <v>0</v>
      </c>
      <c r="T114" s="1">
        <f>SUM(S$12:S114)</f>
        <v>1</v>
      </c>
      <c r="U114" s="1">
        <f>SUM(T$12:T114)</f>
        <v>98</v>
      </c>
      <c r="V114" s="1">
        <f t="shared" si="22"/>
        <v>0</v>
      </c>
    </row>
    <row r="115" spans="1:24" hidden="1" x14ac:dyDescent="0.15">
      <c r="A115" s="5">
        <v>104</v>
      </c>
      <c r="B115" s="11">
        <v>0.45833333333333298</v>
      </c>
      <c r="C115" s="11" t="s">
        <v>3</v>
      </c>
      <c r="D115" s="11">
        <v>0.499305555555556</v>
      </c>
      <c r="E115" s="4">
        <v>5000</v>
      </c>
      <c r="F115" s="4">
        <v>6000</v>
      </c>
      <c r="G115" s="3" t="s">
        <v>135</v>
      </c>
      <c r="H115" s="3" t="s">
        <v>253</v>
      </c>
      <c r="I115" s="3" t="s">
        <v>253</v>
      </c>
      <c r="J115" s="3" t="s">
        <v>253</v>
      </c>
      <c r="K115" s="13"/>
      <c r="L115" s="2">
        <f t="shared" si="12"/>
        <v>5000</v>
      </c>
      <c r="O115" s="1">
        <f t="shared" si="18"/>
        <v>0</v>
      </c>
      <c r="P115" s="1">
        <f t="shared" si="19"/>
        <v>0</v>
      </c>
      <c r="Q115" s="1">
        <f t="shared" si="20"/>
        <v>0</v>
      </c>
      <c r="R115" s="1">
        <f t="shared" si="21"/>
        <v>0</v>
      </c>
      <c r="T115" s="1">
        <f>SUM(S$12:S115)</f>
        <v>1</v>
      </c>
      <c r="U115" s="1">
        <f>SUM(T$12:T115)</f>
        <v>99</v>
      </c>
      <c r="V115" s="1">
        <f t="shared" si="22"/>
        <v>0</v>
      </c>
    </row>
    <row r="116" spans="1:24" hidden="1" x14ac:dyDescent="0.15">
      <c r="A116" s="5">
        <v>105</v>
      </c>
      <c r="B116" s="11">
        <v>0.54166666666666696</v>
      </c>
      <c r="C116" s="11" t="s">
        <v>3</v>
      </c>
      <c r="D116" s="11">
        <v>0.58263888888888904</v>
      </c>
      <c r="E116" s="4">
        <v>5000</v>
      </c>
      <c r="F116" s="4">
        <v>6000</v>
      </c>
      <c r="G116" s="3" t="s">
        <v>136</v>
      </c>
      <c r="H116" s="3" t="s">
        <v>254</v>
      </c>
      <c r="I116" s="3" t="s">
        <v>254</v>
      </c>
      <c r="J116" s="3" t="s">
        <v>254</v>
      </c>
      <c r="K116" s="13"/>
      <c r="L116" s="2">
        <f t="shared" si="12"/>
        <v>5000</v>
      </c>
      <c r="O116" s="1">
        <f t="shared" si="18"/>
        <v>0</v>
      </c>
      <c r="P116" s="1">
        <f t="shared" si="19"/>
        <v>0</v>
      </c>
      <c r="Q116" s="1">
        <f t="shared" si="20"/>
        <v>0</v>
      </c>
      <c r="R116" s="1">
        <f t="shared" si="21"/>
        <v>0</v>
      </c>
      <c r="T116" s="1">
        <f>SUM(S$12:S116)</f>
        <v>1</v>
      </c>
      <c r="U116" s="1">
        <f>SUM(T$12:T116)</f>
        <v>100</v>
      </c>
      <c r="V116" s="1">
        <f t="shared" si="22"/>
        <v>0</v>
      </c>
    </row>
    <row r="117" spans="1:24" hidden="1" x14ac:dyDescent="0.15">
      <c r="A117" s="5">
        <v>106</v>
      </c>
      <c r="B117" s="11">
        <v>0.58333333333333304</v>
      </c>
      <c r="C117" s="11" t="s">
        <v>3</v>
      </c>
      <c r="D117" s="11">
        <v>0.624305555555556</v>
      </c>
      <c r="E117" s="4">
        <v>5000</v>
      </c>
      <c r="F117" s="4">
        <v>6000</v>
      </c>
      <c r="G117" s="3" t="s">
        <v>137</v>
      </c>
      <c r="H117" s="3" t="s">
        <v>255</v>
      </c>
      <c r="I117" s="3" t="s">
        <v>255</v>
      </c>
      <c r="J117" s="3" t="s">
        <v>255</v>
      </c>
      <c r="K117" s="13"/>
      <c r="L117" s="2">
        <f t="shared" si="12"/>
        <v>5000</v>
      </c>
      <c r="O117" s="1">
        <f t="shared" si="18"/>
        <v>0</v>
      </c>
      <c r="P117" s="1">
        <f t="shared" si="19"/>
        <v>0</v>
      </c>
      <c r="Q117" s="1">
        <f t="shared" si="20"/>
        <v>0</v>
      </c>
      <c r="R117" s="1">
        <f t="shared" si="21"/>
        <v>0</v>
      </c>
      <c r="T117" s="1">
        <f>SUM(S$12:S117)</f>
        <v>1</v>
      </c>
      <c r="U117" s="1">
        <f>SUM(T$12:T117)</f>
        <v>101</v>
      </c>
      <c r="V117" s="1">
        <f t="shared" si="22"/>
        <v>0</v>
      </c>
    </row>
    <row r="118" spans="1:24" hidden="1" x14ac:dyDescent="0.15">
      <c r="A118" s="5">
        <v>107</v>
      </c>
      <c r="B118" s="11">
        <v>0.625</v>
      </c>
      <c r="C118" s="11" t="s">
        <v>3</v>
      </c>
      <c r="D118" s="11">
        <v>0.66597222222222197</v>
      </c>
      <c r="E118" s="4">
        <v>5000</v>
      </c>
      <c r="F118" s="4">
        <v>6000</v>
      </c>
      <c r="G118" s="3" t="s">
        <v>138</v>
      </c>
      <c r="H118" s="3" t="s">
        <v>256</v>
      </c>
      <c r="I118" s="3" t="s">
        <v>256</v>
      </c>
      <c r="J118" s="3" t="s">
        <v>256</v>
      </c>
      <c r="K118" s="13"/>
      <c r="L118" s="2">
        <f t="shared" si="12"/>
        <v>5000</v>
      </c>
      <c r="O118" s="1">
        <f t="shared" si="18"/>
        <v>0</v>
      </c>
      <c r="P118" s="1">
        <f t="shared" si="19"/>
        <v>0</v>
      </c>
      <c r="Q118" s="1">
        <f t="shared" si="20"/>
        <v>0</v>
      </c>
      <c r="R118" s="1">
        <f t="shared" si="21"/>
        <v>0</v>
      </c>
      <c r="T118" s="1">
        <f>SUM(S$12:S118)</f>
        <v>1</v>
      </c>
      <c r="U118" s="1">
        <f>SUM(T$12:T118)</f>
        <v>102</v>
      </c>
      <c r="V118" s="1">
        <f t="shared" si="22"/>
        <v>0</v>
      </c>
    </row>
    <row r="119" spans="1:24" hidden="1" x14ac:dyDescent="0.15">
      <c r="A119" s="5">
        <v>108</v>
      </c>
      <c r="B119" s="11">
        <v>0.66666666666666696</v>
      </c>
      <c r="C119" s="11" t="s">
        <v>3</v>
      </c>
      <c r="D119" s="11">
        <v>0.70763888888888904</v>
      </c>
      <c r="E119" s="4">
        <v>5000</v>
      </c>
      <c r="F119" s="4">
        <v>6000</v>
      </c>
      <c r="G119" s="3" t="s">
        <v>139</v>
      </c>
      <c r="H119" s="3" t="s">
        <v>257</v>
      </c>
      <c r="I119" s="3" t="s">
        <v>257</v>
      </c>
      <c r="J119" s="3" t="s">
        <v>257</v>
      </c>
      <c r="K119" s="13"/>
      <c r="L119" s="2">
        <f t="shared" si="12"/>
        <v>5000</v>
      </c>
      <c r="O119" s="1">
        <f t="shared" si="18"/>
        <v>0</v>
      </c>
      <c r="P119" s="1">
        <f t="shared" si="19"/>
        <v>0</v>
      </c>
      <c r="Q119" s="1">
        <f t="shared" si="20"/>
        <v>0</v>
      </c>
      <c r="R119" s="1">
        <f t="shared" si="21"/>
        <v>0</v>
      </c>
      <c r="T119" s="1">
        <f>SUM(S$12:S119)</f>
        <v>1</v>
      </c>
      <c r="U119" s="1">
        <f>SUM(T$12:T119)</f>
        <v>103</v>
      </c>
      <c r="V119" s="1">
        <f t="shared" si="22"/>
        <v>0</v>
      </c>
    </row>
    <row r="120" spans="1:24" hidden="1" x14ac:dyDescent="0.15">
      <c r="A120" s="5">
        <v>109</v>
      </c>
      <c r="B120" s="11">
        <v>0.70833333333333304</v>
      </c>
      <c r="C120" s="11" t="s">
        <v>3</v>
      </c>
      <c r="D120" s="11">
        <v>0.749305555555556</v>
      </c>
      <c r="E120" s="4">
        <v>6000</v>
      </c>
      <c r="F120" s="4">
        <v>8000</v>
      </c>
      <c r="G120" s="3" t="s">
        <v>140</v>
      </c>
      <c r="H120" s="3" t="s">
        <v>258</v>
      </c>
      <c r="I120" s="3" t="s">
        <v>258</v>
      </c>
      <c r="J120" s="3" t="s">
        <v>258</v>
      </c>
      <c r="K120" s="13"/>
      <c r="L120" s="2">
        <f t="shared" si="12"/>
        <v>6000</v>
      </c>
      <c r="O120" s="1">
        <f t="shared" si="18"/>
        <v>0</v>
      </c>
      <c r="P120" s="1">
        <f t="shared" si="19"/>
        <v>0</v>
      </c>
      <c r="Q120" s="1">
        <f t="shared" si="20"/>
        <v>0</v>
      </c>
      <c r="R120" s="1">
        <f t="shared" si="21"/>
        <v>0</v>
      </c>
      <c r="T120" s="1">
        <f>SUM(S$12:S120)</f>
        <v>1</v>
      </c>
      <c r="U120" s="1">
        <f>SUM(T$12:T120)</f>
        <v>104</v>
      </c>
      <c r="V120" s="1">
        <f t="shared" si="22"/>
        <v>0</v>
      </c>
    </row>
    <row r="121" spans="1:24" hidden="1" x14ac:dyDescent="0.15">
      <c r="A121" s="5">
        <v>110</v>
      </c>
      <c r="B121" s="11">
        <v>0.75</v>
      </c>
      <c r="C121" s="11" t="s">
        <v>3</v>
      </c>
      <c r="D121" s="11">
        <v>0.79097222222222197</v>
      </c>
      <c r="E121" s="4">
        <v>6000</v>
      </c>
      <c r="F121" s="4">
        <v>8000</v>
      </c>
      <c r="G121" s="3" t="s">
        <v>141</v>
      </c>
      <c r="H121" s="3" t="s">
        <v>259</v>
      </c>
      <c r="I121" s="3" t="s">
        <v>259</v>
      </c>
      <c r="J121" s="3" t="s">
        <v>259</v>
      </c>
      <c r="K121" s="13"/>
      <c r="L121" s="2">
        <f t="shared" si="12"/>
        <v>6000</v>
      </c>
      <c r="O121" s="1">
        <f t="shared" si="18"/>
        <v>0</v>
      </c>
      <c r="P121" s="1">
        <f t="shared" si="19"/>
        <v>0</v>
      </c>
      <c r="Q121" s="1">
        <f t="shared" si="20"/>
        <v>0</v>
      </c>
      <c r="R121" s="1">
        <f t="shared" si="21"/>
        <v>0</v>
      </c>
      <c r="T121" s="1">
        <f>SUM(S$12:S121)</f>
        <v>1</v>
      </c>
      <c r="U121" s="1">
        <f>SUM(T$12:T121)</f>
        <v>105</v>
      </c>
      <c r="V121" s="1">
        <f t="shared" si="22"/>
        <v>0</v>
      </c>
    </row>
    <row r="122" spans="1:24" hidden="1" x14ac:dyDescent="0.15">
      <c r="A122" s="5">
        <v>111</v>
      </c>
      <c r="B122" s="11">
        <v>0.79166666666666696</v>
      </c>
      <c r="C122" s="11" t="s">
        <v>3</v>
      </c>
      <c r="D122" s="11">
        <v>0.83263888888888904</v>
      </c>
      <c r="E122" s="4">
        <v>6000</v>
      </c>
      <c r="F122" s="4">
        <v>8000</v>
      </c>
      <c r="G122" s="3" t="s">
        <v>142</v>
      </c>
      <c r="H122" s="3" t="s">
        <v>260</v>
      </c>
      <c r="I122" s="3" t="s">
        <v>260</v>
      </c>
      <c r="J122" s="3" t="s">
        <v>260</v>
      </c>
      <c r="K122" s="13"/>
      <c r="L122" s="2">
        <f t="shared" si="12"/>
        <v>6000</v>
      </c>
      <c r="O122" s="1">
        <f t="shared" si="18"/>
        <v>0</v>
      </c>
      <c r="P122" s="1">
        <f t="shared" si="19"/>
        <v>0</v>
      </c>
      <c r="Q122" s="1">
        <f t="shared" si="20"/>
        <v>0</v>
      </c>
      <c r="R122" s="1">
        <f t="shared" si="21"/>
        <v>0</v>
      </c>
      <c r="T122" s="1">
        <f>SUM(S$12:S122)</f>
        <v>1</v>
      </c>
      <c r="U122" s="1">
        <f>SUM(T$12:T122)</f>
        <v>106</v>
      </c>
      <c r="V122" s="1">
        <f t="shared" si="22"/>
        <v>0</v>
      </c>
    </row>
    <row r="123" spans="1:24" hidden="1" x14ac:dyDescent="0.15">
      <c r="A123" s="5">
        <v>112</v>
      </c>
      <c r="B123" s="11">
        <v>0.83333333333333304</v>
      </c>
      <c r="C123" s="11" t="s">
        <v>3</v>
      </c>
      <c r="D123" s="11">
        <v>0.874305555555556</v>
      </c>
      <c r="E123" s="4">
        <v>6000</v>
      </c>
      <c r="F123" s="4">
        <v>8000</v>
      </c>
      <c r="G123" s="3" t="s">
        <v>143</v>
      </c>
      <c r="H123" s="3" t="s">
        <v>261</v>
      </c>
      <c r="I123" s="3" t="s">
        <v>261</v>
      </c>
      <c r="J123" s="3" t="s">
        <v>261</v>
      </c>
      <c r="K123" s="13"/>
      <c r="L123" s="2">
        <f t="shared" si="12"/>
        <v>6000</v>
      </c>
      <c r="O123" s="1">
        <f t="shared" si="18"/>
        <v>0</v>
      </c>
      <c r="P123" s="1">
        <f t="shared" si="19"/>
        <v>0</v>
      </c>
      <c r="Q123" s="1">
        <f t="shared" si="20"/>
        <v>0</v>
      </c>
      <c r="R123" s="1">
        <f t="shared" si="21"/>
        <v>0</v>
      </c>
      <c r="T123" s="1">
        <f>SUM(S$12:S123)</f>
        <v>1</v>
      </c>
      <c r="U123" s="1">
        <f>SUM(T$12:T123)</f>
        <v>107</v>
      </c>
      <c r="V123" s="1">
        <f t="shared" si="22"/>
        <v>0</v>
      </c>
    </row>
    <row r="124" spans="1:24" hidden="1" x14ac:dyDescent="0.15">
      <c r="A124" s="5">
        <v>113</v>
      </c>
      <c r="B124" s="11">
        <v>0.875</v>
      </c>
      <c r="C124" s="11" t="s">
        <v>3</v>
      </c>
      <c r="D124" s="11">
        <v>0.91597222222222197</v>
      </c>
      <c r="E124" s="4">
        <v>6000</v>
      </c>
      <c r="F124" s="4">
        <v>8000</v>
      </c>
      <c r="G124" s="3" t="s">
        <v>144</v>
      </c>
      <c r="H124" s="3" t="s">
        <v>262</v>
      </c>
      <c r="I124" s="3" t="s">
        <v>262</v>
      </c>
      <c r="J124" s="3" t="s">
        <v>262</v>
      </c>
      <c r="K124" s="13"/>
      <c r="L124" s="2">
        <f t="shared" si="12"/>
        <v>6000</v>
      </c>
      <c r="O124" s="1">
        <f t="shared" si="18"/>
        <v>0</v>
      </c>
      <c r="P124" s="1">
        <f t="shared" si="19"/>
        <v>0</v>
      </c>
      <c r="Q124" s="1">
        <f t="shared" si="20"/>
        <v>0</v>
      </c>
      <c r="R124" s="1">
        <f t="shared" si="21"/>
        <v>0</v>
      </c>
      <c r="T124" s="1">
        <f>SUM(S$12:S124)</f>
        <v>1</v>
      </c>
      <c r="U124" s="1">
        <f>SUM(T$12:T124)</f>
        <v>108</v>
      </c>
      <c r="V124" s="1">
        <f t="shared" si="22"/>
        <v>0</v>
      </c>
    </row>
    <row r="125" spans="1:24" hidden="1" x14ac:dyDescent="0.15">
      <c r="A125" s="5">
        <v>114</v>
      </c>
      <c r="B125" s="11">
        <v>0.91666666666666696</v>
      </c>
      <c r="C125" s="11" t="s">
        <v>3</v>
      </c>
      <c r="D125" s="11">
        <v>0.95763888888888904</v>
      </c>
      <c r="E125" s="4">
        <v>8000</v>
      </c>
      <c r="F125" s="4">
        <v>9000</v>
      </c>
      <c r="G125" s="3" t="s">
        <v>145</v>
      </c>
      <c r="H125" s="3" t="s">
        <v>263</v>
      </c>
      <c r="I125" s="3" t="s">
        <v>263</v>
      </c>
      <c r="J125" s="3" t="s">
        <v>263</v>
      </c>
      <c r="K125" s="13"/>
      <c r="L125" s="2">
        <f t="shared" si="12"/>
        <v>8000</v>
      </c>
      <c r="O125" s="1">
        <f t="shared" si="18"/>
        <v>0</v>
      </c>
      <c r="P125" s="1">
        <f t="shared" si="19"/>
        <v>0</v>
      </c>
      <c r="Q125" s="1">
        <f t="shared" si="20"/>
        <v>0</v>
      </c>
      <c r="R125" s="1">
        <f t="shared" si="21"/>
        <v>0</v>
      </c>
      <c r="T125" s="1">
        <f>SUM(S$12:S125)</f>
        <v>1</v>
      </c>
      <c r="U125" s="1">
        <f>SUM(T$12:T125)</f>
        <v>109</v>
      </c>
      <c r="V125" s="1">
        <f t="shared" si="22"/>
        <v>0</v>
      </c>
    </row>
    <row r="126" spans="1:24" hidden="1" x14ac:dyDescent="0.15">
      <c r="A126" s="5">
        <v>115</v>
      </c>
      <c r="B126" s="11">
        <v>0.95833333333333304</v>
      </c>
      <c r="C126" s="11" t="s">
        <v>3</v>
      </c>
      <c r="D126" s="11">
        <v>0.999305555555556</v>
      </c>
      <c r="E126" s="4">
        <v>8000</v>
      </c>
      <c r="F126" s="4">
        <v>9000</v>
      </c>
      <c r="G126" s="3" t="s">
        <v>146</v>
      </c>
      <c r="H126" s="3" t="s">
        <v>264</v>
      </c>
      <c r="I126" s="3" t="s">
        <v>264</v>
      </c>
      <c r="J126" s="3" t="s">
        <v>264</v>
      </c>
      <c r="K126" s="13"/>
      <c r="L126" s="2">
        <f t="shared" si="12"/>
        <v>8000</v>
      </c>
      <c r="O126" s="1">
        <f t="shared" si="18"/>
        <v>0</v>
      </c>
      <c r="P126" s="1">
        <f t="shared" si="19"/>
        <v>0</v>
      </c>
      <c r="Q126" s="1">
        <f t="shared" si="20"/>
        <v>0</v>
      </c>
      <c r="R126" s="1">
        <f t="shared" si="21"/>
        <v>0</v>
      </c>
      <c r="T126" s="1">
        <f>SUM(S$12:S126)</f>
        <v>1</v>
      </c>
      <c r="U126" s="1">
        <f>SUM(T$12:T126)</f>
        <v>110</v>
      </c>
      <c r="V126" s="1">
        <f t="shared" si="22"/>
        <v>0</v>
      </c>
    </row>
    <row r="127" spans="1:24" hidden="1" x14ac:dyDescent="0.15">
      <c r="L127" s="2"/>
      <c r="M127" s="18">
        <f t="shared" ref="M127:R127" si="23">SUM(M12:M126)</f>
        <v>0</v>
      </c>
      <c r="N127" s="18">
        <f t="shared" si="23"/>
        <v>0</v>
      </c>
      <c r="O127" s="9">
        <f t="shared" si="23"/>
        <v>1</v>
      </c>
      <c r="P127" s="9">
        <f t="shared" si="23"/>
        <v>2</v>
      </c>
      <c r="Q127" s="9">
        <f t="shared" si="23"/>
        <v>5</v>
      </c>
      <c r="R127" s="9">
        <f t="shared" si="23"/>
        <v>8</v>
      </c>
      <c r="S127" s="9">
        <f>SUM(P127:R127)</f>
        <v>15</v>
      </c>
      <c r="V127" s="18">
        <f>SUM(V12:V126)</f>
        <v>82000</v>
      </c>
      <c r="W127" s="19">
        <f>(V127*O127)</f>
        <v>82000</v>
      </c>
      <c r="X127" s="2">
        <v>530000</v>
      </c>
    </row>
  </sheetData>
  <mergeCells count="8">
    <mergeCell ref="H7:I7"/>
    <mergeCell ref="H9:I9"/>
    <mergeCell ref="H8:I8"/>
    <mergeCell ref="H2:I2"/>
    <mergeCell ref="H6:I6"/>
    <mergeCell ref="H3:I3"/>
    <mergeCell ref="H4:I4"/>
    <mergeCell ref="H5:I5"/>
  </mergeCells>
  <phoneticPr fontId="2"/>
  <pageMargins left="0.75" right="0.75" top="1" bottom="1" header="0.51200000000000001" footer="0.51200000000000001"/>
  <pageSetup paperSize="9" orientation="landscape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75" r:id="rId4" name="OptionButton3">
          <controlPr defaultSize="0" autoLine="0" r:id="rId5">
            <anchor moveWithCells="1">
              <from>
                <xdr:col>10</xdr:col>
                <xdr:colOff>361950</xdr:colOff>
                <xdr:row>0</xdr:row>
                <xdr:rowOff>28575</xdr:rowOff>
              </from>
              <to>
                <xdr:col>11</xdr:col>
                <xdr:colOff>762000</xdr:colOff>
                <xdr:row>0</xdr:row>
                <xdr:rowOff>219075</xdr:rowOff>
              </to>
            </anchor>
          </controlPr>
        </control>
      </mc:Choice>
      <mc:Fallback>
        <control shapeId="2075" r:id="rId4" name="OptionButton3"/>
      </mc:Fallback>
    </mc:AlternateContent>
    <mc:AlternateContent xmlns:mc="http://schemas.openxmlformats.org/markup-compatibility/2006">
      <mc:Choice Requires="x14">
        <control shapeId="2074" r:id="rId6" name="OptionButton2">
          <controlPr defaultSize="0" autoLine="0" linkedCell="N11" r:id="rId7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352425</xdr:colOff>
                <xdr:row>0</xdr:row>
                <xdr:rowOff>219075</xdr:rowOff>
              </to>
            </anchor>
          </controlPr>
        </control>
      </mc:Choice>
      <mc:Fallback>
        <control shapeId="2074" r:id="rId6" name="OptionButton2"/>
      </mc:Fallback>
    </mc:AlternateContent>
    <mc:AlternateContent xmlns:mc="http://schemas.openxmlformats.org/markup-compatibility/2006">
      <mc:Choice Requires="x14">
        <control shapeId="2072" r:id="rId8" name="OptionButton1">
          <controlPr defaultSize="0" autoLine="0" linkedCell="M11" r:id="rId9">
            <anchor moveWithCells="1">
              <from>
                <xdr:col>8</xdr:col>
                <xdr:colOff>66675</xdr:colOff>
                <xdr:row>0</xdr:row>
                <xdr:rowOff>28575</xdr:rowOff>
              </from>
              <to>
                <xdr:col>9</xdr:col>
                <xdr:colOff>219075</xdr:colOff>
                <xdr:row>0</xdr:row>
                <xdr:rowOff>219075</xdr:rowOff>
              </to>
            </anchor>
          </controlPr>
        </control>
      </mc:Choice>
      <mc:Fallback>
        <control shapeId="2072" r:id="rId8" name="OptionButton1"/>
      </mc:Fallback>
    </mc:AlternateContent>
    <mc:AlternateContent xmlns:mc="http://schemas.openxmlformats.org/markup-compatibility/2006">
      <mc:Choice Requires="x14">
        <control shapeId="2068" r:id="rId10" name="ComboBox5">
          <controlPr defaultSize="0" autoLine="0" linkedCell="S11" listFillRange="K12:K34" r:id="rId11">
            <anchor moveWithCells="1">
              <from>
                <xdr:col>7</xdr:col>
                <xdr:colOff>38100</xdr:colOff>
                <xdr:row>5</xdr:row>
                <xdr:rowOff>19050</xdr:rowOff>
              </from>
              <to>
                <xdr:col>7</xdr:col>
                <xdr:colOff>190500</xdr:colOff>
                <xdr:row>5</xdr:row>
                <xdr:rowOff>238125</xdr:rowOff>
              </to>
            </anchor>
          </controlPr>
        </control>
      </mc:Choice>
      <mc:Fallback>
        <control shapeId="2068" r:id="rId10" name="ComboBox5"/>
      </mc:Fallback>
    </mc:AlternateContent>
    <mc:AlternateContent xmlns:mc="http://schemas.openxmlformats.org/markup-compatibility/2006">
      <mc:Choice Requires="x14">
        <control shapeId="2067" r:id="rId12" name="ComboBox4">
          <controlPr defaultSize="0" autoLine="0" linkedCell="R11" listFillRange="J12:J126" r:id="rId13">
            <anchor moveWithCells="1">
              <from>
                <xdr:col>7</xdr:col>
                <xdr:colOff>38100</xdr:colOff>
                <xdr:row>4</xdr:row>
                <xdr:rowOff>19050</xdr:rowOff>
              </from>
              <to>
                <xdr:col>7</xdr:col>
                <xdr:colOff>190500</xdr:colOff>
                <xdr:row>4</xdr:row>
                <xdr:rowOff>238125</xdr:rowOff>
              </to>
            </anchor>
          </controlPr>
        </control>
      </mc:Choice>
      <mc:Fallback>
        <control shapeId="2067" r:id="rId12" name="ComboBox4"/>
      </mc:Fallback>
    </mc:AlternateContent>
    <mc:AlternateContent xmlns:mc="http://schemas.openxmlformats.org/markup-compatibility/2006">
      <mc:Choice Requires="x14">
        <control shapeId="2066" r:id="rId14" name="ComboBox3">
          <controlPr defaultSize="0" autoLine="0" linkedCell="Q11" listFillRange="I12:I126" r:id="rId13">
            <anchor moveWithCells="1">
              <from>
                <xdr:col>7</xdr:col>
                <xdr:colOff>38100</xdr:colOff>
                <xdr:row>3</xdr:row>
                <xdr:rowOff>19050</xdr:rowOff>
              </from>
              <to>
                <xdr:col>7</xdr:col>
                <xdr:colOff>190500</xdr:colOff>
                <xdr:row>3</xdr:row>
                <xdr:rowOff>238125</xdr:rowOff>
              </to>
            </anchor>
          </controlPr>
        </control>
      </mc:Choice>
      <mc:Fallback>
        <control shapeId="2066" r:id="rId14" name="ComboBox3"/>
      </mc:Fallback>
    </mc:AlternateContent>
    <mc:AlternateContent xmlns:mc="http://schemas.openxmlformats.org/markup-compatibility/2006">
      <mc:Choice Requires="x14">
        <control shapeId="2065" r:id="rId15" name="ComboBox2">
          <controlPr defaultSize="0" autoLine="0" linkedCell="P11" listFillRange="H12:H126" r:id="rId13">
            <anchor moveWithCells="1">
              <from>
                <xdr:col>7</xdr:col>
                <xdr:colOff>38100</xdr:colOff>
                <xdr:row>2</xdr:row>
                <xdr:rowOff>19050</xdr:rowOff>
              </from>
              <to>
                <xdr:col>7</xdr:col>
                <xdr:colOff>190500</xdr:colOff>
                <xdr:row>2</xdr:row>
                <xdr:rowOff>238125</xdr:rowOff>
              </to>
            </anchor>
          </controlPr>
        </control>
      </mc:Choice>
      <mc:Fallback>
        <control shapeId="2065" r:id="rId15" name="ComboBox2"/>
      </mc:Fallback>
    </mc:AlternateContent>
    <mc:AlternateContent xmlns:mc="http://schemas.openxmlformats.org/markup-compatibility/2006">
      <mc:Choice Requires="x14">
        <control shapeId="2064" r:id="rId16" name="ComboBox1">
          <controlPr defaultSize="0" autoLine="0" linkedCell="O11" listFillRange="G12:G126" r:id="rId13">
            <anchor moveWithCells="1">
              <from>
                <xdr:col>7</xdr:col>
                <xdr:colOff>38100</xdr:colOff>
                <xdr:row>1</xdr:row>
                <xdr:rowOff>19050</xdr:rowOff>
              </from>
              <to>
                <xdr:col>7</xdr:col>
                <xdr:colOff>190500</xdr:colOff>
                <xdr:row>1</xdr:row>
                <xdr:rowOff>238125</xdr:rowOff>
              </to>
            </anchor>
          </controlPr>
        </control>
      </mc:Choice>
      <mc:Fallback>
        <control shapeId="2064" r:id="rId16" name="ComboBox1"/>
      </mc:Fallback>
    </mc:AlternateContent>
    <mc:AlternateContent xmlns:mc="http://schemas.openxmlformats.org/markup-compatibility/2006">
      <mc:Choice Requires="x14">
        <control shapeId="2050" r:id="rId17" name="休日作業">
          <controlPr defaultSize="0" autoLine="0" r:id="rId18">
            <anchor moveWithCells="1">
              <from>
                <xdr:col>7</xdr:col>
                <xdr:colOff>38100</xdr:colOff>
                <xdr:row>0</xdr:row>
                <xdr:rowOff>28575</xdr:rowOff>
              </from>
              <to>
                <xdr:col>8</xdr:col>
                <xdr:colOff>114300</xdr:colOff>
                <xdr:row>0</xdr:row>
                <xdr:rowOff>219075</xdr:rowOff>
              </to>
            </anchor>
          </controlPr>
        </control>
      </mc:Choice>
      <mc:Fallback>
        <control shapeId="2050" r:id="rId17" name="休日作業"/>
      </mc:Fallback>
    </mc:AlternateContent>
    <mc:AlternateContent xmlns:mc="http://schemas.openxmlformats.org/markup-compatibility/2006">
      <mc:Choice Requires="x14">
        <control shapeId="2049" r:id="rId19" name="平日作業">
          <controlPr defaultSize="0" autoLine="0" linkedCell="L11" r:id="rId20">
            <anchor moveWithCells="1">
              <from>
                <xdr:col>6</xdr:col>
                <xdr:colOff>38100</xdr:colOff>
                <xdr:row>0</xdr:row>
                <xdr:rowOff>28575</xdr:rowOff>
              </from>
              <to>
                <xdr:col>7</xdr:col>
                <xdr:colOff>47625</xdr:colOff>
                <xdr:row>0</xdr:row>
                <xdr:rowOff>219075</xdr:rowOff>
              </to>
            </anchor>
          </controlPr>
        </control>
      </mc:Choice>
      <mc:Fallback>
        <control shapeId="2049" r:id="rId19" name="平日作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工賃時間単価</vt:lpstr>
    </vt:vector>
  </TitlesOfParts>
  <Company>(有)零電社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Norifumi.Fukushima</dc:creator>
  <cp:lastModifiedBy>石塚 智也</cp:lastModifiedBy>
  <cp:lastPrinted>2003-04-20T10:40:22Z</cp:lastPrinted>
  <dcterms:created xsi:type="dcterms:W3CDTF">2003-04-20T10:08:24Z</dcterms:created>
  <dcterms:modified xsi:type="dcterms:W3CDTF">2024-07-30T07:08:35Z</dcterms:modified>
</cp:coreProperties>
</file>